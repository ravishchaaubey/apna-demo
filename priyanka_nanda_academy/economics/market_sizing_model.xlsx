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TAM_India" sheetId="3" state="visible" r:id="rId5"/>
    <sheet name="Tricity_Recon" sheetId="4" state="visible" r:id="rId6"/>
    <sheet name="SAM_North" sheetId="5" state="visible" r:id="rId7"/>
    <sheet name="SOM_PNA" sheetId="6" state="visible" r:id="rId8"/>
    <sheet name="Sizing_Tree" sheetId="7" state="visible" r:id="rId9"/>
    <sheet name="Context_NotTAM" sheetId="8" state="visible" r:id="rId10"/>
    <sheet name="Ch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<sst xmlns="http://schemas.openxmlformats.org/spreadsheetml/2006/main" count="771" uniqueCount="588">
  <si>
    <t xml:space="preserve">PNA market sizing model - TAM / SAM / SOM with tricity-India reconciliation</t>
  </si>
  <si>
    <t xml:space="preserve">Prepared by the Economics &amp; Market Sizing agent, 2026-10-16. Build script: economics/build_scripts/build_market_sizing.py</t>
  </si>
  <si>
    <t xml:space="preserve">Purpose</t>
  </si>
  <si>
    <t xml:space="preserve">Size India's paid makeup-led training market (TAM), the North India slice a Chandigarh-led offline/hybrid academy can serve (SAM) and PNA's realistic Year-3 revenue (SOM); reconcile CA-05 (tricity) with CA-06 (India).</t>
  </si>
  <si>
    <t xml:space="preserve">Unit</t>
  </si>
  <si>
    <t xml:space="preserve">₹ crore per year, nominal, current run-rate (≈FY2026-27). Market figures at quoted fees (GST-inclusive where quoted). PNA forecast revenue is ex-GST and is grossed up by 18% (A-ECO-23) for SOM shares.</t>
  </si>
  <si>
    <t xml:space="preserve">Sheets</t>
  </si>
  <si>
    <t xml:space="preserve">Assumptions (all inputs, IDs, sources, tags, Low/Base/High + selector) -&gt; TAM_India -&gt; Tricity_Recon -&gt; SAM_North -&gt; SOM_PNA -&gt; Sizing_Tree (summary) ; Context_NotTAM ; Checks</t>
  </si>
  <si>
    <t xml:space="preserve">Colour code</t>
  </si>
  <si>
    <t xml:space="preserve">Blue = input; black = formula; yellow = key output. No hard-coded results in calculation sheets.</t>
  </si>
  <si>
    <t xml:space="preserve">Selector</t>
  </si>
  <si>
    <t xml:space="preserve">Assumptions!C3 picks Low/Base/High for the 'Selected' column and the Sizing_Tree 'Selected case' column. Calculation sheets show all three cases side by side.</t>
  </si>
  <si>
    <t xml:space="preserve">Reconciliation</t>
  </si>
  <si>
    <t xml:space="preserve">See Tricity_Recon §5-7: CA-06 retained; CA-05 restated to makeup-led scope; adopted tricity = mean of three methods ≈ ₹3.3 crore base.</t>
  </si>
  <si>
    <t xml:space="preserve">Guardrail</t>
  </si>
  <si>
    <t xml:space="preserve">The beauty products / salon services / wedding markets are listed only in Context_NotTAM and are never the education TAM.</t>
  </si>
  <si>
    <t xml:space="preserve">Limitations</t>
  </si>
  <si>
    <t xml:space="preserve">No primary enrolment data; makeup-led share (A-IND-04), fee mix (A-IND-05), participation (A-CHD-03) and reach shares (A-ECO-15/16) are hypotheses. Validate via mystery shopping, competitor intake checks and PNA enquiry-origin data.</t>
  </si>
  <si>
    <t xml:space="preserve">Assumptions register (inputs)</t>
  </si>
  <si>
    <t xml:space="preserve">Blue = input. Every model sheet references these cells. Tags: [FACT] sourced; [CLAIM] first-party/unverified; [EST] our estimate with arithmetic; [HYP] hypothesis to validate; [FOUNDER] founder-stated.</t>
  </si>
  <si>
    <t xml:space="preserve">Scenario selector</t>
  </si>
  <si>
    <t xml:space="preserve">Base</t>
  </si>
  <si>
    <t xml:space="preserve">&lt;- choose Low / Base / High (drives column I 'Selected' and any sheet that uses it)</t>
  </si>
  <si>
    <t xml:space="preserve">Scenario index</t>
  </si>
  <si>
    <t xml:space="preserve">Low</t>
  </si>
  <si>
    <t xml:space="preserve">High</t>
  </si>
  <si>
    <t xml:space="preserve">ID</t>
  </si>
  <si>
    <t xml:space="preserve">Description</t>
  </si>
  <si>
    <t xml:space="preserve">Source / rationale</t>
  </si>
  <si>
    <t xml:space="preserve">Tag</t>
  </si>
  <si>
    <t xml:space="preserve">Selected</t>
  </si>
  <si>
    <t xml:space="preserve">1. India TAM inputs (from research/india_market_analysis.md §8-9; values unchanged)</t>
  </si>
  <si>
    <t xml:space="preserve">A-IND-01</t>
  </si>
  <si>
    <t xml:space="preserve">B&amp;WSSC-certified candidates per year (all beauty &amp; wellness)</t>
  </si>
  <si>
    <t xml:space="preserve">learners/yr</t>
  </si>
  <si>
    <t xml:space="preserve">10.25 lakh/8 yrs=1.28; 13 lakh/9=1.44; 20.7 lakh/10-11=1.88-2.07 (S-IND-02,-04,-05)</t>
  </si>
  <si>
    <t xml:space="preserve">[EST]</t>
  </si>
  <si>
    <t xml:space="preserve">A-IND-02</t>
  </si>
  <si>
    <t xml:space="preserve">Organised share of vocational training (total = certified / share)</t>
  </si>
  <si>
    <t xml:space="preserve">%</t>
  </si>
  <si>
    <t xml:space="preserve">KPMG: unorganised ≈60% of vocational education (S-IND-01 p.67)</t>
  </si>
  <si>
    <t xml:space="preserve">A-IND-03</t>
  </si>
  <si>
    <t xml:space="preserve">Paid (self-funded) share of trainees</t>
  </si>
  <si>
    <t xml:space="preserve">60% unorganised (self-paid) + 40% organised x 10/30/50% fee-paying (S-IND-01, S-IND-04)</t>
  </si>
  <si>
    <t xml:space="preserve">A-IND-04</t>
  </si>
  <si>
    <t xml:space="preserve">Makeup-led share of paid learners</t>
  </si>
  <si>
    <t xml:space="preserve">Most uncertain input; 2 of top-5 aspired roles are makeup (S-IND-01 p.53); Meribindiya catalogue ~half makeup (S-IND-37)</t>
  </si>
  <si>
    <t xml:space="preserve">[HYP]</t>
  </si>
  <si>
    <t xml:space="preserve">A-IND-05a</t>
  </si>
  <si>
    <t xml:space="preserve">Tier T1 entry/short share of makeup-led learners</t>
  </si>
  <si>
    <t xml:space="preserve">india_market_analysis §8.1a</t>
  </si>
  <si>
    <t xml:space="preserve">A-IND-05b</t>
  </si>
  <si>
    <t xml:space="preserve">Tier T1 representative fee</t>
  </si>
  <si>
    <t xml:space="preserve">₹</t>
  </si>
  <si>
    <t xml:space="preserve">Online micro 150-6,000; offline basics 10-35k (S-IND-27,-35,-54)</t>
  </si>
  <si>
    <t xml:space="preserve">A-IND-05c</t>
  </si>
  <si>
    <t xml:space="preserve">Tier T2 core professional share</t>
  </si>
  <si>
    <t xml:space="preserve">§8.1a</t>
  </si>
  <si>
    <t xml:space="preserve">A-IND-05d</t>
  </si>
  <si>
    <t xml:space="preserve">Tier T2 representative fee</t>
  </si>
  <si>
    <t xml:space="preserve">YMCA 54,355; Orane online 45,000; VLCC 78,000 (S-IND-25,-28,-33)</t>
  </si>
  <si>
    <t xml:space="preserve">A-IND-05e</t>
  </si>
  <si>
    <t xml:space="preserve">Tier T3 advanced/bridal share</t>
  </si>
  <si>
    <t xml:space="preserve">A-IND-05f</t>
  </si>
  <si>
    <t xml:space="preserve">Tier T3 representative fee</t>
  </si>
  <si>
    <t xml:space="preserve">VLCC 1.66 lakh; Lakmé 1.2-1.8 lakh (S-IND-32,-34)</t>
  </si>
  <si>
    <t xml:space="preserve">A-IND-05g</t>
  </si>
  <si>
    <t xml:space="preserve">Tier T4 premium share</t>
  </si>
  <si>
    <t xml:space="preserve">A-IND-05h</t>
  </si>
  <si>
    <t xml:space="preserve">Tier T4 representative fee</t>
  </si>
  <si>
    <t xml:space="preserve">Pearl 4.45 lakh incl GST; DBA 2.25-5.95 lakh (S-IND-23, S-NC-26)</t>
  </si>
  <si>
    <t xml:space="preserve">A-IND-06</t>
  </si>
  <si>
    <t xml:space="preserve">Fee for non-makeup beauty courses</t>
  </si>
  <si>
    <t xml:space="preserve">Entry beautician/hair/nail courses (S-IND-31,-38)</t>
  </si>
  <si>
    <t xml:space="preserve">A-IND-07</t>
  </si>
  <si>
    <t xml:space="preserve">Branded chain/franchise centres offering paid beauty training</t>
  </si>
  <si>
    <t xml:space="preserve">centres</t>
  </si>
  <si>
    <t xml:space="preserve">Orane 115+, Lakmé 140+, VLCC 100-200 (claims; S-IND-30,-58,-59; S-NC-01)</t>
  </si>
  <si>
    <t xml:space="preserve">A-IND-08</t>
  </si>
  <si>
    <t xml:space="preserve">Paid learners per chain centre per year (all courses)</t>
  </si>
  <si>
    <t xml:space="preserve">learners</t>
  </si>
  <si>
    <t xml:space="preserve">Lakmé-Aptech plan 50,000/5 yrs/80 = 125 (S-IND-59)</t>
  </si>
  <si>
    <t xml:space="preserve">A-IND-09</t>
  </si>
  <si>
    <t xml:space="preserve">Independent paid learners as multiple of chain learners</t>
  </si>
  <si>
    <t xml:space="preserve">x</t>
  </si>
  <si>
    <t xml:space="preserve">KPMG 60:40 unorganised:organised (S-IND-01)</t>
  </si>
  <si>
    <t xml:space="preserve">A-IND-10a</t>
  </si>
  <si>
    <t xml:space="preserve">Online / short-course layer: learners</t>
  </si>
  <si>
    <t xml:space="preserve">Airblack ~35k students in 3+ yrs; Orane micro-courses (S-IND-27,-39,-40)</t>
  </si>
  <si>
    <t xml:space="preserve">A-IND-10b</t>
  </si>
  <si>
    <t xml:space="preserve">Online / short-course layer: average fee</t>
  </si>
  <si>
    <t xml:space="preserve">Orane ₹590-5,990; Airblack from ₹150</t>
  </si>
  <si>
    <t xml:space="preserve">A-IND-16</t>
  </si>
  <si>
    <t xml:space="preserve">FX for USD display only</t>
  </si>
  <si>
    <t xml:space="preserve">₹/USD</t>
  </si>
  <si>
    <t xml:space="preserve">Illustrative</t>
  </si>
  <si>
    <t xml:space="preserve">A-IND-17</t>
  </si>
  <si>
    <t xml:space="preserve">Regional proxy: Chd+PB+HR+HP+J&amp;K share of India incremental B&amp;W workforce need</t>
  </si>
  <si>
    <t xml:space="preserve">KPMG Table 5 (S-IND-01 pp.46-47)</t>
  </si>
  <si>
    <t xml:space="preserve">[FACT]</t>
  </si>
  <si>
    <t xml:space="preserve">X-KPMG-NEED</t>
  </si>
  <si>
    <t xml:space="preserve">KPMG incremental vocational training need per year (5.44M / 8)</t>
  </si>
  <si>
    <t xml:space="preserve">S-IND-01 Table 4 p.46</t>
  </si>
  <si>
    <t xml:space="preserve">X-BS-SECTOR</t>
  </si>
  <si>
    <t xml:space="preserve">Context only: Beauty &amp; Salon sector size 2025P (NOT the education market)</t>
  </si>
  <si>
    <t xml:space="preserve">₹ crore</t>
  </si>
  <si>
    <t xml:space="preserve">S-IND-01 Table 1 p.15</t>
  </si>
  <si>
    <t xml:space="preserve">2. Demography and intensity (research/chandigarh_market_analysis.md; KPMG state tables)</t>
  </si>
  <si>
    <t xml:space="preserve">A-CHD-02</t>
  </si>
  <si>
    <t xml:space="preserve">Women aged 17-35, tricity district catchment (Chandigarh UT + SAS Nagar + Panchkula), 2026</t>
  </si>
  <si>
    <t xml:space="preserve">000</t>
  </si>
  <si>
    <t xml:space="preserve">Cohort rebuild from Technical Group projections (S-CHD-01, -03, -04); A-CHD-01/02</t>
  </si>
  <si>
    <t xml:space="preserve">X-W-IND</t>
  </si>
  <si>
    <t xml:space="preserve">Women aged 17-35, India, 2026</t>
  </si>
  <si>
    <t xml:space="preserve">S-CHD-01 Table 20 cohort rebuild (A-CHD-08)</t>
  </si>
  <si>
    <t xml:space="preserve">X-W-ROR</t>
  </si>
  <si>
    <t xml:space="preserve">Women 17-35, rest of Punjab+Haryana+HP+J&amp;K (excl. tricity)</t>
  </si>
  <si>
    <t xml:space="preserve">chandigarh_market_analysis §8.3 (12,662 - 286 in tricity)</t>
  </si>
  <si>
    <t xml:space="preserve">X-W-CHD</t>
  </si>
  <si>
    <t xml:space="preserve">Women 17-35: Chandigarh UT</t>
  </si>
  <si>
    <t xml:space="preserve">§2 table</t>
  </si>
  <si>
    <t xml:space="preserve">X-W-MOH</t>
  </si>
  <si>
    <t xml:space="preserve">Women 17-35: SAS Nagar (Mohali) district</t>
  </si>
  <si>
    <t xml:space="preserve">X-W-PKL</t>
  </si>
  <si>
    <t xml:space="preserve">Women 17-35: Panchkula district</t>
  </si>
  <si>
    <t xml:space="preserve">X-W-PB</t>
  </si>
  <si>
    <t xml:space="preserve">Women 17-35: Punjab excl. Mohali</t>
  </si>
  <si>
    <t xml:space="preserve">4,458 - 183</t>
  </si>
  <si>
    <t xml:space="preserve">X-W-HR</t>
  </si>
  <si>
    <t xml:space="preserve">Women 17-35: Haryana excl. Panchkula</t>
  </si>
  <si>
    <t xml:space="preserve">4,730 - 103</t>
  </si>
  <si>
    <t xml:space="preserve">X-W-HP</t>
  </si>
  <si>
    <t xml:space="preserve">Women 17-35: Himachal Pradesh</t>
  </si>
  <si>
    <t xml:space="preserve">X-W-JK</t>
  </si>
  <si>
    <t xml:space="preserve">Women 17-35: J&amp;K</t>
  </si>
  <si>
    <t xml:space="preserve">X-BW-IND</t>
  </si>
  <si>
    <t xml:space="preserve">B&amp;W share of state workforce: India</t>
  </si>
  <si>
    <t xml:space="preserve">S-IND-01 pp.34-35</t>
  </si>
  <si>
    <t xml:space="preserve">X-BW-CHD</t>
  </si>
  <si>
    <t xml:space="preserve">B&amp;W share of state workforce: Chandigarh</t>
  </si>
  <si>
    <t xml:space="preserve">S-IND-01 (highest in India)</t>
  </si>
  <si>
    <t xml:space="preserve">X-BW-PB</t>
  </si>
  <si>
    <t xml:space="preserve">B&amp;W share of state workforce: Punjab</t>
  </si>
  <si>
    <t xml:space="preserve">S-IND-01</t>
  </si>
  <si>
    <t xml:space="preserve">X-BW-HR</t>
  </si>
  <si>
    <t xml:space="preserve">B&amp;W share of state workforce: Haryana</t>
  </si>
  <si>
    <t xml:space="preserve">X-BW-HP</t>
  </si>
  <si>
    <t xml:space="preserve">B&amp;W share of state workforce: HP</t>
  </si>
  <si>
    <t xml:space="preserve">X-BW-JK</t>
  </si>
  <si>
    <t xml:space="preserve">B&amp;W share of state workforce: J&amp;K</t>
  </si>
  <si>
    <t xml:space="preserve">A-CHD-06</t>
  </si>
  <si>
    <t xml:space="preserve">Tricity affluence weight (income-based; cross-check for intensity)</t>
  </si>
  <si>
    <t xml:space="preserve">x India</t>
  </si>
  <si>
    <t xml:space="preserve">RBI PCNSDP: Chandigarh 2.28x, Haryana 1.69x, Mohali 1.5x assumed (S-CHD-06)</t>
  </si>
  <si>
    <t xml:space="preserve">A-ECO-01</t>
  </si>
  <si>
    <t xml:space="preserve">Tricity demand-intensity index used in top-down share (Low = income weight low; Base = KPMG B&amp;W workforce index; High = Chandigarh income multiple)</t>
  </si>
  <si>
    <t xml:space="preserve">Base computed on Tricity_Recon from KPMG state B&amp;W shares weighted by women 17-35</t>
  </si>
  <si>
    <t xml:space="preserve">A-ECO-02</t>
  </si>
  <si>
    <t xml:space="preserve">Urban/rural ratio of paid makeup-academy participation (k)</t>
  </si>
  <si>
    <t xml:space="preserve">Makeup academies are urban (S-LC §3 all in cities); rural trainees mostly scheme-funded (S-IND-01 p.52, §7.1)</t>
  </si>
  <si>
    <t xml:space="preserve">A-ECO-03</t>
  </si>
  <si>
    <t xml:space="preserve">Urban share of tricity catchment population</t>
  </si>
  <si>
    <t xml:space="preserve">Chandigarh ~97% urban (Census 2011, S-CHD-02); Panchkula 55.8% (S-CHD-04); Mohali ~55% assumed; women-weighted</t>
  </si>
  <si>
    <t xml:space="preserve">A-ECO-04</t>
  </si>
  <si>
    <t xml:space="preserve">Urban share of India population 2026</t>
  </si>
  <si>
    <t xml:space="preserve">Census 2011 31.1% + trend (general knowledge, not re-sourced)</t>
  </si>
  <si>
    <t xml:space="preserve">A-CHD-04</t>
  </si>
  <si>
    <t xml:space="preserve">Outstation (non-tricity) share of tricity students</t>
  </si>
  <si>
    <t xml:space="preserve">No student-origin data; A-CUS-28 15-35% of enquiries</t>
  </si>
  <si>
    <t xml:space="preserve">A-ECO-05</t>
  </si>
  <si>
    <t xml:space="preserve">Rest-of-region demand-intensity index (PB/HR/HP/J&amp;K)</t>
  </si>
  <si>
    <t xml:space="preserve">Base computed from KPMG B&amp;W shares weighted by women; urbanisation ≈ India so no urban factor</t>
  </si>
  <si>
    <t xml:space="preserve">A-CHD-03</t>
  </si>
  <si>
    <t xml:space="preserve">Annual participation of tricity resident women 17-35 in paid makeup/beauty-artistry course</t>
  </si>
  <si>
    <t xml:space="preserve">Calibrated to bridal-MUA listing pipeline (A-CHD-07); unverified</t>
  </si>
  <si>
    <t xml:space="preserve">A-CHD-05</t>
  </si>
  <si>
    <t xml:space="preserve">Average realised fee per tricity learner (blended across course lengths)</t>
  </si>
  <si>
    <t xml:space="preserve">UrbanPro tutor ₹15-36k per 2-3 months; local diploma ₹35-75k (S-CHD-15, S-LC §6)</t>
  </si>
  <si>
    <t xml:space="preserve">3. Reconciliation and supply-side inputs (Economics agent)</t>
  </si>
  <si>
    <t xml:space="preserve">A-ECO-06</t>
  </si>
  <si>
    <t xml:space="preserve">Makeup-led share of CA-05 'makeup/beauty-artistry' learners</t>
  </si>
  <si>
    <t xml:space="preserve">CA-05 scope includes hair/skin/nail artistry; tricity providers are makeup-heavy (S-LC §3)</t>
  </si>
  <si>
    <t xml:space="preserve">A-ECO-07</t>
  </si>
  <si>
    <t xml:space="preserve">Chain/brand centres in tricity offering makeup courses</t>
  </si>
  <si>
    <t xml:space="preserve">Orane 34A, Lakmé 17E + 34A, VLCC 34A, Knuckout Chd + Zirakpur, Headmasters Mohali (S-LC-08..24, -38)</t>
  </si>
  <si>
    <t xml:space="preserve">[FACT] count of named centres</t>
  </si>
  <si>
    <t xml:space="preserve">A-ECO-08</t>
  </si>
  <si>
    <t xml:space="preserve">Makeup-led learners per chain centre per year</t>
  </si>
  <si>
    <t xml:space="preserve">A-IND-08 (80-125 all courses) x ~40-50% makeup share</t>
  </si>
  <si>
    <t xml:space="preserve">A-ECO-09</t>
  </si>
  <si>
    <t xml:space="preserve">Independent makeup institutes in tricity</t>
  </si>
  <si>
    <t xml:space="preserve">institutes</t>
  </si>
  <si>
    <t xml:space="preserve">Zuri, Cassia, Fashion Make Fashion, Cleopatra, SS Makeup (S-LC §3)</t>
  </si>
  <si>
    <t xml:space="preserve">[FACT] count</t>
  </si>
  <si>
    <t xml:space="preserve">A-ECO-10</t>
  </si>
  <si>
    <t xml:space="preserve">Makeup-led learners per independent institute per year</t>
  </si>
  <si>
    <t xml:space="preserve">Zuri claims 5,000+ students since 2015 (~450/yr all courses, [CLAIM] S-LC-13) - discounted heavily</t>
  </si>
  <si>
    <t xml:space="preserve">A-ECO-11</t>
  </si>
  <si>
    <t xml:space="preserve">Founder-led MUA academies in tricity (incl. PNA)</t>
  </si>
  <si>
    <t xml:space="preserve">academies</t>
  </si>
  <si>
    <t xml:space="preserve">PNA, Nav Brar, Tanvi KG, Abhishek, Niti Luthra, Parthi Chopra, Meraki, SK Studio (S-LC §3)</t>
  </si>
  <si>
    <t xml:space="preserve">[EST] count</t>
  </si>
  <si>
    <t xml:space="preserve">A-ECO-12</t>
  </si>
  <si>
    <t xml:space="preserve">Learners per founder-led academy per year</t>
  </si>
  <si>
    <t xml:space="preserve">PNA founder-stated &lt;60 incl. short courses (CA-01)</t>
  </si>
  <si>
    <t xml:space="preserve">A-ECO-13</t>
  </si>
  <si>
    <t xml:space="preserve">UrbanPro makeup-class listings, Chandigarh</t>
  </si>
  <si>
    <t xml:space="preserve">listings</t>
  </si>
  <si>
    <t xml:space="preserve">S-CHD-15 (9 Oct 2026)</t>
  </si>
  <si>
    <t xml:space="preserve">A-ECO-14</t>
  </si>
  <si>
    <t xml:space="preserve">Active share of tutor listings x learners per active tutor per year</t>
  </si>
  <si>
    <t xml:space="preserve">learners/listing</t>
  </si>
  <si>
    <t xml:space="preserve">30% active x 2/3/4 learners</t>
  </si>
  <si>
    <t xml:space="preserve">4. SAM inputs (Economics agent)</t>
  </si>
  <si>
    <t xml:space="preserve">A-ECO-15</t>
  </si>
  <si>
    <t xml:space="preserve">Share of rest-of-region makeup-led learners reachable by an offline Chandigarh hub</t>
  </si>
  <si>
    <t xml:space="preserve">Travel matrix: Ambala/Patiala/Solan/Ludhiana/Karnal ≤2.5 h; beyond needs PG (S-CHD §4); Punjab cities chain-served (S-LC §7)</t>
  </si>
  <si>
    <t xml:space="preserve">A-ECO-16</t>
  </si>
  <si>
    <t xml:space="preserve">Hybrid-willing share of non-reachable regional makeup-led learners</t>
  </si>
  <si>
    <t xml:space="preserve">KPMG survey: 47% prefer blended, little appetite for fully online (S-IND-01 p.56)</t>
  </si>
  <si>
    <t xml:space="preserve">A-ECO-17</t>
  </si>
  <si>
    <t xml:space="preserve">Hybrid programme realised fee (quoted, incl. GST)</t>
  </si>
  <si>
    <t xml:space="preserve">Orane online diploma ₹45-80k (S-IND-28/29); A-GRO parity with L3 later</t>
  </si>
  <si>
    <t xml:space="preserve">A-ECO-18</t>
  </si>
  <si>
    <t xml:space="preserve">Working makeup artists, tricity (listed + unlisted + salon staff)</t>
  </si>
  <si>
    <t xml:space="preserve">artists</t>
  </si>
  <si>
    <t xml:space="preserve">WedMeGood 600+ (text) to ~940 (pages x 20) bridal MUAs (S-CHD-12)</t>
  </si>
  <si>
    <t xml:space="preserve">A-ECO-19</t>
  </si>
  <si>
    <t xml:space="preserve">Working makeup artists within reach (rest of region)</t>
  </si>
  <si>
    <t xml:space="preserve">WedMeGood pages: Ludhiana ≤440, Amritsar ≤340, Dehradun ≤440; plus Jalandhar, Patiala, Ambala, Shimla, salon staff (S-CHD §5)</t>
  </si>
  <si>
    <t xml:space="preserve">A-ECO-20</t>
  </si>
  <si>
    <t xml:space="preserve">Share of working artists buying paid CPD/masterclass per year</t>
  </si>
  <si>
    <t xml:space="preserve">A-CUS-31 repeat 25-40%/yr (Airblack claim)</t>
  </si>
  <si>
    <t xml:space="preserve">A-ECO-21</t>
  </si>
  <si>
    <t xml:space="preserve">CPD/masterclass spend per participating artist per year (incl. GST)</t>
  </si>
  <si>
    <t xml:space="preserve">Masterclass anchors ₹4,999-19,999, avg ₹10k (A-GRO-07; S-CUS-34/54)</t>
  </si>
  <si>
    <t xml:space="preserve">A-ECO-22</t>
  </si>
  <si>
    <t xml:space="preserve">North-India-reachable share of India online/short-course layer (Hindi/Punjabi content)</t>
  </si>
  <si>
    <t xml:space="preserve">Hindi-belt + Punjab share of online buyers; no data</t>
  </si>
  <si>
    <t xml:space="preserve">A-ECO-23</t>
  </si>
  <si>
    <t xml:space="preserve">GST rate on PNA training (private, non-recognised course; SAC 9992 commercial training)</t>
  </si>
  <si>
    <t xml:space="preserve">GST Council education flyer: private coaching / unrecognised institutions not exempt (gstcouncil.gov.in/sites/default/files/e-version-gst-flyers/GST_Education_Services.pdf, accessed 2026-10-16); PNA-specific status to confirm with CA</t>
  </si>
  <si>
    <t xml:space="preserve">[FACT] rule; [HYP] for PNA</t>
  </si>
  <si>
    <t xml:space="preserve">5. SOM inputs: Year-3 revenue by layer from business_forecast.xlsx '3yr_Scenarios' (₹ lakh, ex-GST). Low=Conservative, Base=Base, High=Aggressive. Pasted values; rebuild via run_all.py</t>
  </si>
  <si>
    <t xml:space="preserve">SOM-TRI</t>
  </si>
  <si>
    <t xml:space="preserve">Y3 tricity-origin flagship revenue (L1 taster, L1-S5 self-makeup, L2, L3 tricity share)</t>
  </si>
  <si>
    <t xml:space="preserve">₹ lakh ex-GST</t>
  </si>
  <si>
    <t xml:space="preserve">business_forecast.xlsx 3yr_Scenarios (linked by run_all.py)</t>
  </si>
  <si>
    <t xml:space="preserve">[EST] model output</t>
  </si>
  <si>
    <t xml:space="preserve">SOM-REG</t>
  </si>
  <si>
    <t xml:space="preserve">Y3 regional destination revenue (L3 outstation share + satellite if gated in)</t>
  </si>
  <si>
    <t xml:space="preserve">SOM-HYB</t>
  </si>
  <si>
    <t xml:space="preserve">Y3 hybrid programme revenue</t>
  </si>
  <si>
    <t xml:space="preserve">SOM-CPD</t>
  </si>
  <si>
    <t xml:space="preserve">Y3 working-artist CPD revenue (L4 masterclasses + L5 Pro Circle)</t>
  </si>
  <si>
    <t xml:space="preserve">SOM-ONL</t>
  </si>
  <si>
    <t xml:space="preserve">Y3 online short-course revenue</t>
  </si>
  <si>
    <t xml:space="preserve">SOM-ADJ</t>
  </si>
  <si>
    <t xml:space="preserve">Y3 adjacent revenue outside the training market (kit margin, services desk, partnerships)</t>
  </si>
  <si>
    <t xml:space="preserve">SOM-LRN-TRI</t>
  </si>
  <si>
    <t xml:space="preserve">Y3 tricity-origin career learners (L2+L3 new students)</t>
  </si>
  <si>
    <t xml:space="preserve">SOM-LRN-REG</t>
  </si>
  <si>
    <t xml:space="preserve">Y3 out-of-town career learners (offline + satellite)</t>
  </si>
  <si>
    <t xml:space="preserve">SOM-LRN-HYB</t>
  </si>
  <si>
    <t xml:space="preserve">Y3 incremental destination/hybrid learners</t>
  </si>
  <si>
    <t xml:space="preserve">CA-01</t>
  </si>
  <si>
    <t xml:space="preserve">PNA paying students per year today (all courses) - founder 'under 60'</t>
  </si>
  <si>
    <t xml:space="preserve">students/yr</t>
  </si>
  <si>
    <t xml:space="preserve">Founder 2026-10-16 (canonical CA-01)</t>
  </si>
  <si>
    <t xml:space="preserve">[FOUNDER]</t>
  </si>
  <si>
    <t xml:space="preserve">SOM-BASELINE</t>
  </si>
  <si>
    <t xml:space="preserve">Illustrative PNA baseline revenue today (CA-01 x assumed fees; NOT actual revenue)</t>
  </si>
  <si>
    <t xml:space="preserve">business_forecast.xlsx Unit_Economics baseline (CA-01, CA-02)</t>
  </si>
  <si>
    <t xml:space="preserve">TAM: India paid makeup-led training tuition (₹ crore / yr, current run-rate)</t>
  </si>
  <si>
    <t xml:space="preserve">Re-computes india_market_analysis §8 with live formulas. Definition: learner-paid tuition for makeup-led professional/enthusiast training; excludes govt-funded places, kits, products, salon services.</t>
  </si>
  <si>
    <t xml:space="preserve">Step</t>
  </si>
  <si>
    <t xml:space="preserve">Formula</t>
  </si>
  <si>
    <t xml:space="preserve">Assumption / note</t>
  </si>
  <si>
    <t xml:space="preserve">Method 1 - pipeline (council throughput -&gt; paid -&gt; makeup-led)</t>
  </si>
  <si>
    <t xml:space="preserve">a. Council-certified per year</t>
  </si>
  <si>
    <t xml:space="preserve">input</t>
  </si>
  <si>
    <t xml:space="preserve">b. Total vocational trainees per year</t>
  </si>
  <si>
    <t xml:space="preserve">a / A-IND-02</t>
  </si>
  <si>
    <t xml:space="preserve">   check: share of KPMG need</t>
  </si>
  <si>
    <t xml:space="preserve">b / 679,624</t>
  </si>
  <si>
    <t xml:space="preserve">c. Paid share</t>
  </si>
  <si>
    <t xml:space="preserve">d. Paid learners, all beauty</t>
  </si>
  <si>
    <t xml:space="preserve">b x c</t>
  </si>
  <si>
    <t xml:space="preserve">e. Makeup-led share</t>
  </si>
  <si>
    <t xml:space="preserve">f. Makeup-led paid learners</t>
  </si>
  <si>
    <t xml:space="preserve">d x e</t>
  </si>
  <si>
    <t xml:space="preserve">g. Blended fee per makeup-led learner (₹)</t>
  </si>
  <si>
    <t xml:space="preserve">Σ tier share x tier fee (A-IND-05a..h)</t>
  </si>
  <si>
    <t xml:space="preserve">h. Makeup-led tuition revenue (₹ crore)</t>
  </si>
  <si>
    <t xml:space="preserve">f x g / 1e7</t>
  </si>
  <si>
    <t xml:space="preserve">i. Non-makeup learners</t>
  </si>
  <si>
    <t xml:space="preserve">d - f</t>
  </si>
  <si>
    <t xml:space="preserve">k. Non-makeup revenue (₹ crore)</t>
  </si>
  <si>
    <t xml:space="preserve">i x A-IND-06</t>
  </si>
  <si>
    <t xml:space="preserve">l. All-beauty paid training (₹ crore) - context</t>
  </si>
  <si>
    <t xml:space="preserve">h + k</t>
  </si>
  <si>
    <t xml:space="preserve">Method 2 - supply side (chains x learners x independent multiple)</t>
  </si>
  <si>
    <t xml:space="preserve">a. Branded chain/franchise centres</t>
  </si>
  <si>
    <t xml:space="preserve">b. Learners per centre per year</t>
  </si>
  <si>
    <t xml:space="preserve">c. Organised private learners</t>
  </si>
  <si>
    <t xml:space="preserve">a x b</t>
  </si>
  <si>
    <t xml:space="preserve">e. Total paid learners, all beauty</t>
  </si>
  <si>
    <t xml:space="preserve">c x (1 + A-IND-09)</t>
  </si>
  <si>
    <t xml:space="preserve">g. Makeup-led paid learners</t>
  </si>
  <si>
    <t xml:space="preserve">e x A-IND-04 (shared with M1: not independent)</t>
  </si>
  <si>
    <t xml:space="preserve">i. Makeup-led tuition revenue (₹ crore)</t>
  </si>
  <si>
    <t xml:space="preserve">g x blended fee</t>
  </si>
  <si>
    <t xml:space="preserve">j. Non-makeup revenue (₹ crore)</t>
  </si>
  <si>
    <t xml:space="preserve">k. All-beauty paid training (₹ crore) - context</t>
  </si>
  <si>
    <t xml:space="preserve">Triangulated TAM (mean of methods) - CA-06</t>
  </si>
  <si>
    <t xml:space="preserve">TAM: makeup-led paid tuition, India (₹ crore/yr)</t>
  </si>
  <si>
    <t xml:space="preserve">equals CA-06 (₹80 / 390 / 1,370 crore)</t>
  </si>
  <si>
    <t xml:space="preserve">Makeup-led paid learners, India (mean of methods)</t>
  </si>
  <si>
    <t xml:space="preserve">used for share-of-India arithmetic</t>
  </si>
  <si>
    <t xml:space="preserve">Makeup-led learners per 1,000 women aged 17-35</t>
  </si>
  <si>
    <t xml:space="preserve">national participation intensity</t>
  </si>
  <si>
    <t xml:space="preserve">Online / short-course layer (₹ crore) - reported separately</t>
  </si>
  <si>
    <t xml:space="preserve">A-IND-10a x 10b</t>
  </si>
  <si>
    <t xml:space="preserve">TAM incl. online layer (₹ crore)</t>
  </si>
  <si>
    <t xml:space="preserve">USD million equivalent (core TAM)</t>
  </si>
  <si>
    <t xml:space="preserve">display only</t>
  </si>
  <si>
    <t xml:space="preserve">Context: all-beauty paid training (mean, ₹ crore) - NOT the TAM</t>
  </si>
  <si>
    <t xml:space="preserve">wider beauty-education context</t>
  </si>
  <si>
    <t xml:space="preserve">Context: core TAM as % of Beauty &amp; Salon sector 2025P</t>
  </si>
  <si>
    <t xml:space="preserve">shows education ≪ services market</t>
  </si>
  <si>
    <t xml:space="preserve">Context: 5-state regional slice by KPMG workforce share (₹ crore)</t>
  </si>
  <si>
    <t xml:space="preserve">A-IND-17 proxy; cross-check for SAM_North</t>
  </si>
  <si>
    <t xml:space="preserve">Methods share A-IND-04 and A-IND-05, so their agreement on order of magnitude is weaker evidence than it looks. Base is a planning number, not a market fact.</t>
  </si>
  <si>
    <t xml:space="preserve">Reconciliation: tricity (CA-05) vs India (CA-06)</t>
  </si>
  <si>
    <t xml:space="preserve">Why ₹5.7 cr looked like 1.5% of a ₹390 cr India market when the tricity holds ~0.2% of India's young women - and the consistent set we adopt.</t>
  </si>
  <si>
    <t xml:space="preserve">Item</t>
  </si>
  <si>
    <t xml:space="preserve">Note</t>
  </si>
  <si>
    <t xml:space="preserve">0. Demand-intensity indices (computed from [FACT] KPMG state B&amp;W workforce shares)</t>
  </si>
  <si>
    <t xml:space="preserve">Chandigarh B&amp;W intensity (state share / India share)</t>
  </si>
  <si>
    <t xml:space="preserve">6.16% / 2.41%</t>
  </si>
  <si>
    <t xml:space="preserve">Punjab intensity (applied to Mohali)</t>
  </si>
  <si>
    <t xml:space="preserve">Haryana intensity (applied to Panchkula)</t>
  </si>
  <si>
    <t xml:space="preserve">Women weights: Chandigarh / Mohali / Panchkula (000)</t>
  </si>
  <si>
    <t xml:space="preserve">sum = 471k</t>
  </si>
  <si>
    <t xml:space="preserve">Affluence weight (A-CHD-06) - cross-check</t>
  </si>
  <si>
    <t xml:space="preserve">income-based; agrees with KPMG index within ~3% at base</t>
  </si>
  <si>
    <t xml:space="preserve">(spacer)</t>
  </si>
  <si>
    <t xml:space="preserve">KPMG B&amp;W intensity index, tricity (women-weighted)</t>
  </si>
  <si>
    <t xml:space="preserve">Feeds A-ECO-01 base (1.90)</t>
  </si>
  <si>
    <t xml:space="preserve">1. As published (scopes differ)</t>
  </si>
  <si>
    <t xml:space="preserve">CA-05 tricity learners = women x participation / (1 - outstation)</t>
  </si>
  <si>
    <t xml:space="preserve">chandigarh_market_analysis §8.1: 593 / 1,256 / 2,229. Scope: makeup + beauty-artistry; participation calibrated to bridal-MUA pipeline</t>
  </si>
  <si>
    <t xml:space="preserve">CA-05 tricity revenue (₹ crore)</t>
  </si>
  <si>
    <t xml:space="preserve">1.8 / 5.7 / 13.4</t>
  </si>
  <si>
    <t xml:space="preserve">CA-06 India TAM (₹ crore)</t>
  </si>
  <si>
    <t xml:space="preserve">80 / 390 / 1,370</t>
  </si>
  <si>
    <t xml:space="preserve">Apparent tricity share of India (CA-05 / CA-06)</t>
  </si>
  <si>
    <t xml:space="preserve">the 'open reconciliation': ~1.5% at base</t>
  </si>
  <si>
    <t xml:space="preserve">Tricity share of India women 17-35</t>
  </si>
  <si>
    <t xml:space="preserve">~0.21%</t>
  </si>
  <si>
    <t xml:space="preserve">2. Method A - top-down from India TAM (national participation x tricity intensity)</t>
  </si>
  <si>
    <t xml:space="preserve">India makeup-led paid learners</t>
  </si>
  <si>
    <t xml:space="preserve">TAM_India mean of methods</t>
  </si>
  <si>
    <t xml:space="preserve">x tricity population share</t>
  </si>
  <si>
    <t xml:space="preserve">x demand-intensity index (A-ECO-01)</t>
  </si>
  <si>
    <t xml:space="preserve">B&amp;W workforce / affluence</t>
  </si>
  <si>
    <t xml:space="preserve">x urban-concentration factor = (uT*k + 1-uT)/(uI*k + 1-uI)</t>
  </si>
  <si>
    <t xml:space="preserve">A-ECO-02..04. May overlap partly with the intensity index (both rise with urbanisation) - flagged</t>
  </si>
  <si>
    <t xml:space="preserve">/ (1 - outstation inflow)</t>
  </si>
  <si>
    <t xml:space="preserve">tricity counts students who come from home states</t>
  </si>
  <si>
    <t xml:space="preserve">Tricity share of India makeup-led learners (product)</t>
  </si>
  <si>
    <t xml:space="preserve">Method A learners</t>
  </si>
  <si>
    <t xml:space="preserve">Method A revenue at tricity fee (₹ crore)</t>
  </si>
  <si>
    <t xml:space="preserve">tricity fee (A-CHD-05) &lt; India blended fee (no T4 premium tier locally)</t>
  </si>
  <si>
    <t xml:space="preserve">3. Method B - CA-05 bottom-up restated to the TAM scope (makeup-led only)</t>
  </si>
  <si>
    <t xml:space="preserve">CA-05 learners (makeup + beauty-artistry)</t>
  </si>
  <si>
    <t xml:space="preserve">x makeup-led share (A-ECO-06)</t>
  </si>
  <si>
    <t xml:space="preserve">scope harmonisation</t>
  </si>
  <si>
    <t xml:space="preserve">Method B learners (makeup-led)</t>
  </si>
  <si>
    <t xml:space="preserve">Method B revenue (₹ crore)</t>
  </si>
  <si>
    <t xml:space="preserve">4. Method C - supply-side count of tricity providers (cross-check)</t>
  </si>
  <si>
    <t xml:space="preserve">Chain/brand centres x makeup learners</t>
  </si>
  <si>
    <t xml:space="preserve">A-ECO-07 x 08</t>
  </si>
  <si>
    <t xml:space="preserve">Independent institutes x learners</t>
  </si>
  <si>
    <t xml:space="preserve">A-ECO-09 x 10</t>
  </si>
  <si>
    <t xml:space="preserve">Founder-led academies x learners</t>
  </si>
  <si>
    <t xml:space="preserve">A-ECO-11 x 12</t>
  </si>
  <si>
    <t xml:space="preserve">Tutors (UrbanPro listings x active learners per listing)</t>
  </si>
  <si>
    <t xml:space="preserve">A-ECO-13 x 14</t>
  </si>
  <si>
    <t xml:space="preserve">Method C learners</t>
  </si>
  <si>
    <t xml:space="preserve">Method C revenue (₹ crore)</t>
  </si>
  <si>
    <t xml:space="preserve">5. ADOPTED CONSISTENT SET - tricity makeup-led paid training (planning band = spread of the three methods' base cases)</t>
  </si>
  <si>
    <t xml:space="preserve">Reconciled tricity learners (Low = min, Base = mean, High = max of method base cases)</t>
  </si>
  <si>
    <t xml:space="preserve">Method disagreement is the dominant uncertainty; each method's own low/high compounds extreme inputs (shown below)</t>
  </si>
  <si>
    <t xml:space="preserve">Reconciled tricity revenue (₹ crore, quoted fees)</t>
  </si>
  <si>
    <t xml:space="preserve">learners x A-CHD-05 (₹30k / 45k / 60k)</t>
  </si>
  <si>
    <t xml:space="preserve">  of which outstation (inflow) learners</t>
  </si>
  <si>
    <t xml:space="preserve">Reconciled tricity revenue as share of India BASE TAM</t>
  </si>
  <si>
    <t xml:space="preserve">Base ≈0.84% vs 1.46% apparent (CA-05/CA-06)</t>
  </si>
  <si>
    <t xml:space="preserve">Outer bounds: min of method lows / max of method highs (learners)</t>
  </si>
  <si>
    <t xml:space="preserve">for transparency only</t>
  </si>
  <si>
    <t xml:space="preserve">6. Decomposing the base-case gap (participation per 1,000 women 17-35)</t>
  </si>
  <si>
    <t xml:space="preserve">CA-05 tricity learners per 1,000 women</t>
  </si>
  <si>
    <t xml:space="preserve">India makeup-led learners per 1,000 women</t>
  </si>
  <si>
    <t xml:space="preserve">Gap ratio to explain</t>
  </si>
  <si>
    <t xml:space="preserve">  explained by scope (CA-05 includes non-makeup artistry) = 1/A-ECO-06</t>
  </si>
  <si>
    <t xml:space="preserve">  explained by outstation inflow = 1/(1-A-CHD-04)</t>
  </si>
  <si>
    <t xml:space="preserve">  explained by demand intensity (A-ECO-01)</t>
  </si>
  <si>
    <t xml:space="preserve">  explained by urban concentration</t>
  </si>
  <si>
    <t xml:space="preserve">  product of explained factors</t>
  </si>
  <si>
    <t xml:space="preserve">  unexplained residual</t>
  </si>
  <si>
    <t xml:space="preserve">Residual = local evidence (CA-05 pipeline, Method C supply count) sits above the national top-down. Read: CA-06 base is conservative for urban North India and/or tricity is a makeup-academy hot-spot.</t>
  </si>
  <si>
    <t xml:space="preserve">Residual retained in adopted base (reconciled / Method A)</t>
  </si>
  <si>
    <t xml:space="preserve">the planning set keeps ~half of the residual (geometric middle)</t>
  </si>
  <si>
    <t xml:space="preserve">7. Resolution (documented in assumptions_register.md and assumptions_and_methodology.md)</t>
  </si>
  <si>
    <t xml:space="preserve">1. Scope: one definition everywhere - learner-paid, private, makeup-led training tuition at quoted fees (GST-inclusive where quoted); excludes non-makeup beauty courses, govt-funded places, kits, products, services.</t>
  </si>
  <si>
    <t xml:space="preserve">2. India TAM (CA-06) is retained unchanged: ₹80 / 390 / 1,370 crore (+ online layer ₹3 / 23 / 120 crore shown separately).</t>
  </si>
  <si>
    <t xml:space="preserve">3. CA-05 (₹5.7 crore) is NOT a makeup-led number: it counts makeup + beauty-artistry learners at a diploma fee. Restated to makeup-led scope it is Method B.</t>
  </si>
  <si>
    <t xml:space="preserve">4. Adopted tricity makeup-led market = mean of three methods (top-down, CA-05 restated, supply count): ≈₹3.3 crore and ≈730 learners at base (band ₹1.4-5.3 crore).</t>
  </si>
  <si>
    <t xml:space="preserve">5. This is ≈0.8-0.9% of the India base TAM - above the 0.21% population share because of beauty-workforce intensity (1.9x), urban concentration (1.6x) and outstation inflow (1.33x); the remaining ~1.5x is local evidence the national model does not see.</t>
  </si>
  <si>
    <t xml:space="preserve">6. Consequence: tricity alone caps a single centre at roughly ₹0.5-0.8 crore of tuition at a 15-25% share - growth must come from regional, hybrid, CPD and online layers (SAM_North).</t>
  </si>
  <si>
    <t xml:space="preserve">SAM: North India market serviceable by a Chandigarh-led offline/hybrid academy (₹ crore / yr, quoted fees)</t>
  </si>
  <si>
    <t xml:space="preserve">Five components built on the same participation chain as the reconciled tricity number; outstation learners already inside the tricity figure are netted out of the regional component.</t>
  </si>
  <si>
    <t xml:space="preserve">Rest-of-region intensity (PB/HR/HP/J&amp;K excl. tricity)</t>
  </si>
  <si>
    <t xml:space="preserve">Σ women x state B&amp;W intensity</t>
  </si>
  <si>
    <t xml:space="preserve">Σ women (000)</t>
  </si>
  <si>
    <t xml:space="preserve">equals X-W-ROR 12,376</t>
  </si>
  <si>
    <t xml:space="preserve">KPMG intensity index, rest of region</t>
  </si>
  <si>
    <t xml:space="preserve">Feeds A-ECO-05 base (1.30)</t>
  </si>
  <si>
    <t xml:space="preserve">SAM-1 Tricity (reconciled, Tricity_Recon §5)</t>
  </si>
  <si>
    <t xml:space="preserve">Tricity makeup-led learners</t>
  </si>
  <si>
    <t xml:space="preserve">SAM-1 revenue (₹ crore)</t>
  </si>
  <si>
    <t xml:space="preserve">SAM-2 Regional destination learners (offline, travel to Chandigarh)</t>
  </si>
  <si>
    <t xml:space="preserve">Rest-of-region makeup-led learners</t>
  </si>
  <si>
    <t xml:space="preserve">India learners x population share x A-ECO-05</t>
  </si>
  <si>
    <t xml:space="preserve">x reachable share (A-ECO-15)</t>
  </si>
  <si>
    <t xml:space="preserve">Reachable regional learners</t>
  </si>
  <si>
    <t xml:space="preserve">less: already counted as tricity outstation inflow</t>
  </si>
  <si>
    <t xml:space="preserve">avoid double count</t>
  </si>
  <si>
    <t xml:space="preserve">Net incremental regional learners</t>
  </si>
  <si>
    <t xml:space="preserve">SAM-2 revenue (₹ crore)</t>
  </si>
  <si>
    <t xml:space="preserve">at tricity fee</t>
  </si>
  <si>
    <t xml:space="preserve">SAM-3 Hybrid (online theory + short Chandigarh practical) for learners beyond offline reach</t>
  </si>
  <si>
    <t xml:space="preserve">Non-reachable regional learners</t>
  </si>
  <si>
    <t xml:space="preserve">x hybrid-willing share (A-ECO-16)</t>
  </si>
  <si>
    <t xml:space="preserve">Hybrid learners</t>
  </si>
  <si>
    <t xml:space="preserve">SAM-3 revenue (₹ crore)</t>
  </si>
  <si>
    <t xml:space="preserve">A-ECO-17 fee</t>
  </si>
  <si>
    <t xml:space="preserve">SAM-4 Working-artist CPD / masterclasses (tricity + reachable region) - scope extension, see note</t>
  </si>
  <si>
    <t xml:space="preserve">Working makeup artists in reach</t>
  </si>
  <si>
    <t xml:space="preserve">A-ECO-18 + 19</t>
  </si>
  <si>
    <t xml:space="preserve">Paying CPD participants per year</t>
  </si>
  <si>
    <t xml:space="preserve">SAM-4 revenue (₹ crore)</t>
  </si>
  <si>
    <t xml:space="preserve">CPD by working pros is largely outside the TAM's entrant-based learner count; shown separately so it does not inflate TAM comparisons</t>
  </si>
  <si>
    <t xml:space="preserve">SAM-5 Online short-course layer reachable with Hindi/Punjabi founder content</t>
  </si>
  <si>
    <t xml:space="preserve">SAM-5 revenue (₹ crore)</t>
  </si>
  <si>
    <t xml:space="preserve">India online layer x A-ECO-22</t>
  </si>
  <si>
    <t xml:space="preserve">SAM totals</t>
  </si>
  <si>
    <t xml:space="preserve">SAM core: offline + hybrid + CPD (SAM-1..4), ₹ crore</t>
  </si>
  <si>
    <t xml:space="preserve">headline SAM</t>
  </si>
  <si>
    <t xml:space="preserve">SAM online layer (SAM-5), ₹ crore</t>
  </si>
  <si>
    <t xml:space="preserve">low-ticket, crowded (Orane, Airblack, YouTube)</t>
  </si>
  <si>
    <t xml:space="preserve">SAM total, ₹ crore</t>
  </si>
  <si>
    <t xml:space="preserve">Training learners in SAM-1..3 (excl. CPD and online)</t>
  </si>
  <si>
    <t xml:space="preserve">SAM total / TAM incl. online</t>
  </si>
  <si>
    <t xml:space="preserve">Cross-check: 5-state makeup-led market bottom-up (tricity + all rest-of-region learners x tricity fee)</t>
  </si>
  <si>
    <t xml:space="preserve">compare with next row</t>
  </si>
  <si>
    <t xml:space="preserve">Cross-check: TAM x 7.65% workforce proxy, restated at tricity/India fee ratio</t>
  </si>
  <si>
    <t xml:space="preserve">two routes should be the same order of magnitude</t>
  </si>
  <si>
    <t xml:space="preserve">SOM: PNA's realistic Year-3 revenue and implied share of each SAM component</t>
  </si>
  <si>
    <t xml:space="preserve">SOM = Year-3 revenue from business_forecast.xlsx 3yr_Scenarios (Low=Conservative, Base, High=Aggressive), converted to quoted (GST-inclusive) prices to match market sizing.</t>
  </si>
  <si>
    <t xml:space="preserve">Low (Cons.)</t>
  </si>
  <si>
    <t xml:space="preserve">High (Aggr.)</t>
  </si>
  <si>
    <t xml:space="preserve">SOM by component (₹ crore, quoted incl. GST) and implied share</t>
  </si>
  <si>
    <t xml:space="preserve">Tricity flagship (SAM-1): PNA Y3 revenue</t>
  </si>
  <si>
    <t xml:space="preserve">SOM-TRI x (1+GST) / 100</t>
  </si>
  <si>
    <t xml:space="preserve">Tricity flagship (SAM-1): implied share of SAM component</t>
  </si>
  <si>
    <t xml:space="preserve">Regional destination (SAM-2): PNA Y3 revenue</t>
  </si>
  <si>
    <t xml:space="preserve">SOM-REG x (1+GST) / 100</t>
  </si>
  <si>
    <t xml:space="preserve">Regional destination (SAM-2): implied share of SAM component</t>
  </si>
  <si>
    <t xml:space="preserve">Hybrid (SAM-3): PNA Y3 revenue</t>
  </si>
  <si>
    <t xml:space="preserve">SOM-HYB x (1+GST) / 100</t>
  </si>
  <si>
    <t xml:space="preserve">Hybrid (SAM-3): implied share of SAM component</t>
  </si>
  <si>
    <t xml:space="preserve">Working-artist CPD (SAM-4): PNA Y3 revenue</t>
  </si>
  <si>
    <t xml:space="preserve">SOM-CPD x (1+GST) / 100</t>
  </si>
  <si>
    <t xml:space="preserve">Working-artist CPD (SAM-4): implied share of SAM component</t>
  </si>
  <si>
    <t xml:space="preserve">Online (SAM-5): PNA Y3 revenue</t>
  </si>
  <si>
    <t xml:space="preserve">SOM-ONL x (1+GST) / 100</t>
  </si>
  <si>
    <t xml:space="preserve">Online (SAM-5): implied share of SAM component</t>
  </si>
  <si>
    <t xml:space="preserve">Learner-share test (primary: PNA charges ~1.8x the tricity average fee, so revenue share overstates position)</t>
  </si>
  <si>
    <t xml:space="preserve">PNA Y3 tricity career learners / tricity makeup-led learners (SAM-1)</t>
  </si>
  <si>
    <t xml:space="preserve">Chandigarh agent: 10-30% is the plausible single-centre band</t>
  </si>
  <si>
    <t xml:space="preserve">PNA Y3 out-of-town career learners / net regional reachable learners (SAM-2)</t>
  </si>
  <si>
    <t xml:space="preserve">denominator incl. inflow already in tricity</t>
  </si>
  <si>
    <t xml:space="preserve">PNA Y3 hybrid learners / hybrid-willing learners (SAM-3)</t>
  </si>
  <si>
    <t xml:space="preserve">PNA Y3 tricity career learners / CA-05 tricity learners (BM test: flag if &gt;10% without regional engine)</t>
  </si>
  <si>
    <t xml:space="preserve">SOM training total (₹ crore, quoted)</t>
  </si>
  <si>
    <t xml:space="preserve">SOM / SAM core (excl. online)</t>
  </si>
  <si>
    <t xml:space="preserve">SOM / SAM total</t>
  </si>
  <si>
    <t xml:space="preserve">SOM / TAM incl. online</t>
  </si>
  <si>
    <t xml:space="preserve">benchmark: Mao Geping ≈1% of China makeup training (S-INT-01)</t>
  </si>
  <si>
    <t xml:space="preserve">Adjacent revenue outside training market (₹ crore, quoted)</t>
  </si>
  <si>
    <t xml:space="preserve">kits, services desk, partnerships - not counted in SOM share</t>
  </si>
  <si>
    <t xml:space="preserve">Today (illustrative baseline - CA-01 x assumed fees, NOT actual revenue)</t>
  </si>
  <si>
    <t xml:space="preserve">PNA illustrative baseline (₹ crore, quoted)</t>
  </si>
  <si>
    <t xml:space="preserve">CA-01 50 students x CA-02 fee mix</t>
  </si>
  <si>
    <t xml:space="preserve">Implied baseline share of tricity SAM-1</t>
  </si>
  <si>
    <t xml:space="preserve">sanity: ~5-10% for an established founder-led studio-academy</t>
  </si>
  <si>
    <t xml:space="preserve">Y3 SOM multiple of today</t>
  </si>
  <si>
    <t xml:space="preserve">ILLUSTRATIVE: today's PNA share of tricity makeup-led learners (CA-01 / reconciled learners; Low = CA-01 low / market high, High = CA-01 high / market low)</t>
  </si>
  <si>
    <t xml:space="preserve">All PNA students (career + short) over all makeup-led learners (incl. short-course). Not quoted as a fact until CA-01 is confirmed (V1)</t>
  </si>
  <si>
    <t xml:space="preserve">Share tests: a single centre at &gt;25% of tricity, &gt;30% of CPD or &gt;5% of online would be a red flag (chandigarh_market_analysis §8.2; international_benchmarks §2).</t>
  </si>
  <si>
    <t xml:space="preserve">Market-sizing tree (₹ crore / yr unless stated)</t>
  </si>
  <si>
    <t xml:space="preserve">Never present the beauty products/services market as the education market (see Context_NotTAM).</t>
  </si>
  <si>
    <t xml:space="preserve">Node</t>
  </si>
  <si>
    <t xml:space="preserve">Selected case</t>
  </si>
  <si>
    <t xml:space="preserve">Definition / source</t>
  </si>
  <si>
    <t xml:space="preserve">TAM  India: paid makeup-led training tuition</t>
  </si>
  <si>
    <t xml:space="preserve">CA-06; TAM_India (mean of pipeline and supply methods)</t>
  </si>
  <si>
    <t xml:space="preserve">  + India online / short-course layer</t>
  </si>
  <si>
    <t xml:space="preserve">A-IND-10; reported separately</t>
  </si>
  <si>
    <t xml:space="preserve">  (context) 5-state North slice by KPMG workforce share</t>
  </si>
  <si>
    <t xml:space="preserve">A-IND-17 x TAM; not used directly</t>
  </si>
  <si>
    <t xml:space="preserve">SAM  North India serviceable by a Chandigarh-led academy (total)</t>
  </si>
  <si>
    <t xml:space="preserve">SAM_North</t>
  </si>
  <si>
    <t xml:space="preserve">  SAM core (offline + hybrid + CPD)</t>
  </si>
  <si>
    <t xml:space="preserve">    SAM-1 Tricity makeup-led (reconciled)</t>
  </si>
  <si>
    <t xml:space="preserve">Tricity_Recon §5 (replaces CA-05 for planning)</t>
  </si>
  <si>
    <t xml:space="preserve">    SAM-2 Regional destination (net of inflow)</t>
  </si>
  <si>
    <t xml:space="preserve">PB/HR/HP/J&amp;K reachable offline</t>
  </si>
  <si>
    <t xml:space="preserve">    SAM-3 Hybrid beyond offline reach</t>
  </si>
  <si>
    <t xml:space="preserve">    SAM-4 Working-artist CPD / masterclasses</t>
  </si>
  <si>
    <t xml:space="preserve">scope extension (repeat buyers)</t>
  </si>
  <si>
    <t xml:space="preserve">  SAM-5 Online layer (North-reachable)</t>
  </si>
  <si>
    <t xml:space="preserve">SOM  PNA Year-3 revenue (quoted, training only)</t>
  </si>
  <si>
    <t xml:space="preserve">business_forecast 3yr_Scenarios (Cons/Base/Aggr)</t>
  </si>
  <si>
    <t xml:space="preserve">  SOM as % of SAM core (excl. online)</t>
  </si>
  <si>
    <t xml:space="preserve">  PNA learner share of tricity makeup-led learners (Y3)</t>
  </si>
  <si>
    <t xml:space="preserve">primary share test</t>
  </si>
  <si>
    <t xml:space="preserve">  SOM as % of TAM incl. online</t>
  </si>
  <si>
    <t xml:space="preserve">Today  PNA illustrative baseline (NOT actual revenue)</t>
  </si>
  <si>
    <t xml:space="preserve">CA-01 x CA-02 assumptions</t>
  </si>
  <si>
    <t xml:space="preserve">  Illustrative: today's PNA share of tricity makeup-led learners</t>
  </si>
  <si>
    <t xml:space="preserve">CA-01 / reconciled learners; to confirm with V1</t>
  </si>
  <si>
    <t xml:space="preserve">Learners: India makeup-led paid learners</t>
  </si>
  <si>
    <t xml:space="preserve">Learners: tricity makeup-led (reconciled)</t>
  </si>
  <si>
    <t xml:space="preserve">Selected case follows the selector on Assumptions!C3 (Low / Base / High).</t>
  </si>
  <si>
    <t xml:space="preserve">Context only - these are NOT the education market and must never be presented as TAM</t>
  </si>
  <si>
    <t xml:space="preserve">Market</t>
  </si>
  <si>
    <t xml:space="preserve">Figure</t>
  </si>
  <si>
    <t xml:space="preserve">Source</t>
  </si>
  <si>
    <t xml:space="preserve">Why excluded</t>
  </si>
  <si>
    <t xml:space="preserve">Beauty &amp; Wellness sector (products + services) 2025P</t>
  </si>
  <si>
    <t xml:space="preserve">S-IND-01 Table 1</t>
  </si>
  <si>
    <t xml:space="preserve">Consumer spend on products and services</t>
  </si>
  <si>
    <t xml:space="preserve">Beauty &amp; Salon sub-sector 2025P</t>
  </si>
  <si>
    <t xml:space="preserve">Salon services spend</t>
  </si>
  <si>
    <t xml:space="preserve">Makeup products (2024)</t>
  </si>
  <si>
    <t xml:space="preserve">USD bn</t>
  </si>
  <si>
    <t xml:space="preserve">S-IND-51</t>
  </si>
  <si>
    <t xml:space="preserve">Product sales</t>
  </si>
  <si>
    <t xml:space="preserve">Beauty salon services (2025)</t>
  </si>
  <si>
    <t xml:space="preserve">S-IND-22</t>
  </si>
  <si>
    <t xml:space="preserve">Services; vendor model</t>
  </si>
  <si>
    <t xml:space="preserve">Bridal makeup service spend (cross-check, base)</t>
  </si>
  <si>
    <t xml:space="preserve">india_market_analysis §8.4</t>
  </si>
  <si>
    <t xml:space="preserve">Services demand for MUAs, not tuition</t>
  </si>
  <si>
    <t xml:space="preserve">Weddings: peak-season business 2025</t>
  </si>
  <si>
    <t xml:space="preserve">S-IND-10 (CAIT)</t>
  </si>
  <si>
    <t xml:space="preserve">Wedding industry</t>
  </si>
  <si>
    <t xml:space="preserve">All-beauty paid training (mean, base) - wider education context</t>
  </si>
  <si>
    <t xml:space="preserve">TAM_India</t>
  </si>
  <si>
    <t xml:space="preserve">Includes non-makeup beauty courses; TAM is the makeup-led subset</t>
  </si>
  <si>
    <t xml:space="preserve">TAM (makeup-led paid tuition, base) for comparison</t>
  </si>
  <si>
    <t xml:space="preserve">Integrity checks (TRUE = pass)</t>
  </si>
  <si>
    <t xml:space="preserve">Check</t>
  </si>
  <si>
    <t xml:space="preserve">Result</t>
  </si>
  <si>
    <t xml:space="preserve">Detail</t>
  </si>
  <si>
    <t xml:space="preserve">TAM_India Method 1 base reproduces research (₹522.1 crore ±1)</t>
  </si>
  <si>
    <t xml:space="preserve">TAM base reproduces CA-06 (₹387.7 crore ±1)</t>
  </si>
  <si>
    <t xml:space="preserve">CA-05 base reproduces research (₹5.65 crore ±0.1)</t>
  </si>
  <si>
    <t xml:space="preserve">Reconciled tricity base lies between Method A and Method B</t>
  </si>
  <si>
    <t xml:space="preserve">Low &lt;= Base &lt;= High for reconciled tricity revenue</t>
  </si>
  <si>
    <t xml:space="preserve">SAM total &lt; TAM incl. online (all cases)</t>
  </si>
  <si>
    <t xml:space="preserve">SOM &lt; SAM total (all cases)</t>
  </si>
  <si>
    <t xml:space="preserve">Base SOM learner share of tricity &lt;= 25% (revenue share shown separately)</t>
  </si>
  <si>
    <t xml:space="preserve">KPMG tricity intensity within 10% of affluence weight (cross-check)</t>
  </si>
  <si>
    <t xml:space="preserve">All checks pass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</si>
</sst>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[RED]\-#,##0"/>
    <numFmt numFmtId="166" formatCode="0.0%;[RED]\-0.0%"/>
    <numFmt numFmtId="167" formatCode="\₹#,##0;[RED]&quot;-₹&quot;#,##0"/>
    <numFmt numFmtId="168" formatCode="#,##0.0;[RED]\-#,##0.0"/>
    <numFmt numFmtId="169" formatCode="0.00%;[RED]\-0.00%"/>
    <numFmt numFmtId="170" formatCode="#,##0.00;[RED]\-#,##0.00"/>
    <numFmt numFmtId="171" formatCode="0.00\x"/>
    <numFmt numFmtId="172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sz val="11"/>
      <color rgb="FF0000CC"/>
      <name val="Cambria"/>
      <family val="0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4" t="s">
        <v>3</v>
      </c>
    </row>
    <row r="5" customFormat="false" ht="45" hidden="false" customHeight="true" outlineLevel="0" collapsed="false">
      <c r="A5" s="3" t="s">
        <v>4</v>
      </c>
      <c r="B5" s="4" t="s">
        <v>5</v>
      </c>
    </row>
    <row r="6" customFormat="false" ht="45" hidden="false" customHeight="true" outlineLevel="0" collapsed="false">
      <c r="A6" s="3" t="s">
        <v>6</v>
      </c>
      <c r="B6" s="4" t="s">
        <v>7</v>
      </c>
    </row>
    <row r="7" customFormat="false" ht="45" hidden="false" customHeight="true" outlineLevel="0" collapsed="false">
      <c r="A7" s="3" t="s">
        <v>8</v>
      </c>
      <c r="B7" s="4" t="s">
        <v>9</v>
      </c>
    </row>
    <row r="8" customFormat="false" ht="45" hidden="false" customHeight="true" outlineLevel="0" collapsed="false">
      <c r="A8" s="3" t="s">
        <v>10</v>
      </c>
      <c r="B8" s="4" t="s">
        <v>11</v>
      </c>
    </row>
    <row r="9" customFormat="false" ht="45" hidden="false" customHeight="true" outlineLevel="0" collapsed="false">
      <c r="A9" s="3" t="s">
        <v>12</v>
      </c>
      <c r="B9" s="4" t="s">
        <v>13</v>
      </c>
    </row>
    <row r="10" customFormat="false" ht="45" hidden="false" customHeight="true" outlineLevel="0" collapsed="false">
      <c r="A10" s="3" t="s">
        <v>14</v>
      </c>
      <c r="B10" s="4" t="s">
        <v>15</v>
      </c>
    </row>
    <row r="11" customFormat="false" ht="45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5" min="3" style="0" width="13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8" min="8" style="0" width="10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3" t="s">
        <v>20</v>
      </c>
      <c r="C3" s="5" t="s">
        <v>21</v>
      </c>
      <c r="D3" s="2" t="s">
        <v>22</v>
      </c>
    </row>
    <row r="4" customFormat="false" ht="15" hidden="false" customHeight="false" outlineLevel="0" collapsed="false">
      <c r="A4" s="0" t="s">
        <v>23</v>
      </c>
      <c r="C4" s="3" t="n">
        <f aca="false">MATCH($C$3,$K$4:$M$4,0)</f>
        <v>2</v>
      </c>
      <c r="K4" s="2" t="s">
        <v>24</v>
      </c>
      <c r="L4" s="2" t="s">
        <v>21</v>
      </c>
      <c r="M4" s="2" t="s">
        <v>25</v>
      </c>
    </row>
    <row r="6" customFormat="false" ht="15" hidden="false" customHeight="false" outlineLevel="0" collapsed="false">
      <c r="A6" s="6" t="s">
        <v>26</v>
      </c>
      <c r="B6" s="6" t="s">
        <v>27</v>
      </c>
      <c r="C6" s="6" t="s">
        <v>24</v>
      </c>
      <c r="D6" s="6" t="s">
        <v>21</v>
      </c>
      <c r="E6" s="6" t="s">
        <v>25</v>
      </c>
      <c r="F6" s="6" t="s">
        <v>4</v>
      </c>
      <c r="G6" s="6" t="s">
        <v>28</v>
      </c>
      <c r="H6" s="6" t="s">
        <v>29</v>
      </c>
      <c r="I6" s="6" t="s">
        <v>30</v>
      </c>
    </row>
    <row r="8" customFormat="false" ht="15" hidden="false" customHeight="false" outlineLevel="0" collapsed="false">
      <c r="A8" s="7" t="s">
        <v>31</v>
      </c>
      <c r="B8" s="8"/>
      <c r="C8" s="8"/>
      <c r="D8" s="8"/>
      <c r="E8" s="8"/>
      <c r="F8" s="8"/>
      <c r="G8" s="8"/>
      <c r="H8" s="8"/>
      <c r="I8" s="8"/>
    </row>
    <row r="9" customFormat="false" ht="28.35" hidden="false" customHeight="false" outlineLevel="0" collapsed="false">
      <c r="A9" s="3" t="s">
        <v>32</v>
      </c>
      <c r="B9" s="4" t="s">
        <v>33</v>
      </c>
      <c r="C9" s="9" t="n">
        <v>130000</v>
      </c>
      <c r="D9" s="9" t="n">
        <v>170000</v>
      </c>
      <c r="E9" s="9" t="n">
        <v>210000</v>
      </c>
      <c r="F9" s="10" t="s">
        <v>34</v>
      </c>
      <c r="G9" s="4" t="s">
        <v>35</v>
      </c>
      <c r="H9" s="10" t="s">
        <v>36</v>
      </c>
      <c r="I9" s="11" t="n">
        <f aca="false">INDEX(C9:E9,$C$4)</f>
        <v>170000</v>
      </c>
    </row>
    <row r="10" customFormat="false" ht="28.35" hidden="false" customHeight="false" outlineLevel="0" collapsed="false">
      <c r="A10" s="3" t="s">
        <v>37</v>
      </c>
      <c r="B10" s="4" t="s">
        <v>38</v>
      </c>
      <c r="C10" s="12" t="n">
        <v>0.4</v>
      </c>
      <c r="D10" s="12" t="n">
        <v>0.4</v>
      </c>
      <c r="E10" s="12" t="n">
        <v>0.4</v>
      </c>
      <c r="F10" s="10" t="s">
        <v>39</v>
      </c>
      <c r="G10" s="4" t="s">
        <v>40</v>
      </c>
      <c r="H10" s="10" t="s">
        <v>36</v>
      </c>
      <c r="I10" s="13" t="n">
        <f aca="false">INDEX(C10:E10,$C$4)</f>
        <v>0.4</v>
      </c>
    </row>
    <row r="11" customFormat="false" ht="28.35" hidden="false" customHeight="false" outlineLevel="0" collapsed="false">
      <c r="A11" s="3" t="s">
        <v>41</v>
      </c>
      <c r="B11" s="4" t="s">
        <v>42</v>
      </c>
      <c r="C11" s="12" t="n">
        <v>0.64</v>
      </c>
      <c r="D11" s="12" t="n">
        <v>0.72</v>
      </c>
      <c r="E11" s="12" t="n">
        <v>0.8</v>
      </c>
      <c r="F11" s="10" t="s">
        <v>39</v>
      </c>
      <c r="G11" s="4" t="s">
        <v>43</v>
      </c>
      <c r="H11" s="10" t="s">
        <v>36</v>
      </c>
      <c r="I11" s="13" t="n">
        <f aca="false">INDEX(C11:E11,$C$4)</f>
        <v>0.72</v>
      </c>
    </row>
    <row r="12" customFormat="false" ht="28.35" hidden="false" customHeight="false" outlineLevel="0" collapsed="false">
      <c r="A12" s="3" t="s">
        <v>44</v>
      </c>
      <c r="B12" s="4" t="s">
        <v>45</v>
      </c>
      <c r="C12" s="12" t="n">
        <v>0.15</v>
      </c>
      <c r="D12" s="12" t="n">
        <v>0.25</v>
      </c>
      <c r="E12" s="12" t="n">
        <v>0.35</v>
      </c>
      <c r="F12" s="10" t="s">
        <v>39</v>
      </c>
      <c r="G12" s="4" t="s">
        <v>46</v>
      </c>
      <c r="H12" s="10" t="s">
        <v>47</v>
      </c>
      <c r="I12" s="13" t="n">
        <f aca="false">INDEX(C12:E12,$C$4)</f>
        <v>0.25</v>
      </c>
    </row>
    <row r="13" customFormat="false" ht="15" hidden="false" customHeight="false" outlineLevel="0" collapsed="false">
      <c r="A13" s="3" t="s">
        <v>48</v>
      </c>
      <c r="B13" s="4" t="s">
        <v>49</v>
      </c>
      <c r="C13" s="12" t="n">
        <v>0.55</v>
      </c>
      <c r="D13" s="12" t="n">
        <v>0.4</v>
      </c>
      <c r="E13" s="12" t="n">
        <v>0.25</v>
      </c>
      <c r="F13" s="10" t="s">
        <v>39</v>
      </c>
      <c r="G13" s="4" t="s">
        <v>50</v>
      </c>
      <c r="H13" s="10" t="s">
        <v>47</v>
      </c>
      <c r="I13" s="13" t="n">
        <f aca="false">INDEX(C13:E13,$C$4)</f>
        <v>0.4</v>
      </c>
    </row>
    <row r="14" customFormat="false" ht="15" hidden="false" customHeight="false" outlineLevel="0" collapsed="false">
      <c r="A14" s="3" t="s">
        <v>51</v>
      </c>
      <c r="B14" s="4" t="s">
        <v>52</v>
      </c>
      <c r="C14" s="14" t="n">
        <v>15000</v>
      </c>
      <c r="D14" s="14" t="n">
        <v>20000</v>
      </c>
      <c r="E14" s="14" t="n">
        <v>25000</v>
      </c>
      <c r="F14" s="10" t="s">
        <v>53</v>
      </c>
      <c r="G14" s="4" t="s">
        <v>54</v>
      </c>
      <c r="H14" s="10" t="s">
        <v>36</v>
      </c>
      <c r="I14" s="15" t="n">
        <f aca="false">INDEX(C14:E14,$C$4)</f>
        <v>20000</v>
      </c>
    </row>
    <row r="15" customFormat="false" ht="15" hidden="false" customHeight="false" outlineLevel="0" collapsed="false">
      <c r="A15" s="3" t="s">
        <v>55</v>
      </c>
      <c r="B15" s="4" t="s">
        <v>56</v>
      </c>
      <c r="C15" s="12" t="n">
        <v>0.3</v>
      </c>
      <c r="D15" s="12" t="n">
        <v>0.35</v>
      </c>
      <c r="E15" s="12" t="n">
        <v>0.35</v>
      </c>
      <c r="F15" s="10" t="s">
        <v>39</v>
      </c>
      <c r="G15" s="4" t="s">
        <v>57</v>
      </c>
      <c r="H15" s="10" t="s">
        <v>47</v>
      </c>
      <c r="I15" s="13" t="n">
        <f aca="false">INDEX(C15:E15,$C$4)</f>
        <v>0.35</v>
      </c>
    </row>
    <row r="16" customFormat="false" ht="15" hidden="false" customHeight="false" outlineLevel="0" collapsed="false">
      <c r="A16" s="3" t="s">
        <v>58</v>
      </c>
      <c r="B16" s="4" t="s">
        <v>59</v>
      </c>
      <c r="C16" s="14" t="n">
        <v>45000</v>
      </c>
      <c r="D16" s="14" t="n">
        <v>55000</v>
      </c>
      <c r="E16" s="14" t="n">
        <v>65000</v>
      </c>
      <c r="F16" s="10" t="s">
        <v>53</v>
      </c>
      <c r="G16" s="4" t="s">
        <v>60</v>
      </c>
      <c r="H16" s="10" t="s">
        <v>36</v>
      </c>
      <c r="I16" s="15" t="n">
        <f aca="false">INDEX(C16:E16,$C$4)</f>
        <v>55000</v>
      </c>
    </row>
    <row r="17" customFormat="false" ht="15" hidden="false" customHeight="false" outlineLevel="0" collapsed="false">
      <c r="A17" s="3" t="s">
        <v>61</v>
      </c>
      <c r="B17" s="4" t="s">
        <v>62</v>
      </c>
      <c r="C17" s="12" t="n">
        <v>0.13</v>
      </c>
      <c r="D17" s="12" t="n">
        <v>0.2</v>
      </c>
      <c r="E17" s="12" t="n">
        <v>0.3</v>
      </c>
      <c r="F17" s="10" t="s">
        <v>39</v>
      </c>
      <c r="G17" s="4" t="s">
        <v>57</v>
      </c>
      <c r="H17" s="10" t="s">
        <v>47</v>
      </c>
      <c r="I17" s="13" t="n">
        <f aca="false">INDEX(C17:E17,$C$4)</f>
        <v>0.2</v>
      </c>
    </row>
    <row r="18" customFormat="false" ht="15" hidden="false" customHeight="false" outlineLevel="0" collapsed="false">
      <c r="A18" s="3" t="s">
        <v>63</v>
      </c>
      <c r="B18" s="4" t="s">
        <v>64</v>
      </c>
      <c r="C18" s="14" t="n">
        <v>100000</v>
      </c>
      <c r="D18" s="14" t="n">
        <v>130000</v>
      </c>
      <c r="E18" s="14" t="n">
        <v>150000</v>
      </c>
      <c r="F18" s="10" t="s">
        <v>53</v>
      </c>
      <c r="G18" s="4" t="s">
        <v>65</v>
      </c>
      <c r="H18" s="10" t="s">
        <v>36</v>
      </c>
      <c r="I18" s="15" t="n">
        <f aca="false">INDEX(C18:E18,$C$4)</f>
        <v>130000</v>
      </c>
    </row>
    <row r="19" customFormat="false" ht="15" hidden="false" customHeight="false" outlineLevel="0" collapsed="false">
      <c r="A19" s="3" t="s">
        <v>66</v>
      </c>
      <c r="B19" s="4" t="s">
        <v>67</v>
      </c>
      <c r="C19" s="12" t="n">
        <v>0.02</v>
      </c>
      <c r="D19" s="12" t="n">
        <v>0.05</v>
      </c>
      <c r="E19" s="12" t="n">
        <v>0.1</v>
      </c>
      <c r="F19" s="10" t="s">
        <v>39</v>
      </c>
      <c r="G19" s="4" t="s">
        <v>57</v>
      </c>
      <c r="H19" s="10" t="s">
        <v>47</v>
      </c>
      <c r="I19" s="13" t="n">
        <f aca="false">INDEX(C19:E19,$C$4)</f>
        <v>0.05</v>
      </c>
    </row>
    <row r="20" customFormat="false" ht="15" hidden="false" customHeight="false" outlineLevel="0" collapsed="false">
      <c r="A20" s="3" t="s">
        <v>68</v>
      </c>
      <c r="B20" s="4" t="s">
        <v>69</v>
      </c>
      <c r="C20" s="14" t="n">
        <v>250000</v>
      </c>
      <c r="D20" s="14" t="n">
        <v>300000</v>
      </c>
      <c r="E20" s="14" t="n">
        <v>350000</v>
      </c>
      <c r="F20" s="10" t="s">
        <v>53</v>
      </c>
      <c r="G20" s="4" t="s">
        <v>70</v>
      </c>
      <c r="H20" s="10" t="s">
        <v>36</v>
      </c>
      <c r="I20" s="15" t="n">
        <f aca="false">INDEX(C20:E20,$C$4)</f>
        <v>300000</v>
      </c>
    </row>
    <row r="21" customFormat="false" ht="15" hidden="false" customHeight="false" outlineLevel="0" collapsed="false">
      <c r="A21" s="3" t="s">
        <v>71</v>
      </c>
      <c r="B21" s="4" t="s">
        <v>72</v>
      </c>
      <c r="C21" s="14" t="n">
        <v>10000</v>
      </c>
      <c r="D21" s="14" t="n">
        <v>13000</v>
      </c>
      <c r="E21" s="14" t="n">
        <v>18000</v>
      </c>
      <c r="F21" s="10" t="s">
        <v>53</v>
      </c>
      <c r="G21" s="4" t="s">
        <v>73</v>
      </c>
      <c r="H21" s="10" t="s">
        <v>47</v>
      </c>
      <c r="I21" s="15" t="n">
        <f aca="false">INDEX(C21:E21,$C$4)</f>
        <v>13000</v>
      </c>
    </row>
    <row r="22" customFormat="false" ht="28.35" hidden="false" customHeight="false" outlineLevel="0" collapsed="false">
      <c r="A22" s="3" t="s">
        <v>74</v>
      </c>
      <c r="B22" s="4" t="s">
        <v>75</v>
      </c>
      <c r="C22" s="9" t="n">
        <v>300</v>
      </c>
      <c r="D22" s="9" t="n">
        <v>450</v>
      </c>
      <c r="E22" s="9" t="n">
        <v>600</v>
      </c>
      <c r="F22" s="10" t="s">
        <v>76</v>
      </c>
      <c r="G22" s="4" t="s">
        <v>77</v>
      </c>
      <c r="H22" s="10" t="s">
        <v>47</v>
      </c>
      <c r="I22" s="11" t="n">
        <f aca="false">INDEX(C22:E22,$C$4)</f>
        <v>450</v>
      </c>
    </row>
    <row r="23" customFormat="false" ht="15" hidden="false" customHeight="false" outlineLevel="0" collapsed="false">
      <c r="A23" s="3" t="s">
        <v>78</v>
      </c>
      <c r="B23" s="4" t="s">
        <v>79</v>
      </c>
      <c r="C23" s="9" t="n">
        <v>80</v>
      </c>
      <c r="D23" s="9" t="n">
        <v>110</v>
      </c>
      <c r="E23" s="9" t="n">
        <v>125</v>
      </c>
      <c r="F23" s="10" t="s">
        <v>80</v>
      </c>
      <c r="G23" s="4" t="s">
        <v>81</v>
      </c>
      <c r="H23" s="10" t="s">
        <v>47</v>
      </c>
      <c r="I23" s="11" t="n">
        <f aca="false">INDEX(C23:E23,$C$4)</f>
        <v>110</v>
      </c>
    </row>
    <row r="24" customFormat="false" ht="15" hidden="false" customHeight="false" outlineLevel="0" collapsed="false">
      <c r="A24" s="3" t="s">
        <v>82</v>
      </c>
      <c r="B24" s="4" t="s">
        <v>83</v>
      </c>
      <c r="C24" s="16" t="n">
        <v>1.5</v>
      </c>
      <c r="D24" s="16" t="n">
        <v>2</v>
      </c>
      <c r="E24" s="16" t="n">
        <v>3</v>
      </c>
      <c r="F24" s="10" t="s">
        <v>84</v>
      </c>
      <c r="G24" s="4" t="s">
        <v>85</v>
      </c>
      <c r="H24" s="10" t="s">
        <v>47</v>
      </c>
      <c r="I24" s="17" t="n">
        <f aca="false">INDEX(C24:E24,$C$4)</f>
        <v>2</v>
      </c>
    </row>
    <row r="25" customFormat="false" ht="15" hidden="false" customHeight="false" outlineLevel="0" collapsed="false">
      <c r="A25" s="3" t="s">
        <v>86</v>
      </c>
      <c r="B25" s="4" t="s">
        <v>87</v>
      </c>
      <c r="C25" s="9" t="n">
        <v>50000</v>
      </c>
      <c r="D25" s="9" t="n">
        <v>150000</v>
      </c>
      <c r="E25" s="9" t="n">
        <v>400000</v>
      </c>
      <c r="F25" s="10" t="s">
        <v>34</v>
      </c>
      <c r="G25" s="4" t="s">
        <v>88</v>
      </c>
      <c r="H25" s="10" t="s">
        <v>47</v>
      </c>
      <c r="I25" s="11" t="n">
        <f aca="false">INDEX(C25:E25,$C$4)</f>
        <v>150000</v>
      </c>
    </row>
    <row r="26" customFormat="false" ht="15" hidden="false" customHeight="false" outlineLevel="0" collapsed="false">
      <c r="A26" s="3" t="s">
        <v>89</v>
      </c>
      <c r="B26" s="4" t="s">
        <v>90</v>
      </c>
      <c r="C26" s="14" t="n">
        <v>600</v>
      </c>
      <c r="D26" s="14" t="n">
        <v>1500</v>
      </c>
      <c r="E26" s="14" t="n">
        <v>3000</v>
      </c>
      <c r="F26" s="10" t="s">
        <v>53</v>
      </c>
      <c r="G26" s="4" t="s">
        <v>91</v>
      </c>
      <c r="H26" s="10" t="s">
        <v>47</v>
      </c>
      <c r="I26" s="15" t="n">
        <f aca="false">INDEX(C26:E26,$C$4)</f>
        <v>1500</v>
      </c>
    </row>
    <row r="27" customFormat="false" ht="15" hidden="false" customHeight="false" outlineLevel="0" collapsed="false">
      <c r="A27" s="3" t="s">
        <v>92</v>
      </c>
      <c r="B27" s="4" t="s">
        <v>93</v>
      </c>
      <c r="C27" s="9" t="n">
        <v>88</v>
      </c>
      <c r="D27" s="9" t="n">
        <v>88</v>
      </c>
      <c r="E27" s="9" t="n">
        <v>88</v>
      </c>
      <c r="F27" s="10" t="s">
        <v>94</v>
      </c>
      <c r="G27" s="4" t="s">
        <v>95</v>
      </c>
      <c r="H27" s="10" t="s">
        <v>47</v>
      </c>
      <c r="I27" s="11" t="n">
        <f aca="false">INDEX(C27:E27,$C$4)</f>
        <v>88</v>
      </c>
    </row>
    <row r="28" customFormat="false" ht="28.35" hidden="false" customHeight="false" outlineLevel="0" collapsed="false">
      <c r="A28" s="3" t="s">
        <v>96</v>
      </c>
      <c r="B28" s="4" t="s">
        <v>97</v>
      </c>
      <c r="C28" s="18" t="n">
        <v>0.0765</v>
      </c>
      <c r="D28" s="18" t="n">
        <v>0.0765</v>
      </c>
      <c r="E28" s="18" t="n">
        <v>0.0765</v>
      </c>
      <c r="F28" s="10" t="s">
        <v>39</v>
      </c>
      <c r="G28" s="4" t="s">
        <v>98</v>
      </c>
      <c r="H28" s="10" t="s">
        <v>99</v>
      </c>
      <c r="I28" s="19" t="n">
        <f aca="false">INDEX(C28:E28,$C$4)</f>
        <v>0.0765</v>
      </c>
    </row>
    <row r="29" customFormat="false" ht="28.35" hidden="false" customHeight="false" outlineLevel="0" collapsed="false">
      <c r="A29" s="3" t="s">
        <v>100</v>
      </c>
      <c r="B29" s="4" t="s">
        <v>101</v>
      </c>
      <c r="C29" s="9" t="n">
        <v>679624</v>
      </c>
      <c r="D29" s="9" t="n">
        <v>679624</v>
      </c>
      <c r="E29" s="9" t="n">
        <v>679624</v>
      </c>
      <c r="F29" s="10" t="s">
        <v>34</v>
      </c>
      <c r="G29" s="4" t="s">
        <v>102</v>
      </c>
      <c r="H29" s="10" t="s">
        <v>99</v>
      </c>
      <c r="I29" s="11" t="n">
        <f aca="false">INDEX(C29:E29,$C$4)</f>
        <v>679624</v>
      </c>
    </row>
    <row r="30" customFormat="false" ht="28.35" hidden="false" customHeight="false" outlineLevel="0" collapsed="false">
      <c r="A30" s="3" t="s">
        <v>103</v>
      </c>
      <c r="B30" s="4" t="s">
        <v>104</v>
      </c>
      <c r="C30" s="9" t="n">
        <v>76141</v>
      </c>
      <c r="D30" s="9" t="n">
        <v>76141</v>
      </c>
      <c r="E30" s="9" t="n">
        <v>76141</v>
      </c>
      <c r="F30" s="10" t="s">
        <v>105</v>
      </c>
      <c r="G30" s="4" t="s">
        <v>106</v>
      </c>
      <c r="H30" s="10" t="s">
        <v>99</v>
      </c>
      <c r="I30" s="11" t="n">
        <f aca="false">INDEX(C30:E30,$C$4)</f>
        <v>76141</v>
      </c>
    </row>
    <row r="31" customFormat="false" ht="15" hidden="false" customHeight="false" outlineLevel="0" collapsed="false">
      <c r="A31" s="7" t="s">
        <v>107</v>
      </c>
      <c r="B31" s="8"/>
      <c r="C31" s="8"/>
      <c r="D31" s="8"/>
      <c r="E31" s="8"/>
      <c r="F31" s="8"/>
      <c r="G31" s="8"/>
      <c r="H31" s="8"/>
      <c r="I31" s="8"/>
    </row>
    <row r="32" customFormat="false" ht="28.35" hidden="false" customHeight="false" outlineLevel="0" collapsed="false">
      <c r="A32" s="3" t="s">
        <v>108</v>
      </c>
      <c r="B32" s="4" t="s">
        <v>109</v>
      </c>
      <c r="C32" s="9" t="n">
        <v>420</v>
      </c>
      <c r="D32" s="9" t="n">
        <v>471</v>
      </c>
      <c r="E32" s="9" t="n">
        <v>520</v>
      </c>
      <c r="F32" s="10" t="s">
        <v>110</v>
      </c>
      <c r="G32" s="4" t="s">
        <v>111</v>
      </c>
      <c r="H32" s="10" t="s">
        <v>36</v>
      </c>
      <c r="I32" s="11" t="n">
        <f aca="false">INDEX(C32:E32,$C$4)</f>
        <v>471</v>
      </c>
    </row>
    <row r="33" customFormat="false" ht="15" hidden="false" customHeight="false" outlineLevel="0" collapsed="false">
      <c r="A33" s="3" t="s">
        <v>112</v>
      </c>
      <c r="B33" s="4" t="s">
        <v>113</v>
      </c>
      <c r="C33" s="9" t="n">
        <v>222944</v>
      </c>
      <c r="D33" s="9" t="n">
        <v>222944</v>
      </c>
      <c r="E33" s="9" t="n">
        <v>222944</v>
      </c>
      <c r="F33" s="10" t="s">
        <v>110</v>
      </c>
      <c r="G33" s="4" t="s">
        <v>114</v>
      </c>
      <c r="H33" s="10" t="s">
        <v>36</v>
      </c>
      <c r="I33" s="11" t="n">
        <f aca="false">INDEX(C33:E33,$C$4)</f>
        <v>222944</v>
      </c>
    </row>
    <row r="34" customFormat="false" ht="28.35" hidden="false" customHeight="false" outlineLevel="0" collapsed="false">
      <c r="A34" s="3" t="s">
        <v>115</v>
      </c>
      <c r="B34" s="4" t="s">
        <v>116</v>
      </c>
      <c r="C34" s="9" t="n">
        <v>12376</v>
      </c>
      <c r="D34" s="9" t="n">
        <v>12376</v>
      </c>
      <c r="E34" s="9" t="n">
        <v>12376</v>
      </c>
      <c r="F34" s="10" t="s">
        <v>110</v>
      </c>
      <c r="G34" s="4" t="s">
        <v>117</v>
      </c>
      <c r="H34" s="10" t="s">
        <v>36</v>
      </c>
      <c r="I34" s="11" t="n">
        <f aca="false">INDEX(C34:E34,$C$4)</f>
        <v>12376</v>
      </c>
    </row>
    <row r="35" customFormat="false" ht="15" hidden="false" customHeight="false" outlineLevel="0" collapsed="false">
      <c r="A35" s="3" t="s">
        <v>118</v>
      </c>
      <c r="B35" s="4" t="s">
        <v>119</v>
      </c>
      <c r="C35" s="9" t="n">
        <v>185</v>
      </c>
      <c r="D35" s="9" t="n">
        <v>185</v>
      </c>
      <c r="E35" s="9" t="n">
        <v>185</v>
      </c>
      <c r="F35" s="10" t="s">
        <v>110</v>
      </c>
      <c r="G35" s="4" t="s">
        <v>120</v>
      </c>
      <c r="H35" s="10" t="s">
        <v>36</v>
      </c>
      <c r="I35" s="11" t="n">
        <f aca="false">INDEX(C35:E35,$C$4)</f>
        <v>185</v>
      </c>
    </row>
    <row r="36" customFormat="false" ht="15" hidden="false" customHeight="false" outlineLevel="0" collapsed="false">
      <c r="A36" s="3" t="s">
        <v>121</v>
      </c>
      <c r="B36" s="4" t="s">
        <v>122</v>
      </c>
      <c r="C36" s="9" t="n">
        <v>183</v>
      </c>
      <c r="D36" s="9" t="n">
        <v>183</v>
      </c>
      <c r="E36" s="9" t="n">
        <v>183</v>
      </c>
      <c r="F36" s="10" t="s">
        <v>110</v>
      </c>
      <c r="G36" s="4" t="s">
        <v>120</v>
      </c>
      <c r="H36" s="10" t="s">
        <v>36</v>
      </c>
      <c r="I36" s="11" t="n">
        <f aca="false">INDEX(C36:E36,$C$4)</f>
        <v>183</v>
      </c>
    </row>
    <row r="37" customFormat="false" ht="15" hidden="false" customHeight="false" outlineLevel="0" collapsed="false">
      <c r="A37" s="3" t="s">
        <v>123</v>
      </c>
      <c r="B37" s="4" t="s">
        <v>124</v>
      </c>
      <c r="C37" s="9" t="n">
        <v>103</v>
      </c>
      <c r="D37" s="9" t="n">
        <v>103</v>
      </c>
      <c r="E37" s="9" t="n">
        <v>103</v>
      </c>
      <c r="F37" s="10" t="s">
        <v>110</v>
      </c>
      <c r="G37" s="4" t="s">
        <v>120</v>
      </c>
      <c r="H37" s="10" t="s">
        <v>36</v>
      </c>
      <c r="I37" s="11" t="n">
        <f aca="false">INDEX(C37:E37,$C$4)</f>
        <v>103</v>
      </c>
    </row>
    <row r="38" customFormat="false" ht="15" hidden="false" customHeight="false" outlineLevel="0" collapsed="false">
      <c r="A38" s="3" t="s">
        <v>125</v>
      </c>
      <c r="B38" s="4" t="s">
        <v>126</v>
      </c>
      <c r="C38" s="9" t="n">
        <v>4275</v>
      </c>
      <c r="D38" s="9" t="n">
        <v>4275</v>
      </c>
      <c r="E38" s="9" t="n">
        <v>4275</v>
      </c>
      <c r="F38" s="10" t="s">
        <v>110</v>
      </c>
      <c r="G38" s="4" t="s">
        <v>127</v>
      </c>
      <c r="H38" s="10" t="s">
        <v>36</v>
      </c>
      <c r="I38" s="11" t="n">
        <f aca="false">INDEX(C38:E38,$C$4)</f>
        <v>4275</v>
      </c>
    </row>
    <row r="39" customFormat="false" ht="15" hidden="false" customHeight="false" outlineLevel="0" collapsed="false">
      <c r="A39" s="3" t="s">
        <v>128</v>
      </c>
      <c r="B39" s="4" t="s">
        <v>129</v>
      </c>
      <c r="C39" s="9" t="n">
        <v>4627</v>
      </c>
      <c r="D39" s="9" t="n">
        <v>4627</v>
      </c>
      <c r="E39" s="9" t="n">
        <v>4627</v>
      </c>
      <c r="F39" s="10" t="s">
        <v>110</v>
      </c>
      <c r="G39" s="4" t="s">
        <v>130</v>
      </c>
      <c r="H39" s="10" t="s">
        <v>36</v>
      </c>
      <c r="I39" s="11" t="n">
        <f aca="false">INDEX(C39:E39,$C$4)</f>
        <v>4627</v>
      </c>
    </row>
    <row r="40" customFormat="false" ht="15" hidden="false" customHeight="false" outlineLevel="0" collapsed="false">
      <c r="A40" s="3" t="s">
        <v>131</v>
      </c>
      <c r="B40" s="4" t="s">
        <v>132</v>
      </c>
      <c r="C40" s="9" t="n">
        <v>1097</v>
      </c>
      <c r="D40" s="9" t="n">
        <v>1097</v>
      </c>
      <c r="E40" s="9" t="n">
        <v>1097</v>
      </c>
      <c r="F40" s="10" t="s">
        <v>110</v>
      </c>
      <c r="G40" s="4" t="s">
        <v>120</v>
      </c>
      <c r="H40" s="10" t="s">
        <v>36</v>
      </c>
      <c r="I40" s="11" t="n">
        <f aca="false">INDEX(C40:E40,$C$4)</f>
        <v>1097</v>
      </c>
    </row>
    <row r="41" customFormat="false" ht="15" hidden="false" customHeight="false" outlineLevel="0" collapsed="false">
      <c r="A41" s="3" t="s">
        <v>133</v>
      </c>
      <c r="B41" s="4" t="s">
        <v>134</v>
      </c>
      <c r="C41" s="9" t="n">
        <v>2377</v>
      </c>
      <c r="D41" s="9" t="n">
        <v>2377</v>
      </c>
      <c r="E41" s="9" t="n">
        <v>2377</v>
      </c>
      <c r="F41" s="10" t="s">
        <v>110</v>
      </c>
      <c r="G41" s="4" t="s">
        <v>120</v>
      </c>
      <c r="H41" s="10" t="s">
        <v>36</v>
      </c>
      <c r="I41" s="11" t="n">
        <f aca="false">INDEX(C41:E41,$C$4)</f>
        <v>2377</v>
      </c>
    </row>
    <row r="42" customFormat="false" ht="15" hidden="false" customHeight="false" outlineLevel="0" collapsed="false">
      <c r="A42" s="3" t="s">
        <v>135</v>
      </c>
      <c r="B42" s="4" t="s">
        <v>136</v>
      </c>
      <c r="C42" s="18" t="n">
        <v>0.0241</v>
      </c>
      <c r="D42" s="18" t="n">
        <v>0.0241</v>
      </c>
      <c r="E42" s="18" t="n">
        <v>0.0241</v>
      </c>
      <c r="F42" s="10" t="s">
        <v>39</v>
      </c>
      <c r="G42" s="4" t="s">
        <v>137</v>
      </c>
      <c r="H42" s="10" t="s">
        <v>99</v>
      </c>
      <c r="I42" s="19" t="n">
        <f aca="false">INDEX(C42:E42,$C$4)</f>
        <v>0.0241</v>
      </c>
    </row>
    <row r="43" customFormat="false" ht="15" hidden="false" customHeight="false" outlineLevel="0" collapsed="false">
      <c r="A43" s="3" t="s">
        <v>138</v>
      </c>
      <c r="B43" s="4" t="s">
        <v>139</v>
      </c>
      <c r="C43" s="18" t="n">
        <v>0.0616</v>
      </c>
      <c r="D43" s="18" t="n">
        <v>0.0616</v>
      </c>
      <c r="E43" s="18" t="n">
        <v>0.0616</v>
      </c>
      <c r="F43" s="10" t="s">
        <v>39</v>
      </c>
      <c r="G43" s="4" t="s">
        <v>140</v>
      </c>
      <c r="H43" s="10" t="s">
        <v>99</v>
      </c>
      <c r="I43" s="19" t="n">
        <f aca="false">INDEX(C43:E43,$C$4)</f>
        <v>0.0616</v>
      </c>
    </row>
    <row r="44" customFormat="false" ht="15" hidden="false" customHeight="false" outlineLevel="0" collapsed="false">
      <c r="A44" s="3" t="s">
        <v>141</v>
      </c>
      <c r="B44" s="4" t="s">
        <v>142</v>
      </c>
      <c r="C44" s="18" t="n">
        <v>0.0364</v>
      </c>
      <c r="D44" s="18" t="n">
        <v>0.0364</v>
      </c>
      <c r="E44" s="18" t="n">
        <v>0.0364</v>
      </c>
      <c r="F44" s="10" t="s">
        <v>39</v>
      </c>
      <c r="G44" s="4" t="s">
        <v>143</v>
      </c>
      <c r="H44" s="10" t="s">
        <v>99</v>
      </c>
      <c r="I44" s="19" t="n">
        <f aca="false">INDEX(C44:E44,$C$4)</f>
        <v>0.0364</v>
      </c>
    </row>
    <row r="45" customFormat="false" ht="15" hidden="false" customHeight="false" outlineLevel="0" collapsed="false">
      <c r="A45" s="3" t="s">
        <v>144</v>
      </c>
      <c r="B45" s="4" t="s">
        <v>145</v>
      </c>
      <c r="C45" s="18" t="n">
        <v>0.0344</v>
      </c>
      <c r="D45" s="18" t="n">
        <v>0.0344</v>
      </c>
      <c r="E45" s="18" t="n">
        <v>0.0344</v>
      </c>
      <c r="F45" s="10" t="s">
        <v>39</v>
      </c>
      <c r="G45" s="4" t="s">
        <v>143</v>
      </c>
      <c r="H45" s="10" t="s">
        <v>99</v>
      </c>
      <c r="I45" s="19" t="n">
        <f aca="false">INDEX(C45:E45,$C$4)</f>
        <v>0.0344</v>
      </c>
    </row>
    <row r="46" customFormat="false" ht="15" hidden="false" customHeight="false" outlineLevel="0" collapsed="false">
      <c r="A46" s="3" t="s">
        <v>146</v>
      </c>
      <c r="B46" s="4" t="s">
        <v>147</v>
      </c>
      <c r="C46" s="18" t="n">
        <v>0.0202</v>
      </c>
      <c r="D46" s="18" t="n">
        <v>0.0202</v>
      </c>
      <c r="E46" s="18" t="n">
        <v>0.0202</v>
      </c>
      <c r="F46" s="10" t="s">
        <v>39</v>
      </c>
      <c r="G46" s="4" t="s">
        <v>143</v>
      </c>
      <c r="H46" s="10" t="s">
        <v>99</v>
      </c>
      <c r="I46" s="19" t="n">
        <f aca="false">INDEX(C46:E46,$C$4)</f>
        <v>0.0202</v>
      </c>
    </row>
    <row r="47" customFormat="false" ht="15" hidden="false" customHeight="false" outlineLevel="0" collapsed="false">
      <c r="A47" s="3" t="s">
        <v>148</v>
      </c>
      <c r="B47" s="4" t="s">
        <v>149</v>
      </c>
      <c r="C47" s="18" t="n">
        <v>0.0207</v>
      </c>
      <c r="D47" s="18" t="n">
        <v>0.0207</v>
      </c>
      <c r="E47" s="18" t="n">
        <v>0.0207</v>
      </c>
      <c r="F47" s="10" t="s">
        <v>39</v>
      </c>
      <c r="G47" s="4" t="s">
        <v>143</v>
      </c>
      <c r="H47" s="10" t="s">
        <v>99</v>
      </c>
      <c r="I47" s="19" t="n">
        <f aca="false">INDEX(C47:E47,$C$4)</f>
        <v>0.0207</v>
      </c>
    </row>
    <row r="48" customFormat="false" ht="28.35" hidden="false" customHeight="false" outlineLevel="0" collapsed="false">
      <c r="A48" s="3" t="s">
        <v>150</v>
      </c>
      <c r="B48" s="4" t="s">
        <v>151</v>
      </c>
      <c r="C48" s="20" t="n">
        <v>1.68</v>
      </c>
      <c r="D48" s="20" t="n">
        <v>1.85</v>
      </c>
      <c r="E48" s="20" t="n">
        <v>2</v>
      </c>
      <c r="F48" s="10" t="s">
        <v>152</v>
      </c>
      <c r="G48" s="4" t="s">
        <v>153</v>
      </c>
      <c r="H48" s="10" t="s">
        <v>36</v>
      </c>
      <c r="I48" s="21" t="n">
        <f aca="false">INDEX(C48:E48,$C$4)</f>
        <v>1.85</v>
      </c>
    </row>
    <row r="49" customFormat="false" ht="41.75" hidden="false" customHeight="false" outlineLevel="0" collapsed="false">
      <c r="A49" s="3" t="s">
        <v>154</v>
      </c>
      <c r="B49" s="4" t="s">
        <v>155</v>
      </c>
      <c r="C49" s="20" t="n">
        <v>1.68</v>
      </c>
      <c r="D49" s="22" t="n">
        <f aca="false">Tricity_Recon!D12</f>
        <v>1.90293451735955</v>
      </c>
      <c r="E49" s="20" t="n">
        <v>2.28</v>
      </c>
      <c r="F49" s="10" t="s">
        <v>152</v>
      </c>
      <c r="G49" s="4" t="s">
        <v>156</v>
      </c>
      <c r="H49" s="10" t="s">
        <v>36</v>
      </c>
      <c r="I49" s="21" t="n">
        <f aca="false">INDEX(C49:E49,$C$4)</f>
        <v>1.90293451735955</v>
      </c>
    </row>
    <row r="50" customFormat="false" ht="28.35" hidden="false" customHeight="false" outlineLevel="0" collapsed="false">
      <c r="A50" s="3" t="s">
        <v>157</v>
      </c>
      <c r="B50" s="4" t="s">
        <v>158</v>
      </c>
      <c r="C50" s="16" t="n">
        <v>3</v>
      </c>
      <c r="D50" s="16" t="n">
        <v>5</v>
      </c>
      <c r="E50" s="16" t="n">
        <v>8</v>
      </c>
      <c r="F50" s="10" t="s">
        <v>84</v>
      </c>
      <c r="G50" s="4" t="s">
        <v>159</v>
      </c>
      <c r="H50" s="10" t="s">
        <v>47</v>
      </c>
      <c r="I50" s="17" t="n">
        <f aca="false">INDEX(C50:E50,$C$4)</f>
        <v>5</v>
      </c>
    </row>
    <row r="51" customFormat="false" ht="28.35" hidden="false" customHeight="false" outlineLevel="0" collapsed="false">
      <c r="A51" s="3" t="s">
        <v>160</v>
      </c>
      <c r="B51" s="4" t="s">
        <v>161</v>
      </c>
      <c r="C51" s="12" t="n">
        <v>0.68</v>
      </c>
      <c r="D51" s="12" t="n">
        <v>0.72</v>
      </c>
      <c r="E51" s="12" t="n">
        <v>0.76</v>
      </c>
      <c r="F51" s="10" t="s">
        <v>39</v>
      </c>
      <c r="G51" s="4" t="s">
        <v>162</v>
      </c>
      <c r="H51" s="10" t="s">
        <v>36</v>
      </c>
      <c r="I51" s="13" t="n">
        <f aca="false">INDEX(C51:E51,$C$4)</f>
        <v>0.72</v>
      </c>
    </row>
    <row r="52" customFormat="false" ht="15" hidden="false" customHeight="false" outlineLevel="0" collapsed="false">
      <c r="A52" s="3" t="s">
        <v>163</v>
      </c>
      <c r="B52" s="4" t="s">
        <v>164</v>
      </c>
      <c r="C52" s="12" t="n">
        <v>0.37</v>
      </c>
      <c r="D52" s="12" t="n">
        <v>0.36</v>
      </c>
      <c r="E52" s="12" t="n">
        <v>0.35</v>
      </c>
      <c r="F52" s="10" t="s">
        <v>39</v>
      </c>
      <c r="G52" s="4" t="s">
        <v>165</v>
      </c>
      <c r="H52" s="10" t="s">
        <v>36</v>
      </c>
      <c r="I52" s="13" t="n">
        <f aca="false">INDEX(C52:E52,$C$4)</f>
        <v>0.36</v>
      </c>
    </row>
    <row r="53" customFormat="false" ht="15" hidden="false" customHeight="false" outlineLevel="0" collapsed="false">
      <c r="A53" s="3" t="s">
        <v>166</v>
      </c>
      <c r="B53" s="4" t="s">
        <v>167</v>
      </c>
      <c r="C53" s="12" t="n">
        <v>0.15</v>
      </c>
      <c r="D53" s="12" t="n">
        <v>0.25</v>
      </c>
      <c r="E53" s="12" t="n">
        <v>0.3</v>
      </c>
      <c r="F53" s="10" t="s">
        <v>39</v>
      </c>
      <c r="G53" s="4" t="s">
        <v>168</v>
      </c>
      <c r="H53" s="10" t="s">
        <v>47</v>
      </c>
      <c r="I53" s="13" t="n">
        <f aca="false">INDEX(C53:E53,$C$4)</f>
        <v>0.25</v>
      </c>
    </row>
    <row r="54" customFormat="false" ht="28.35" hidden="false" customHeight="false" outlineLevel="0" collapsed="false">
      <c r="A54" s="3" t="s">
        <v>169</v>
      </c>
      <c r="B54" s="4" t="s">
        <v>170</v>
      </c>
      <c r="C54" s="20" t="n">
        <v>1.1</v>
      </c>
      <c r="D54" s="22" t="n">
        <f aca="false">SAM_North!D9</f>
        <v>1.29464235422864</v>
      </c>
      <c r="E54" s="20" t="n">
        <v>1.45</v>
      </c>
      <c r="F54" s="10" t="s">
        <v>152</v>
      </c>
      <c r="G54" s="4" t="s">
        <v>171</v>
      </c>
      <c r="H54" s="10" t="s">
        <v>36</v>
      </c>
      <c r="I54" s="21" t="n">
        <f aca="false">INDEX(C54:E54,$C$4)</f>
        <v>1.29464235422864</v>
      </c>
    </row>
    <row r="55" customFormat="false" ht="28.35" hidden="false" customHeight="false" outlineLevel="0" collapsed="false">
      <c r="A55" s="3" t="s">
        <v>172</v>
      </c>
      <c r="B55" s="4" t="s">
        <v>173</v>
      </c>
      <c r="C55" s="18" t="n">
        <v>0.0012</v>
      </c>
      <c r="D55" s="18" t="n">
        <v>0.002</v>
      </c>
      <c r="E55" s="18" t="n">
        <v>0.003</v>
      </c>
      <c r="F55" s="10" t="s">
        <v>39</v>
      </c>
      <c r="G55" s="4" t="s">
        <v>174</v>
      </c>
      <c r="H55" s="10" t="s">
        <v>47</v>
      </c>
      <c r="I55" s="19" t="n">
        <f aca="false">INDEX(C55:E55,$C$4)</f>
        <v>0.002</v>
      </c>
    </row>
    <row r="56" customFormat="false" ht="28.35" hidden="false" customHeight="false" outlineLevel="0" collapsed="false">
      <c r="A56" s="3" t="s">
        <v>175</v>
      </c>
      <c r="B56" s="4" t="s">
        <v>176</v>
      </c>
      <c r="C56" s="14" t="n">
        <v>30000</v>
      </c>
      <c r="D56" s="14" t="n">
        <v>45000</v>
      </c>
      <c r="E56" s="14" t="n">
        <v>60000</v>
      </c>
      <c r="F56" s="10" t="s">
        <v>53</v>
      </c>
      <c r="G56" s="4" t="s">
        <v>177</v>
      </c>
      <c r="H56" s="10" t="s">
        <v>36</v>
      </c>
      <c r="I56" s="15" t="n">
        <f aca="false">INDEX(C56:E56,$C$4)</f>
        <v>45000</v>
      </c>
    </row>
    <row r="57" customFormat="false" ht="15" hidden="false" customHeight="false" outlineLevel="0" collapsed="false">
      <c r="A57" s="7" t="s">
        <v>178</v>
      </c>
      <c r="B57" s="8"/>
      <c r="C57" s="8"/>
      <c r="D57" s="8"/>
      <c r="E57" s="8"/>
      <c r="F57" s="8"/>
      <c r="G57" s="8"/>
      <c r="H57" s="8"/>
      <c r="I57" s="8"/>
    </row>
    <row r="58" customFormat="false" ht="28.35" hidden="false" customHeight="false" outlineLevel="0" collapsed="false">
      <c r="A58" s="3" t="s">
        <v>179</v>
      </c>
      <c r="B58" s="4" t="s">
        <v>180</v>
      </c>
      <c r="C58" s="12" t="n">
        <v>0.6</v>
      </c>
      <c r="D58" s="12" t="n">
        <v>0.7</v>
      </c>
      <c r="E58" s="12" t="n">
        <v>0.8</v>
      </c>
      <c r="F58" s="10" t="s">
        <v>39</v>
      </c>
      <c r="G58" s="4" t="s">
        <v>181</v>
      </c>
      <c r="H58" s="10" t="s">
        <v>47</v>
      </c>
      <c r="I58" s="13" t="n">
        <f aca="false">INDEX(C58:E58,$C$4)</f>
        <v>0.7</v>
      </c>
    </row>
    <row r="59" customFormat="false" ht="28.35" hidden="false" customHeight="false" outlineLevel="0" collapsed="false">
      <c r="A59" s="3" t="s">
        <v>182</v>
      </c>
      <c r="B59" s="4" t="s">
        <v>183</v>
      </c>
      <c r="C59" s="9" t="n">
        <v>7</v>
      </c>
      <c r="D59" s="9" t="n">
        <v>7</v>
      </c>
      <c r="E59" s="9" t="n">
        <v>7</v>
      </c>
      <c r="F59" s="10" t="s">
        <v>76</v>
      </c>
      <c r="G59" s="4" t="s">
        <v>184</v>
      </c>
      <c r="H59" s="10" t="s">
        <v>185</v>
      </c>
      <c r="I59" s="11" t="n">
        <f aca="false">INDEX(C59:E59,$C$4)</f>
        <v>7</v>
      </c>
    </row>
    <row r="60" customFormat="false" ht="15" hidden="false" customHeight="false" outlineLevel="0" collapsed="false">
      <c r="A60" s="3" t="s">
        <v>186</v>
      </c>
      <c r="B60" s="4" t="s">
        <v>187</v>
      </c>
      <c r="C60" s="9" t="n">
        <v>30</v>
      </c>
      <c r="D60" s="9" t="n">
        <v>45</v>
      </c>
      <c r="E60" s="9" t="n">
        <v>60</v>
      </c>
      <c r="F60" s="10" t="s">
        <v>80</v>
      </c>
      <c r="G60" s="4" t="s">
        <v>188</v>
      </c>
      <c r="H60" s="10" t="s">
        <v>47</v>
      </c>
      <c r="I60" s="11" t="n">
        <f aca="false">INDEX(C60:E60,$C$4)</f>
        <v>45</v>
      </c>
    </row>
    <row r="61" customFormat="false" ht="15" hidden="false" customHeight="false" outlineLevel="0" collapsed="false">
      <c r="A61" s="3" t="s">
        <v>189</v>
      </c>
      <c r="B61" s="4" t="s">
        <v>190</v>
      </c>
      <c r="C61" s="9" t="n">
        <v>5</v>
      </c>
      <c r="D61" s="9" t="n">
        <v>5</v>
      </c>
      <c r="E61" s="9" t="n">
        <v>5</v>
      </c>
      <c r="F61" s="10" t="s">
        <v>191</v>
      </c>
      <c r="G61" s="4" t="s">
        <v>192</v>
      </c>
      <c r="H61" s="10" t="s">
        <v>193</v>
      </c>
      <c r="I61" s="11" t="n">
        <f aca="false">INDEX(C61:E61,$C$4)</f>
        <v>5</v>
      </c>
    </row>
    <row r="62" customFormat="false" ht="28.35" hidden="false" customHeight="false" outlineLevel="0" collapsed="false">
      <c r="A62" s="3" t="s">
        <v>194</v>
      </c>
      <c r="B62" s="4" t="s">
        <v>195</v>
      </c>
      <c r="C62" s="9" t="n">
        <v>25</v>
      </c>
      <c r="D62" s="9" t="n">
        <v>40</v>
      </c>
      <c r="E62" s="9" t="n">
        <v>60</v>
      </c>
      <c r="F62" s="10" t="s">
        <v>80</v>
      </c>
      <c r="G62" s="4" t="s">
        <v>196</v>
      </c>
      <c r="H62" s="10" t="s">
        <v>47</v>
      </c>
      <c r="I62" s="11" t="n">
        <f aca="false">INDEX(C62:E62,$C$4)</f>
        <v>40</v>
      </c>
    </row>
    <row r="63" customFormat="false" ht="28.35" hidden="false" customHeight="false" outlineLevel="0" collapsed="false">
      <c r="A63" s="3" t="s">
        <v>197</v>
      </c>
      <c r="B63" s="4" t="s">
        <v>198</v>
      </c>
      <c r="C63" s="9" t="n">
        <v>8</v>
      </c>
      <c r="D63" s="9" t="n">
        <v>8</v>
      </c>
      <c r="E63" s="9" t="n">
        <v>8</v>
      </c>
      <c r="F63" s="10" t="s">
        <v>199</v>
      </c>
      <c r="G63" s="4" t="s">
        <v>200</v>
      </c>
      <c r="H63" s="10" t="s">
        <v>201</v>
      </c>
      <c r="I63" s="11" t="n">
        <f aca="false">INDEX(C63:E63,$C$4)</f>
        <v>8</v>
      </c>
    </row>
    <row r="64" customFormat="false" ht="15" hidden="false" customHeight="false" outlineLevel="0" collapsed="false">
      <c r="A64" s="3" t="s">
        <v>202</v>
      </c>
      <c r="B64" s="4" t="s">
        <v>203</v>
      </c>
      <c r="C64" s="9" t="n">
        <v>15</v>
      </c>
      <c r="D64" s="9" t="n">
        <v>25</v>
      </c>
      <c r="E64" s="9" t="n">
        <v>40</v>
      </c>
      <c r="F64" s="10" t="s">
        <v>80</v>
      </c>
      <c r="G64" s="4" t="s">
        <v>204</v>
      </c>
      <c r="H64" s="10" t="s">
        <v>47</v>
      </c>
      <c r="I64" s="11" t="n">
        <f aca="false">INDEX(C64:E64,$C$4)</f>
        <v>25</v>
      </c>
    </row>
    <row r="65" customFormat="false" ht="15" hidden="false" customHeight="false" outlineLevel="0" collapsed="false">
      <c r="A65" s="3" t="s">
        <v>205</v>
      </c>
      <c r="B65" s="4" t="s">
        <v>206</v>
      </c>
      <c r="C65" s="9" t="n">
        <v>111</v>
      </c>
      <c r="D65" s="9" t="n">
        <v>111</v>
      </c>
      <c r="E65" s="9" t="n">
        <v>111</v>
      </c>
      <c r="F65" s="10" t="s">
        <v>207</v>
      </c>
      <c r="G65" s="4" t="s">
        <v>208</v>
      </c>
      <c r="H65" s="10" t="s">
        <v>99</v>
      </c>
      <c r="I65" s="11" t="n">
        <f aca="false">INDEX(C65:E65,$C$4)</f>
        <v>111</v>
      </c>
    </row>
    <row r="66" customFormat="false" ht="28.35" hidden="false" customHeight="false" outlineLevel="0" collapsed="false">
      <c r="A66" s="3" t="s">
        <v>209</v>
      </c>
      <c r="B66" s="4" t="s">
        <v>210</v>
      </c>
      <c r="C66" s="16" t="n">
        <v>0.6</v>
      </c>
      <c r="D66" s="16" t="n">
        <v>0.9</v>
      </c>
      <c r="E66" s="16" t="n">
        <v>1.2</v>
      </c>
      <c r="F66" s="10" t="s">
        <v>211</v>
      </c>
      <c r="G66" s="4" t="s">
        <v>212</v>
      </c>
      <c r="H66" s="10" t="s">
        <v>47</v>
      </c>
      <c r="I66" s="17" t="n">
        <f aca="false">INDEX(C66:E66,$C$4)</f>
        <v>0.9</v>
      </c>
    </row>
    <row r="67" customFormat="false" ht="15" hidden="false" customHeight="false" outlineLevel="0" collapsed="false">
      <c r="A67" s="7" t="s">
        <v>213</v>
      </c>
      <c r="B67" s="8"/>
      <c r="C67" s="8"/>
      <c r="D67" s="8"/>
      <c r="E67" s="8"/>
      <c r="F67" s="8"/>
      <c r="G67" s="8"/>
      <c r="H67" s="8"/>
      <c r="I67" s="8"/>
    </row>
    <row r="68" customFormat="false" ht="28.35" hidden="false" customHeight="false" outlineLevel="0" collapsed="false">
      <c r="A68" s="3" t="s">
        <v>214</v>
      </c>
      <c r="B68" s="4" t="s">
        <v>215</v>
      </c>
      <c r="C68" s="12" t="n">
        <v>0.1</v>
      </c>
      <c r="D68" s="12" t="n">
        <v>0.15</v>
      </c>
      <c r="E68" s="12" t="n">
        <v>0.2</v>
      </c>
      <c r="F68" s="10" t="s">
        <v>39</v>
      </c>
      <c r="G68" s="4" t="s">
        <v>216</v>
      </c>
      <c r="H68" s="10" t="s">
        <v>47</v>
      </c>
      <c r="I68" s="13" t="n">
        <f aca="false">INDEX(C68:E68,$C$4)</f>
        <v>0.15</v>
      </c>
    </row>
    <row r="69" customFormat="false" ht="28.35" hidden="false" customHeight="false" outlineLevel="0" collapsed="false">
      <c r="A69" s="3" t="s">
        <v>217</v>
      </c>
      <c r="B69" s="4" t="s">
        <v>218</v>
      </c>
      <c r="C69" s="12" t="n">
        <v>0.05</v>
      </c>
      <c r="D69" s="12" t="n">
        <v>0.08</v>
      </c>
      <c r="E69" s="12" t="n">
        <v>0.12</v>
      </c>
      <c r="F69" s="10" t="s">
        <v>39</v>
      </c>
      <c r="G69" s="4" t="s">
        <v>219</v>
      </c>
      <c r="H69" s="10" t="s">
        <v>47</v>
      </c>
      <c r="I69" s="13" t="n">
        <f aca="false">INDEX(C69:E69,$C$4)</f>
        <v>0.08</v>
      </c>
    </row>
    <row r="70" customFormat="false" ht="15" hidden="false" customHeight="false" outlineLevel="0" collapsed="false">
      <c r="A70" s="3" t="s">
        <v>220</v>
      </c>
      <c r="B70" s="4" t="s">
        <v>221</v>
      </c>
      <c r="C70" s="14" t="n">
        <v>40000</v>
      </c>
      <c r="D70" s="14" t="n">
        <v>50000</v>
      </c>
      <c r="E70" s="14" t="n">
        <v>60000</v>
      </c>
      <c r="F70" s="10" t="s">
        <v>53</v>
      </c>
      <c r="G70" s="4" t="s">
        <v>222</v>
      </c>
      <c r="H70" s="10" t="s">
        <v>47</v>
      </c>
      <c r="I70" s="15" t="n">
        <f aca="false">INDEX(C70:E70,$C$4)</f>
        <v>50000</v>
      </c>
    </row>
    <row r="71" customFormat="false" ht="28.35" hidden="false" customHeight="false" outlineLevel="0" collapsed="false">
      <c r="A71" s="3" t="s">
        <v>223</v>
      </c>
      <c r="B71" s="4" t="s">
        <v>224</v>
      </c>
      <c r="C71" s="9" t="n">
        <v>800</v>
      </c>
      <c r="D71" s="9" t="n">
        <v>1000</v>
      </c>
      <c r="E71" s="9" t="n">
        <v>1300</v>
      </c>
      <c r="F71" s="10" t="s">
        <v>225</v>
      </c>
      <c r="G71" s="4" t="s">
        <v>226</v>
      </c>
      <c r="H71" s="10" t="s">
        <v>36</v>
      </c>
      <c r="I71" s="11" t="n">
        <f aca="false">INDEX(C71:E71,$C$4)</f>
        <v>1000</v>
      </c>
    </row>
    <row r="72" customFormat="false" ht="28.35" hidden="false" customHeight="false" outlineLevel="0" collapsed="false">
      <c r="A72" s="3" t="s">
        <v>227</v>
      </c>
      <c r="B72" s="4" t="s">
        <v>228</v>
      </c>
      <c r="C72" s="9" t="n">
        <v>2000</v>
      </c>
      <c r="D72" s="9" t="n">
        <v>3000</v>
      </c>
      <c r="E72" s="9" t="n">
        <v>4000</v>
      </c>
      <c r="F72" s="10" t="s">
        <v>225</v>
      </c>
      <c r="G72" s="4" t="s">
        <v>229</v>
      </c>
      <c r="H72" s="10" t="s">
        <v>36</v>
      </c>
      <c r="I72" s="11" t="n">
        <f aca="false">INDEX(C72:E72,$C$4)</f>
        <v>3000</v>
      </c>
    </row>
    <row r="73" customFormat="false" ht="28.35" hidden="false" customHeight="false" outlineLevel="0" collapsed="false">
      <c r="A73" s="3" t="s">
        <v>230</v>
      </c>
      <c r="B73" s="4" t="s">
        <v>231</v>
      </c>
      <c r="C73" s="12" t="n">
        <v>0.2</v>
      </c>
      <c r="D73" s="12" t="n">
        <v>0.3</v>
      </c>
      <c r="E73" s="12" t="n">
        <v>0.4</v>
      </c>
      <c r="F73" s="10" t="s">
        <v>39</v>
      </c>
      <c r="G73" s="4" t="s">
        <v>232</v>
      </c>
      <c r="H73" s="10" t="s">
        <v>47</v>
      </c>
      <c r="I73" s="13" t="n">
        <f aca="false">INDEX(C73:E73,$C$4)</f>
        <v>0.3</v>
      </c>
    </row>
    <row r="74" customFormat="false" ht="28.35" hidden="false" customHeight="false" outlineLevel="0" collapsed="false">
      <c r="A74" s="3" t="s">
        <v>233</v>
      </c>
      <c r="B74" s="4" t="s">
        <v>234</v>
      </c>
      <c r="C74" s="14" t="n">
        <v>8000</v>
      </c>
      <c r="D74" s="14" t="n">
        <v>10000</v>
      </c>
      <c r="E74" s="14" t="n">
        <v>12000</v>
      </c>
      <c r="F74" s="10" t="s">
        <v>53</v>
      </c>
      <c r="G74" s="4" t="s">
        <v>235</v>
      </c>
      <c r="H74" s="10" t="s">
        <v>47</v>
      </c>
      <c r="I74" s="15" t="n">
        <f aca="false">INDEX(C74:E74,$C$4)</f>
        <v>10000</v>
      </c>
    </row>
    <row r="75" customFormat="false" ht="28.35" hidden="false" customHeight="false" outlineLevel="0" collapsed="false">
      <c r="A75" s="3" t="s">
        <v>236</v>
      </c>
      <c r="B75" s="4" t="s">
        <v>237</v>
      </c>
      <c r="C75" s="12" t="n">
        <v>0.25</v>
      </c>
      <c r="D75" s="12" t="n">
        <v>0.35</v>
      </c>
      <c r="E75" s="12" t="n">
        <v>0.45</v>
      </c>
      <c r="F75" s="10" t="s">
        <v>39</v>
      </c>
      <c r="G75" s="4" t="s">
        <v>238</v>
      </c>
      <c r="H75" s="10" t="s">
        <v>47</v>
      </c>
      <c r="I75" s="13" t="n">
        <f aca="false">INDEX(C75:E75,$C$4)</f>
        <v>0.35</v>
      </c>
    </row>
    <row r="76" customFormat="false" ht="55.2" hidden="false" customHeight="false" outlineLevel="0" collapsed="false">
      <c r="A76" s="3" t="s">
        <v>239</v>
      </c>
      <c r="B76" s="4" t="s">
        <v>240</v>
      </c>
      <c r="C76" s="12" t="n">
        <v>0.18</v>
      </c>
      <c r="D76" s="12" t="n">
        <v>0.18</v>
      </c>
      <c r="E76" s="12" t="n">
        <v>0.18</v>
      </c>
      <c r="F76" s="10" t="s">
        <v>39</v>
      </c>
      <c r="G76" s="4" t="s">
        <v>241</v>
      </c>
      <c r="H76" s="10" t="s">
        <v>242</v>
      </c>
      <c r="I76" s="13" t="n">
        <f aca="false">INDEX(C76:E76,$C$4)</f>
        <v>0.18</v>
      </c>
    </row>
    <row r="77" customFormat="false" ht="15" hidden="false" customHeight="false" outlineLevel="0" collapsed="false">
      <c r="A77" s="7" t="s">
        <v>243</v>
      </c>
      <c r="B77" s="8"/>
      <c r="C77" s="8"/>
      <c r="D77" s="8"/>
      <c r="E77" s="8"/>
      <c r="F77" s="8"/>
      <c r="G77" s="8"/>
      <c r="H77" s="8"/>
      <c r="I77" s="8"/>
    </row>
    <row r="78" customFormat="false" ht="28.35" hidden="false" customHeight="false" outlineLevel="0" collapsed="false">
      <c r="A78" s="3" t="s">
        <v>244</v>
      </c>
      <c r="B78" s="4" t="s">
        <v>245</v>
      </c>
      <c r="C78" s="16" t="n">
        <v>19.51</v>
      </c>
      <c r="D78" s="16" t="n">
        <v>70.9</v>
      </c>
      <c r="E78" s="16" t="n">
        <v>104.57</v>
      </c>
      <c r="F78" s="10" t="s">
        <v>246</v>
      </c>
      <c r="G78" s="4" t="s">
        <v>247</v>
      </c>
      <c r="H78" s="10" t="s">
        <v>248</v>
      </c>
      <c r="I78" s="17" t="n">
        <f aca="false">INDEX(C78:E78,$C$4)</f>
        <v>70.9</v>
      </c>
    </row>
    <row r="79" customFormat="false" ht="28.35" hidden="false" customHeight="false" outlineLevel="0" collapsed="false">
      <c r="A79" s="3" t="s">
        <v>249</v>
      </c>
      <c r="B79" s="4" t="s">
        <v>250</v>
      </c>
      <c r="C79" s="16" t="n">
        <v>3.4</v>
      </c>
      <c r="D79" s="16" t="n">
        <v>24.45</v>
      </c>
      <c r="E79" s="16" t="n">
        <v>75.56</v>
      </c>
      <c r="F79" s="10" t="s">
        <v>246</v>
      </c>
      <c r="G79" s="4" t="s">
        <v>247</v>
      </c>
      <c r="H79" s="10" t="s">
        <v>248</v>
      </c>
      <c r="I79" s="17" t="n">
        <f aca="false">INDEX(C79:E79,$C$4)</f>
        <v>24.45</v>
      </c>
    </row>
    <row r="80" customFormat="false" ht="15" hidden="false" customHeight="false" outlineLevel="0" collapsed="false">
      <c r="A80" s="3" t="s">
        <v>251</v>
      </c>
      <c r="B80" s="4" t="s">
        <v>252</v>
      </c>
      <c r="C80" s="16" t="n">
        <v>4.63</v>
      </c>
      <c r="D80" s="16" t="n">
        <v>25.15</v>
      </c>
      <c r="E80" s="16" t="n">
        <v>49.35</v>
      </c>
      <c r="F80" s="10" t="s">
        <v>246</v>
      </c>
      <c r="G80" s="4" t="s">
        <v>247</v>
      </c>
      <c r="H80" s="10" t="s">
        <v>248</v>
      </c>
      <c r="I80" s="17" t="n">
        <f aca="false">INDEX(C80:E80,$C$4)</f>
        <v>25.15</v>
      </c>
    </row>
    <row r="81" customFormat="false" ht="28.35" hidden="false" customHeight="false" outlineLevel="0" collapsed="false">
      <c r="A81" s="3" t="s">
        <v>253</v>
      </c>
      <c r="B81" s="4" t="s">
        <v>254</v>
      </c>
      <c r="C81" s="16" t="n">
        <v>5.84</v>
      </c>
      <c r="D81" s="16" t="n">
        <v>27.04</v>
      </c>
      <c r="E81" s="16" t="n">
        <v>61.15</v>
      </c>
      <c r="F81" s="10" t="s">
        <v>246</v>
      </c>
      <c r="G81" s="4" t="s">
        <v>247</v>
      </c>
      <c r="H81" s="10" t="s">
        <v>248</v>
      </c>
      <c r="I81" s="17" t="n">
        <f aca="false">INDEX(C81:E81,$C$4)</f>
        <v>27.04</v>
      </c>
    </row>
    <row r="82" customFormat="false" ht="15" hidden="false" customHeight="false" outlineLevel="0" collapsed="false">
      <c r="A82" s="3" t="s">
        <v>255</v>
      </c>
      <c r="B82" s="4" t="s">
        <v>256</v>
      </c>
      <c r="C82" s="16" t="n">
        <v>1.27</v>
      </c>
      <c r="D82" s="16" t="n">
        <v>11.43</v>
      </c>
      <c r="E82" s="16" t="n">
        <v>33.88</v>
      </c>
      <c r="F82" s="10" t="s">
        <v>246</v>
      </c>
      <c r="G82" s="4" t="s">
        <v>247</v>
      </c>
      <c r="H82" s="10" t="s">
        <v>248</v>
      </c>
      <c r="I82" s="17" t="n">
        <f aca="false">INDEX(C82:E82,$C$4)</f>
        <v>11.43</v>
      </c>
    </row>
    <row r="83" customFormat="false" ht="28.35" hidden="false" customHeight="false" outlineLevel="0" collapsed="false">
      <c r="A83" s="3" t="s">
        <v>257</v>
      </c>
      <c r="B83" s="4" t="s">
        <v>258</v>
      </c>
      <c r="C83" s="16" t="n">
        <v>2</v>
      </c>
      <c r="D83" s="16" t="n">
        <v>6.54</v>
      </c>
      <c r="E83" s="16" t="n">
        <v>10.13</v>
      </c>
      <c r="F83" s="10" t="s">
        <v>246</v>
      </c>
      <c r="G83" s="4" t="s">
        <v>247</v>
      </c>
      <c r="H83" s="10" t="s">
        <v>248</v>
      </c>
      <c r="I83" s="17" t="n">
        <f aca="false">INDEX(C83:E83,$C$4)</f>
        <v>6.54</v>
      </c>
    </row>
    <row r="84" customFormat="false" ht="15" hidden="false" customHeight="false" outlineLevel="0" collapsed="false">
      <c r="A84" s="3" t="s">
        <v>259</v>
      </c>
      <c r="B84" s="4" t="s">
        <v>260</v>
      </c>
      <c r="C84" s="9" t="n">
        <v>33.6</v>
      </c>
      <c r="D84" s="9" t="n">
        <v>92.3</v>
      </c>
      <c r="E84" s="9" t="n">
        <v>97.5</v>
      </c>
      <c r="F84" s="10" t="s">
        <v>80</v>
      </c>
      <c r="G84" s="4" t="s">
        <v>247</v>
      </c>
      <c r="H84" s="10" t="s">
        <v>248</v>
      </c>
      <c r="I84" s="11" t="n">
        <f aca="false">INDEX(C84:E84,$C$4)</f>
        <v>92.3</v>
      </c>
    </row>
    <row r="85" customFormat="false" ht="15" hidden="false" customHeight="false" outlineLevel="0" collapsed="false">
      <c r="A85" s="3" t="s">
        <v>261</v>
      </c>
      <c r="B85" s="4" t="s">
        <v>262</v>
      </c>
      <c r="C85" s="9" t="n">
        <v>7.4</v>
      </c>
      <c r="D85" s="9" t="n">
        <v>39.6</v>
      </c>
      <c r="E85" s="9" t="n">
        <v>95</v>
      </c>
      <c r="F85" s="10" t="s">
        <v>80</v>
      </c>
      <c r="G85" s="4" t="s">
        <v>247</v>
      </c>
      <c r="H85" s="10" t="s">
        <v>248</v>
      </c>
      <c r="I85" s="11" t="n">
        <f aca="false">INDEX(C85:E85,$C$4)</f>
        <v>39.6</v>
      </c>
    </row>
    <row r="86" customFormat="false" ht="15" hidden="false" customHeight="false" outlineLevel="0" collapsed="false">
      <c r="A86" s="3" t="s">
        <v>263</v>
      </c>
      <c r="B86" s="4" t="s">
        <v>264</v>
      </c>
      <c r="C86" s="9" t="n">
        <v>8</v>
      </c>
      <c r="D86" s="9" t="n">
        <v>35</v>
      </c>
      <c r="E86" s="9" t="n">
        <v>53.9</v>
      </c>
      <c r="F86" s="10" t="s">
        <v>80</v>
      </c>
      <c r="G86" s="4" t="s">
        <v>247</v>
      </c>
      <c r="H86" s="10" t="s">
        <v>248</v>
      </c>
      <c r="I86" s="11" t="n">
        <f aca="false">INDEX(C86:E86,$C$4)</f>
        <v>35</v>
      </c>
    </row>
    <row r="87" customFormat="false" ht="28.35" hidden="false" customHeight="false" outlineLevel="0" collapsed="false">
      <c r="A87" s="3" t="s">
        <v>265</v>
      </c>
      <c r="B87" s="4" t="s">
        <v>266</v>
      </c>
      <c r="C87" s="9" t="n">
        <v>30</v>
      </c>
      <c r="D87" s="9" t="n">
        <v>50</v>
      </c>
      <c r="E87" s="9" t="n">
        <v>60</v>
      </c>
      <c r="F87" s="10" t="s">
        <v>267</v>
      </c>
      <c r="G87" s="4" t="s">
        <v>268</v>
      </c>
      <c r="H87" s="10" t="s">
        <v>269</v>
      </c>
      <c r="I87" s="11" t="n">
        <f aca="false">INDEX(C87:E87,$C$4)</f>
        <v>50</v>
      </c>
    </row>
    <row r="88" customFormat="false" ht="28.35" hidden="false" customHeight="false" outlineLevel="0" collapsed="false">
      <c r="A88" s="3" t="s">
        <v>270</v>
      </c>
      <c r="B88" s="4" t="s">
        <v>271</v>
      </c>
      <c r="C88" s="16" t="n">
        <v>6.71</v>
      </c>
      <c r="D88" s="16" t="n">
        <v>16.61</v>
      </c>
      <c r="E88" s="16" t="n">
        <v>24.92</v>
      </c>
      <c r="F88" s="10" t="s">
        <v>246</v>
      </c>
      <c r="G88" s="4" t="s">
        <v>272</v>
      </c>
      <c r="H88" s="10" t="s">
        <v>47</v>
      </c>
      <c r="I88" s="17" t="n">
        <f aca="false">INDEX(C88:E88,$C$4)</f>
        <v>16.61</v>
      </c>
    </row>
  </sheetData>
  <dataValidations count="1">
    <dataValidation allowBlank="false" errorStyle="stop" operator="between" showDropDown="false" showErrorMessage="false" showInputMessage="false" sqref="C3" type="list">
      <formula1>"Low,Base,High"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2" t="s">
        <v>274</v>
      </c>
    </row>
    <row r="4" customFormat="false" ht="15" hidden="false" customHeight="false" outlineLevel="0" collapsed="false">
      <c r="A4" s="6" t="s">
        <v>275</v>
      </c>
      <c r="B4" s="6" t="s">
        <v>276</v>
      </c>
      <c r="C4" s="6" t="s">
        <v>24</v>
      </c>
      <c r="D4" s="6" t="s">
        <v>21</v>
      </c>
      <c r="E4" s="6" t="s">
        <v>25</v>
      </c>
      <c r="F4" s="6" t="s">
        <v>277</v>
      </c>
    </row>
    <row r="5" customFormat="false" ht="15" hidden="false" customHeight="false" outlineLevel="0" collapsed="false">
      <c r="A5" s="7" t="s">
        <v>278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23" t="s">
        <v>279</v>
      </c>
      <c r="B6" s="10" t="s">
        <v>280</v>
      </c>
      <c r="C6" s="24" t="n">
        <f aca="false">Assumptions!$C$9</f>
        <v>130000</v>
      </c>
      <c r="D6" s="24" t="n">
        <f aca="false">Assumptions!$D$9</f>
        <v>170000</v>
      </c>
      <c r="E6" s="24" t="n">
        <f aca="false">Assumptions!$E$9</f>
        <v>210000</v>
      </c>
      <c r="F6" s="2" t="s">
        <v>32</v>
      </c>
    </row>
    <row r="7" customFormat="false" ht="15" hidden="false" customHeight="false" outlineLevel="0" collapsed="false">
      <c r="A7" s="23" t="s">
        <v>281</v>
      </c>
      <c r="C7" s="24" t="n">
        <f aca="false">C6/Assumptions!$C$10</f>
        <v>325000</v>
      </c>
      <c r="D7" s="24" t="n">
        <f aca="false">D6/Assumptions!$D$10</f>
        <v>425000</v>
      </c>
      <c r="E7" s="24" t="n">
        <f aca="false">E6/Assumptions!$E$10</f>
        <v>525000</v>
      </c>
      <c r="F7" s="2" t="s">
        <v>282</v>
      </c>
    </row>
    <row r="8" customFormat="false" ht="15" hidden="false" customHeight="false" outlineLevel="0" collapsed="false">
      <c r="A8" s="23" t="s">
        <v>283</v>
      </c>
      <c r="C8" s="25" t="n">
        <f aca="false">C7/Assumptions!$C$29</f>
        <v>0.478205596035455</v>
      </c>
      <c r="D8" s="25" t="n">
        <f aca="false">D7/Assumptions!$D$29</f>
        <v>0.62534577943098</v>
      </c>
      <c r="E8" s="25" t="n">
        <f aca="false">E7/Assumptions!$E$29</f>
        <v>0.772485962826504</v>
      </c>
      <c r="F8" s="2" t="s">
        <v>284</v>
      </c>
    </row>
    <row r="9" customFormat="false" ht="15" hidden="false" customHeight="false" outlineLevel="0" collapsed="false">
      <c r="A9" s="23" t="s">
        <v>285</v>
      </c>
      <c r="C9" s="25" t="n">
        <f aca="false">Assumptions!$C$11</f>
        <v>0.64</v>
      </c>
      <c r="D9" s="25" t="n">
        <f aca="false">Assumptions!$D$11</f>
        <v>0.72</v>
      </c>
      <c r="E9" s="25" t="n">
        <f aca="false">Assumptions!$E$11</f>
        <v>0.8</v>
      </c>
      <c r="F9" s="2" t="s">
        <v>41</v>
      </c>
    </row>
    <row r="10" customFormat="false" ht="15" hidden="false" customHeight="false" outlineLevel="0" collapsed="false">
      <c r="A10" s="23" t="s">
        <v>286</v>
      </c>
      <c r="C10" s="24" t="n">
        <f aca="false">C7*C9</f>
        <v>208000</v>
      </c>
      <c r="D10" s="24" t="n">
        <f aca="false">D7*D9</f>
        <v>306000</v>
      </c>
      <c r="E10" s="24" t="n">
        <f aca="false">E7*E9</f>
        <v>420000</v>
      </c>
      <c r="F10" s="2" t="s">
        <v>287</v>
      </c>
    </row>
    <row r="11" customFormat="false" ht="15" hidden="false" customHeight="false" outlineLevel="0" collapsed="false">
      <c r="A11" s="23" t="s">
        <v>288</v>
      </c>
      <c r="C11" s="25" t="n">
        <f aca="false">Assumptions!$C$12</f>
        <v>0.15</v>
      </c>
      <c r="D11" s="25" t="n">
        <f aca="false">Assumptions!$D$12</f>
        <v>0.25</v>
      </c>
      <c r="E11" s="25" t="n">
        <f aca="false">Assumptions!$E$12</f>
        <v>0.35</v>
      </c>
      <c r="F11" s="2" t="s">
        <v>44</v>
      </c>
    </row>
    <row r="12" customFormat="false" ht="15" hidden="false" customHeight="false" outlineLevel="0" collapsed="false">
      <c r="A12" s="3" t="s">
        <v>289</v>
      </c>
      <c r="C12" s="26" t="n">
        <f aca="false">C10*C11</f>
        <v>31200</v>
      </c>
      <c r="D12" s="26" t="n">
        <f aca="false">D10*D11</f>
        <v>76500</v>
      </c>
      <c r="E12" s="26" t="n">
        <f aca="false">E10*E11</f>
        <v>147000</v>
      </c>
      <c r="F12" s="2" t="s">
        <v>290</v>
      </c>
    </row>
    <row r="13" customFormat="false" ht="15" hidden="false" customHeight="false" outlineLevel="0" collapsed="false">
      <c r="A13" s="23" t="s">
        <v>291</v>
      </c>
      <c r="C13" s="27" t="n">
        <f aca="false">Assumptions!$C$13*Assumptions!$C$14+Assumptions!$C$15*Assumptions!$C$16+Assumptions!$C$17*Assumptions!$C$18+Assumptions!$C$19*Assumptions!$C$20</f>
        <v>39750</v>
      </c>
      <c r="D13" s="27" t="n">
        <f aca="false">Assumptions!$D$13*Assumptions!$D$14+Assumptions!$D$15*Assumptions!$D$16+Assumptions!$D$17*Assumptions!$D$18+Assumptions!$D$19*Assumptions!$D$20</f>
        <v>68250</v>
      </c>
      <c r="E13" s="27" t="n">
        <f aca="false">Assumptions!$E$13*Assumptions!$E$14+Assumptions!$E$15*Assumptions!$E$16+Assumptions!$E$17*Assumptions!$E$18+Assumptions!$E$19*Assumptions!$E$20</f>
        <v>109000</v>
      </c>
      <c r="F13" s="2" t="s">
        <v>292</v>
      </c>
    </row>
    <row r="14" customFormat="false" ht="15" hidden="false" customHeight="false" outlineLevel="0" collapsed="false">
      <c r="A14" s="3" t="s">
        <v>293</v>
      </c>
      <c r="C14" s="28" t="n">
        <f aca="false">C12*C13/10000000</f>
        <v>124.02</v>
      </c>
      <c r="D14" s="28" t="n">
        <f aca="false">D12*D13/10000000</f>
        <v>522.1125</v>
      </c>
      <c r="E14" s="28" t="n">
        <f aca="false">E12*E13/10000000</f>
        <v>1602.3</v>
      </c>
      <c r="F14" s="2" t="s">
        <v>294</v>
      </c>
    </row>
    <row r="15" customFormat="false" ht="15" hidden="false" customHeight="false" outlineLevel="0" collapsed="false">
      <c r="A15" s="23" t="s">
        <v>295</v>
      </c>
      <c r="C15" s="24" t="n">
        <f aca="false">C10-C12</f>
        <v>176800</v>
      </c>
      <c r="D15" s="24" t="n">
        <f aca="false">D10-D12</f>
        <v>229500</v>
      </c>
      <c r="E15" s="24" t="n">
        <f aca="false">E10-E12</f>
        <v>273000</v>
      </c>
      <c r="F15" s="2" t="s">
        <v>296</v>
      </c>
    </row>
    <row r="16" customFormat="false" ht="15" hidden="false" customHeight="false" outlineLevel="0" collapsed="false">
      <c r="A16" s="23" t="s">
        <v>297</v>
      </c>
      <c r="C16" s="29" t="n">
        <f aca="false">C15*Assumptions!$C$21/10000000</f>
        <v>176.8</v>
      </c>
      <c r="D16" s="29" t="n">
        <f aca="false">D15*Assumptions!$D$21/10000000</f>
        <v>298.35</v>
      </c>
      <c r="E16" s="29" t="n">
        <f aca="false">E15*Assumptions!$E$21/10000000</f>
        <v>491.4</v>
      </c>
      <c r="F16" s="2" t="s">
        <v>298</v>
      </c>
    </row>
    <row r="17" customFormat="false" ht="15" hidden="false" customHeight="false" outlineLevel="0" collapsed="false">
      <c r="A17" s="23" t="s">
        <v>299</v>
      </c>
      <c r="C17" s="29" t="n">
        <f aca="false">C14+C16</f>
        <v>300.82</v>
      </c>
      <c r="D17" s="29" t="n">
        <f aca="false">D14+D16</f>
        <v>820.4625</v>
      </c>
      <c r="E17" s="29" t="n">
        <f aca="false">E14+E16</f>
        <v>2093.7</v>
      </c>
      <c r="F17" s="2" t="s">
        <v>300</v>
      </c>
    </row>
    <row r="19" customFormat="false" ht="15" hidden="false" customHeight="false" outlineLevel="0" collapsed="false">
      <c r="A19" s="7" t="s">
        <v>301</v>
      </c>
      <c r="B19" s="8"/>
      <c r="C19" s="8"/>
      <c r="D19" s="8"/>
      <c r="E19" s="8"/>
      <c r="F19" s="8"/>
    </row>
    <row r="20" customFormat="false" ht="15" hidden="false" customHeight="false" outlineLevel="0" collapsed="false">
      <c r="A20" s="23" t="s">
        <v>302</v>
      </c>
      <c r="C20" s="24" t="n">
        <f aca="false">Assumptions!$C$22</f>
        <v>300</v>
      </c>
      <c r="D20" s="24" t="n">
        <f aca="false">Assumptions!$D$22</f>
        <v>450</v>
      </c>
      <c r="E20" s="24" t="n">
        <f aca="false">Assumptions!$E$22</f>
        <v>600</v>
      </c>
      <c r="F20" s="2" t="s">
        <v>74</v>
      </c>
    </row>
    <row r="21" customFormat="false" ht="15" hidden="false" customHeight="false" outlineLevel="0" collapsed="false">
      <c r="A21" s="23" t="s">
        <v>303</v>
      </c>
      <c r="C21" s="24" t="n">
        <f aca="false">Assumptions!$C$23</f>
        <v>80</v>
      </c>
      <c r="D21" s="24" t="n">
        <f aca="false">Assumptions!$D$23</f>
        <v>110</v>
      </c>
      <c r="E21" s="24" t="n">
        <f aca="false">Assumptions!$E$23</f>
        <v>125</v>
      </c>
      <c r="F21" s="2" t="s">
        <v>78</v>
      </c>
    </row>
    <row r="22" customFormat="false" ht="15" hidden="false" customHeight="false" outlineLevel="0" collapsed="false">
      <c r="A22" s="23" t="s">
        <v>304</v>
      </c>
      <c r="C22" s="24" t="n">
        <f aca="false">C20*C21</f>
        <v>24000</v>
      </c>
      <c r="D22" s="24" t="n">
        <f aca="false">D20*D21</f>
        <v>49500</v>
      </c>
      <c r="E22" s="24" t="n">
        <f aca="false">E20*E21</f>
        <v>75000</v>
      </c>
      <c r="F22" s="2" t="s">
        <v>305</v>
      </c>
    </row>
    <row r="23" customFormat="false" ht="15" hidden="false" customHeight="false" outlineLevel="0" collapsed="false">
      <c r="A23" s="23" t="s">
        <v>306</v>
      </c>
      <c r="C23" s="24" t="n">
        <f aca="false">C22*(1+Assumptions!$C$24)</f>
        <v>60000</v>
      </c>
      <c r="D23" s="24" t="n">
        <f aca="false">D22*(1+Assumptions!$D$24)</f>
        <v>148500</v>
      </c>
      <c r="E23" s="24" t="n">
        <f aca="false">E22*(1+Assumptions!$E$24)</f>
        <v>300000</v>
      </c>
      <c r="F23" s="2" t="s">
        <v>307</v>
      </c>
    </row>
    <row r="24" customFormat="false" ht="15" hidden="false" customHeight="false" outlineLevel="0" collapsed="false">
      <c r="A24" s="3" t="s">
        <v>308</v>
      </c>
      <c r="C24" s="26" t="n">
        <f aca="false">C23*Assumptions!$C$12</f>
        <v>9000</v>
      </c>
      <c r="D24" s="26" t="n">
        <f aca="false">D23*Assumptions!$D$12</f>
        <v>37125</v>
      </c>
      <c r="E24" s="26" t="n">
        <f aca="false">E23*Assumptions!$E$12</f>
        <v>105000</v>
      </c>
      <c r="F24" s="2" t="s">
        <v>309</v>
      </c>
    </row>
    <row r="25" customFormat="false" ht="15" hidden="false" customHeight="false" outlineLevel="0" collapsed="false">
      <c r="A25" s="3" t="s">
        <v>310</v>
      </c>
      <c r="C25" s="28" t="n">
        <f aca="false">C24*C13/10000000</f>
        <v>35.775</v>
      </c>
      <c r="D25" s="28" t="n">
        <f aca="false">D24*D13/10000000</f>
        <v>253.378125</v>
      </c>
      <c r="E25" s="28" t="n">
        <f aca="false">E24*E13/10000000</f>
        <v>1144.5</v>
      </c>
      <c r="F25" s="2" t="s">
        <v>311</v>
      </c>
    </row>
    <row r="26" customFormat="false" ht="15" hidden="false" customHeight="false" outlineLevel="0" collapsed="false">
      <c r="A26" s="23" t="s">
        <v>312</v>
      </c>
      <c r="C26" s="29" t="n">
        <f aca="false">(C23-C24)*Assumptions!$C$21/10000000</f>
        <v>51</v>
      </c>
      <c r="D26" s="29" t="n">
        <f aca="false">(D23-D24)*Assumptions!$D$21/10000000</f>
        <v>144.7875</v>
      </c>
      <c r="E26" s="29" t="n">
        <f aca="false">(E23-E24)*Assumptions!$E$21/10000000</f>
        <v>351</v>
      </c>
      <c r="F26" s="2"/>
    </row>
    <row r="27" customFormat="false" ht="15" hidden="false" customHeight="false" outlineLevel="0" collapsed="false">
      <c r="A27" s="23" t="s">
        <v>313</v>
      </c>
      <c r="C27" s="29" t="n">
        <f aca="false">C25+C26</f>
        <v>86.775</v>
      </c>
      <c r="D27" s="29" t="n">
        <f aca="false">D25+D26</f>
        <v>398.165625</v>
      </c>
      <c r="E27" s="29" t="n">
        <f aca="false">E25+E26</f>
        <v>1495.5</v>
      </c>
      <c r="F27" s="2"/>
    </row>
    <row r="29" customFormat="false" ht="15" hidden="false" customHeight="false" outlineLevel="0" collapsed="false">
      <c r="A29" s="7" t="s">
        <v>314</v>
      </c>
      <c r="B29" s="8"/>
      <c r="C29" s="8"/>
      <c r="D29" s="8"/>
      <c r="E29" s="8"/>
      <c r="F29" s="8"/>
    </row>
    <row r="30" customFormat="false" ht="15" hidden="false" customHeight="false" outlineLevel="0" collapsed="false">
      <c r="A30" s="3" t="s">
        <v>315</v>
      </c>
      <c r="C30" s="28" t="n">
        <f aca="false">AVERAGE(C14,C25)</f>
        <v>79.8975</v>
      </c>
      <c r="D30" s="28" t="n">
        <f aca="false">AVERAGE(D14,D25)</f>
        <v>387.7453125</v>
      </c>
      <c r="E30" s="28" t="n">
        <f aca="false">AVERAGE(E14,E25)</f>
        <v>1373.4</v>
      </c>
      <c r="F30" s="2" t="s">
        <v>316</v>
      </c>
    </row>
    <row r="31" customFormat="false" ht="15" hidden="false" customHeight="false" outlineLevel="0" collapsed="false">
      <c r="A31" s="3" t="s">
        <v>317</v>
      </c>
      <c r="C31" s="26" t="n">
        <f aca="false">AVERAGE(C12,C24)</f>
        <v>20100</v>
      </c>
      <c r="D31" s="26" t="n">
        <f aca="false">AVERAGE(D12,D24)</f>
        <v>56812.5</v>
      </c>
      <c r="E31" s="26" t="n">
        <f aca="false">AVERAGE(E12,E24)</f>
        <v>126000</v>
      </c>
      <c r="F31" s="2" t="s">
        <v>318</v>
      </c>
    </row>
    <row r="32" customFormat="false" ht="15" hidden="false" customHeight="false" outlineLevel="0" collapsed="false">
      <c r="A32" s="23" t="s">
        <v>319</v>
      </c>
      <c r="C32" s="22" t="n">
        <f aca="false">C31/Assumptions!$C$33</f>
        <v>0.0901571695134204</v>
      </c>
      <c r="D32" s="22" t="n">
        <f aca="false">D31/Assumptions!$D$33</f>
        <v>0.254828566814985</v>
      </c>
      <c r="E32" s="22" t="n">
        <f aca="false">E31/Assumptions!$E$33</f>
        <v>0.565164346203531</v>
      </c>
      <c r="F32" s="2" t="s">
        <v>320</v>
      </c>
    </row>
    <row r="33" customFormat="false" ht="15" hidden="false" customHeight="false" outlineLevel="0" collapsed="false">
      <c r="A33" s="23" t="s">
        <v>321</v>
      </c>
      <c r="C33" s="29" t="n">
        <f aca="false">Assumptions!$C$25*Assumptions!$C$26/10000000</f>
        <v>3</v>
      </c>
      <c r="D33" s="29" t="n">
        <f aca="false">Assumptions!$D$25*Assumptions!$D$26/10000000</f>
        <v>22.5</v>
      </c>
      <c r="E33" s="29" t="n">
        <f aca="false">Assumptions!$E$25*Assumptions!$E$26/10000000</f>
        <v>120</v>
      </c>
      <c r="F33" s="2" t="s">
        <v>322</v>
      </c>
    </row>
    <row r="34" customFormat="false" ht="15" hidden="false" customHeight="false" outlineLevel="0" collapsed="false">
      <c r="A34" s="3" t="s">
        <v>323</v>
      </c>
      <c r="C34" s="28" t="n">
        <f aca="false">C30+C33</f>
        <v>82.8975</v>
      </c>
      <c r="D34" s="28" t="n">
        <f aca="false">D30+D33</f>
        <v>410.2453125</v>
      </c>
      <c r="E34" s="28" t="n">
        <f aca="false">E30+E33</f>
        <v>1493.4</v>
      </c>
      <c r="F34" s="2"/>
    </row>
    <row r="35" customFormat="false" ht="15" hidden="false" customHeight="false" outlineLevel="0" collapsed="false">
      <c r="A35" s="23" t="s">
        <v>324</v>
      </c>
      <c r="C35" s="29" t="n">
        <f aca="false">C30*10000000/Assumptions!$C$27/1000000</f>
        <v>9.07926136363636</v>
      </c>
      <c r="D35" s="29" t="n">
        <f aca="false">D30*10000000/Assumptions!$D$27/1000000</f>
        <v>44.0619673295454</v>
      </c>
      <c r="E35" s="29" t="n">
        <f aca="false">E30*10000000/Assumptions!$E$27/1000000</f>
        <v>156.068181818182</v>
      </c>
      <c r="F35" s="2" t="s">
        <v>325</v>
      </c>
    </row>
    <row r="36" customFormat="false" ht="15" hidden="false" customHeight="false" outlineLevel="0" collapsed="false">
      <c r="A36" s="23" t="s">
        <v>326</v>
      </c>
      <c r="C36" s="29" t="n">
        <f aca="false">AVERAGE(C17,C27)</f>
        <v>193.7975</v>
      </c>
      <c r="D36" s="29" t="n">
        <f aca="false">AVERAGE(D17,D27)</f>
        <v>609.3140625</v>
      </c>
      <c r="E36" s="29" t="n">
        <f aca="false">AVERAGE(E17,E27)</f>
        <v>1794.6</v>
      </c>
      <c r="F36" s="2" t="s">
        <v>327</v>
      </c>
    </row>
    <row r="37" customFormat="false" ht="15" hidden="false" customHeight="false" outlineLevel="0" collapsed="false">
      <c r="A37" s="23" t="s">
        <v>328</v>
      </c>
      <c r="C37" s="25" t="n">
        <f aca="false">C30/Assumptions!$C$30</f>
        <v>0.00104933610013002</v>
      </c>
      <c r="D37" s="25" t="n">
        <f aca="false">D30/Assumptions!$D$30</f>
        <v>0.00509246414546696</v>
      </c>
      <c r="E37" s="25" t="n">
        <f aca="false">E30/Assumptions!$E$30</f>
        <v>0.0180375881588106</v>
      </c>
      <c r="F37" s="2" t="s">
        <v>329</v>
      </c>
    </row>
    <row r="38" customFormat="false" ht="15" hidden="false" customHeight="false" outlineLevel="0" collapsed="false">
      <c r="A38" s="23" t="s">
        <v>330</v>
      </c>
      <c r="C38" s="29" t="n">
        <f aca="false">C30*Assumptions!$C$28</f>
        <v>6.11215875</v>
      </c>
      <c r="D38" s="29" t="n">
        <f aca="false">D30*Assumptions!$D$28</f>
        <v>29.66251640625</v>
      </c>
      <c r="E38" s="29" t="n">
        <f aca="false">E30*Assumptions!$E$28</f>
        <v>105.0651</v>
      </c>
      <c r="F38" s="2" t="s">
        <v>331</v>
      </c>
    </row>
    <row r="40" customFormat="false" ht="15" hidden="false" customHeight="false" outlineLevel="0" collapsed="false">
      <c r="A40" s="2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333</v>
      </c>
    </row>
    <row r="2" customFormat="false" ht="15" hidden="false" customHeight="false" outlineLevel="0" collapsed="false">
      <c r="A2" s="2" t="s">
        <v>334</v>
      </c>
    </row>
    <row r="4" customFormat="false" ht="15" hidden="false" customHeight="false" outlineLevel="0" collapsed="false">
      <c r="A4" s="6" t="s">
        <v>335</v>
      </c>
      <c r="B4" s="6" t="s">
        <v>276</v>
      </c>
      <c r="C4" s="6" t="s">
        <v>24</v>
      </c>
      <c r="D4" s="6" t="s">
        <v>21</v>
      </c>
      <c r="E4" s="6" t="s">
        <v>25</v>
      </c>
      <c r="F4" s="6" t="s">
        <v>336</v>
      </c>
    </row>
    <row r="5" customFormat="false" ht="15" hidden="false" customHeight="false" outlineLevel="0" collapsed="false">
      <c r="A5" s="7" t="s">
        <v>337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23" t="s">
        <v>338</v>
      </c>
      <c r="B6" s="2"/>
      <c r="C6" s="22" t="n">
        <f aca="false">Assumptions!$C$43/Assumptions!$C$42</f>
        <v>2.55601659751037</v>
      </c>
      <c r="D6" s="22" t="n">
        <f aca="false">Assumptions!$D$43/Assumptions!$D$42</f>
        <v>2.55601659751037</v>
      </c>
      <c r="E6" s="22" t="n">
        <f aca="false">Assumptions!$E$43/Assumptions!$E$42</f>
        <v>2.55601659751037</v>
      </c>
      <c r="F6" s="30" t="s">
        <v>339</v>
      </c>
    </row>
    <row r="7" customFormat="false" ht="15" hidden="false" customHeight="false" outlineLevel="0" collapsed="false">
      <c r="A7" s="23" t="s">
        <v>340</v>
      </c>
      <c r="B7" s="2"/>
      <c r="C7" s="22" t="n">
        <f aca="false">Assumptions!$C$44/Assumptions!$C$42</f>
        <v>1.5103734439834</v>
      </c>
      <c r="D7" s="22" t="n">
        <f aca="false">Assumptions!$D$44/Assumptions!$D$42</f>
        <v>1.5103734439834</v>
      </c>
      <c r="E7" s="22" t="n">
        <f aca="false">Assumptions!$E$44/Assumptions!$E$42</f>
        <v>1.5103734439834</v>
      </c>
      <c r="F7" s="30"/>
    </row>
    <row r="8" customFormat="false" ht="15" hidden="false" customHeight="false" outlineLevel="0" collapsed="false">
      <c r="A8" s="23" t="s">
        <v>341</v>
      </c>
      <c r="B8" s="2"/>
      <c r="C8" s="22" t="n">
        <f aca="false">Assumptions!$C$45/Assumptions!$C$42</f>
        <v>1.42738589211618</v>
      </c>
      <c r="D8" s="22" t="n">
        <f aca="false">Assumptions!$D$45/Assumptions!$D$42</f>
        <v>1.42738589211618</v>
      </c>
      <c r="E8" s="22" t="n">
        <f aca="false">Assumptions!$E$45/Assumptions!$E$42</f>
        <v>1.42738589211618</v>
      </c>
      <c r="F8" s="30"/>
    </row>
    <row r="9" customFormat="false" ht="15" hidden="false" customHeight="false" outlineLevel="0" collapsed="false">
      <c r="A9" s="23" t="s">
        <v>342</v>
      </c>
      <c r="B9" s="2"/>
      <c r="C9" s="24" t="n">
        <f aca="false">Assumptions!$C$35+Assumptions!$C$36+Assumptions!$C$37</f>
        <v>471</v>
      </c>
      <c r="D9" s="24" t="n">
        <f aca="false">Assumptions!$D$35+Assumptions!$D$36+Assumptions!$D$37</f>
        <v>471</v>
      </c>
      <c r="E9" s="24" t="n">
        <f aca="false">Assumptions!$E$35+Assumptions!$E$36+Assumptions!$E$37</f>
        <v>471</v>
      </c>
      <c r="F9" s="30" t="s">
        <v>343</v>
      </c>
    </row>
    <row r="10" customFormat="false" ht="15" hidden="false" customHeight="false" outlineLevel="0" collapsed="false">
      <c r="A10" s="23" t="s">
        <v>344</v>
      </c>
      <c r="B10" s="2"/>
      <c r="C10" s="22" t="n">
        <f aca="false">Assumptions!$C$48</f>
        <v>1.68</v>
      </c>
      <c r="D10" s="22" t="n">
        <f aca="false">Assumptions!$D$48</f>
        <v>1.85</v>
      </c>
      <c r="E10" s="22" t="n">
        <f aca="false">Assumptions!$E$48</f>
        <v>2</v>
      </c>
      <c r="F10" s="30" t="s">
        <v>345</v>
      </c>
    </row>
    <row r="11" customFormat="false" ht="15" hidden="false" customHeight="false" outlineLevel="0" collapsed="false">
      <c r="A11" s="23" t="s">
        <v>346</v>
      </c>
      <c r="B11" s="2"/>
      <c r="C11" s="10" t="n">
        <f aca="false">0</f>
        <v>0</v>
      </c>
      <c r="D11" s="10" t="n">
        <f aca="false">0</f>
        <v>0</v>
      </c>
      <c r="E11" s="10" t="n">
        <f aca="false">0</f>
        <v>0</v>
      </c>
      <c r="F11" s="30"/>
    </row>
    <row r="12" customFormat="false" ht="15" hidden="false" customHeight="false" outlineLevel="0" collapsed="false">
      <c r="A12" s="3" t="s">
        <v>347</v>
      </c>
      <c r="B12" s="2"/>
      <c r="C12" s="31" t="n">
        <f aca="false">(Assumptions!$C$35*C6+Assumptions!$C$36*C7+Assumptions!$C$37*C8)/C9</f>
        <v>1.90293451735955</v>
      </c>
      <c r="D12" s="31" t="n">
        <f aca="false">(Assumptions!$D$35*D6+Assumptions!$D$36*D7+Assumptions!$D$37*D8)/D9</f>
        <v>1.90293451735955</v>
      </c>
      <c r="E12" s="31" t="n">
        <f aca="false">(Assumptions!$E$35*E6+Assumptions!$E$36*E7+Assumptions!$E$37*E8)/E9</f>
        <v>1.90293451735955</v>
      </c>
      <c r="F12" s="30" t="s">
        <v>348</v>
      </c>
    </row>
    <row r="14" customFormat="false" ht="15" hidden="false" customHeight="false" outlineLevel="0" collapsed="false">
      <c r="A14" s="7" t="s">
        <v>349</v>
      </c>
      <c r="B14" s="8"/>
      <c r="C14" s="8"/>
      <c r="D14" s="8"/>
      <c r="E14" s="8"/>
      <c r="F14" s="8"/>
    </row>
    <row r="15" customFormat="false" ht="22.35" hidden="false" customHeight="false" outlineLevel="0" collapsed="false">
      <c r="A15" s="23" t="s">
        <v>350</v>
      </c>
      <c r="B15" s="2"/>
      <c r="C15" s="24" t="n">
        <f aca="false">Assumptions!$C$32*1000*Assumptions!$C$55/(1-Assumptions!$C$53)</f>
        <v>592.941176470588</v>
      </c>
      <c r="D15" s="24" t="n">
        <f aca="false">Assumptions!$D$32*1000*Assumptions!$D$55/(1-Assumptions!$D$53)</f>
        <v>1256</v>
      </c>
      <c r="E15" s="24" t="n">
        <f aca="false">Assumptions!$E$32*1000*Assumptions!$E$55/(1-Assumptions!$E$53)</f>
        <v>2228.57142857143</v>
      </c>
      <c r="F15" s="30" t="s">
        <v>351</v>
      </c>
    </row>
    <row r="16" customFormat="false" ht="15" hidden="false" customHeight="false" outlineLevel="0" collapsed="false">
      <c r="A16" s="3" t="s">
        <v>352</v>
      </c>
      <c r="B16" s="2"/>
      <c r="C16" s="31" t="n">
        <f aca="false">C15*Assumptions!$C$56/10000000</f>
        <v>1.77882352941176</v>
      </c>
      <c r="D16" s="31" t="n">
        <f aca="false">D15*Assumptions!$D$56/10000000</f>
        <v>5.652</v>
      </c>
      <c r="E16" s="31" t="n">
        <f aca="false">E15*Assumptions!$E$56/10000000</f>
        <v>13.3714285714286</v>
      </c>
      <c r="F16" s="30" t="s">
        <v>353</v>
      </c>
    </row>
    <row r="17" customFormat="false" ht="15" hidden="false" customHeight="false" outlineLevel="0" collapsed="false">
      <c r="A17" s="23" t="s">
        <v>354</v>
      </c>
      <c r="B17" s="2"/>
      <c r="C17" s="29" t="n">
        <f aca="false">TAM_India!C30</f>
        <v>79.8975</v>
      </c>
      <c r="D17" s="29" t="n">
        <f aca="false">TAM_India!D30</f>
        <v>387.7453125</v>
      </c>
      <c r="E17" s="29" t="n">
        <f aca="false">TAM_India!E30</f>
        <v>1373.4</v>
      </c>
      <c r="F17" s="30" t="s">
        <v>355</v>
      </c>
    </row>
    <row r="18" customFormat="false" ht="15" hidden="false" customHeight="false" outlineLevel="0" collapsed="false">
      <c r="A18" s="3" t="s">
        <v>356</v>
      </c>
      <c r="B18" s="2"/>
      <c r="C18" s="32" t="n">
        <f aca="false">C16/C17</f>
        <v>0.0222638196365564</v>
      </c>
      <c r="D18" s="32" t="n">
        <f aca="false">D16/D17</f>
        <v>0.0145765785369746</v>
      </c>
      <c r="E18" s="32" t="n">
        <f aca="false">E16/E17</f>
        <v>0.00973600449354054</v>
      </c>
      <c r="F18" s="30" t="s">
        <v>357</v>
      </c>
    </row>
    <row r="19" customFormat="false" ht="15" hidden="false" customHeight="false" outlineLevel="0" collapsed="false">
      <c r="A19" s="23" t="s">
        <v>358</v>
      </c>
      <c r="B19" s="2"/>
      <c r="C19" s="33" t="n">
        <f aca="false">Assumptions!$C$32/Assumptions!$C$33</f>
        <v>0.00188388115401177</v>
      </c>
      <c r="D19" s="33" t="n">
        <f aca="false">Assumptions!$D$32/Assumptions!$D$33</f>
        <v>0.00211263815128463</v>
      </c>
      <c r="E19" s="33" t="n">
        <f aca="false">Assumptions!$E$32/Assumptions!$E$33</f>
        <v>0.00233242428591933</v>
      </c>
      <c r="F19" s="30" t="s">
        <v>359</v>
      </c>
    </row>
    <row r="21" customFormat="false" ht="15" hidden="false" customHeight="false" outlineLevel="0" collapsed="false">
      <c r="A21" s="7" t="s">
        <v>360</v>
      </c>
      <c r="B21" s="8"/>
      <c r="C21" s="8"/>
      <c r="D21" s="8"/>
      <c r="E21" s="8"/>
      <c r="F21" s="8"/>
    </row>
    <row r="22" customFormat="false" ht="15" hidden="false" customHeight="false" outlineLevel="0" collapsed="false">
      <c r="A22" s="23" t="s">
        <v>361</v>
      </c>
      <c r="B22" s="2"/>
      <c r="C22" s="24" t="n">
        <f aca="false">TAM_India!C31</f>
        <v>20100</v>
      </c>
      <c r="D22" s="24" t="n">
        <f aca="false">TAM_India!D31</f>
        <v>56812.5</v>
      </c>
      <c r="E22" s="24" t="n">
        <f aca="false">TAM_India!E31</f>
        <v>126000</v>
      </c>
      <c r="F22" s="30" t="s">
        <v>362</v>
      </c>
    </row>
    <row r="23" customFormat="false" ht="15" hidden="false" customHeight="false" outlineLevel="0" collapsed="false">
      <c r="A23" s="23" t="s">
        <v>363</v>
      </c>
      <c r="B23" s="2"/>
      <c r="C23" s="33" t="n">
        <f aca="false">C19</f>
        <v>0.00188388115401177</v>
      </c>
      <c r="D23" s="33" t="n">
        <f aca="false">D19</f>
        <v>0.00211263815128463</v>
      </c>
      <c r="E23" s="33" t="n">
        <f aca="false">E19</f>
        <v>0.00233242428591933</v>
      </c>
      <c r="F23" s="30"/>
    </row>
    <row r="24" customFormat="false" ht="15" hidden="false" customHeight="false" outlineLevel="0" collapsed="false">
      <c r="A24" s="23" t="s">
        <v>364</v>
      </c>
      <c r="B24" s="2"/>
      <c r="C24" s="22" t="n">
        <f aca="false">Assumptions!$C$49</f>
        <v>1.68</v>
      </c>
      <c r="D24" s="22" t="n">
        <f aca="false">Assumptions!$D$49</f>
        <v>1.90293451735955</v>
      </c>
      <c r="E24" s="22" t="n">
        <f aca="false">Assumptions!$E$49</f>
        <v>2.28</v>
      </c>
      <c r="F24" s="30" t="s">
        <v>365</v>
      </c>
    </row>
    <row r="25" customFormat="false" ht="15" hidden="false" customHeight="false" outlineLevel="0" collapsed="false">
      <c r="A25" s="23" t="s">
        <v>366</v>
      </c>
      <c r="B25" s="2"/>
      <c r="C25" s="22" t="n">
        <f aca="false">(Assumptions!$C$51*Assumptions!$C$50+1-Assumptions!$C$51)/(Assumptions!$C$52*Assumptions!$C$50+1-Assumptions!$C$52)</f>
        <v>1.35632183908046</v>
      </c>
      <c r="D25" s="22" t="n">
        <f aca="false">(Assumptions!$D$51*Assumptions!$D$50+1-Assumptions!$D$51)/(Assumptions!$D$52*Assumptions!$D$50+1-Assumptions!$D$52)</f>
        <v>1.59016393442623</v>
      </c>
      <c r="E25" s="22" t="n">
        <f aca="false">(Assumptions!$E$51*Assumptions!$E$50+1-Assumptions!$E$51)/(Assumptions!$E$52*Assumptions!$E$50+1-Assumptions!$E$52)</f>
        <v>1.83188405797101</v>
      </c>
      <c r="F25" s="30" t="s">
        <v>367</v>
      </c>
    </row>
    <row r="26" customFormat="false" ht="15" hidden="false" customHeight="false" outlineLevel="0" collapsed="false">
      <c r="A26" s="23" t="s">
        <v>368</v>
      </c>
      <c r="B26" s="2"/>
      <c r="C26" s="22" t="n">
        <f aca="false">1/(1-Assumptions!$C$53)</f>
        <v>1.17647058823529</v>
      </c>
      <c r="D26" s="22" t="n">
        <f aca="false">1/(1-Assumptions!$D$53)</f>
        <v>1.33333333333333</v>
      </c>
      <c r="E26" s="22" t="n">
        <f aca="false">1/(1-Assumptions!$E$53)</f>
        <v>1.42857142857143</v>
      </c>
      <c r="F26" s="30" t="s">
        <v>369</v>
      </c>
    </row>
    <row r="27" customFormat="false" ht="15" hidden="false" customHeight="false" outlineLevel="0" collapsed="false">
      <c r="A27" s="3" t="s">
        <v>370</v>
      </c>
      <c r="B27" s="2"/>
      <c r="C27" s="32" t="n">
        <f aca="false">C23*C24*C25*C26</f>
        <v>0.00505017714633257</v>
      </c>
      <c r="D27" s="32" t="n">
        <f aca="false">D23*D24*D25*D26</f>
        <v>0.00852372830370947</v>
      </c>
      <c r="E27" s="32" t="n">
        <f aca="false">E23*E24*E25*E26</f>
        <v>0.0139168948200345</v>
      </c>
      <c r="F27" s="30"/>
    </row>
    <row r="28" customFormat="false" ht="15" hidden="false" customHeight="false" outlineLevel="0" collapsed="false">
      <c r="A28" s="3" t="s">
        <v>371</v>
      </c>
      <c r="B28" s="2"/>
      <c r="C28" s="26" t="n">
        <f aca="false">C22*C27</f>
        <v>101.508560641285</v>
      </c>
      <c r="D28" s="26" t="n">
        <f aca="false">D22*D27</f>
        <v>484.254314254494</v>
      </c>
      <c r="E28" s="26" t="n">
        <f aca="false">E22*E27</f>
        <v>1753.52874732434</v>
      </c>
      <c r="F28" s="30"/>
    </row>
    <row r="29" customFormat="false" ht="15" hidden="false" customHeight="false" outlineLevel="0" collapsed="false">
      <c r="A29" s="23" t="s">
        <v>372</v>
      </c>
      <c r="B29" s="2"/>
      <c r="C29" s="22" t="n">
        <f aca="false">C28*Assumptions!$C$56/10000000</f>
        <v>0.304525681923854</v>
      </c>
      <c r="D29" s="22" t="n">
        <f aca="false">D28*Assumptions!$D$56/10000000</f>
        <v>2.17914441414522</v>
      </c>
      <c r="E29" s="22" t="n">
        <f aca="false">E28*Assumptions!$E$56/10000000</f>
        <v>10.5211724839461</v>
      </c>
      <c r="F29" s="30" t="s">
        <v>373</v>
      </c>
    </row>
    <row r="31" customFormat="false" ht="15" hidden="false" customHeight="false" outlineLevel="0" collapsed="false">
      <c r="A31" s="7" t="s">
        <v>374</v>
      </c>
      <c r="B31" s="8"/>
      <c r="C31" s="8"/>
      <c r="D31" s="8"/>
      <c r="E31" s="8"/>
      <c r="F31" s="8"/>
    </row>
    <row r="32" customFormat="false" ht="15" hidden="false" customHeight="false" outlineLevel="0" collapsed="false">
      <c r="A32" s="23" t="s">
        <v>375</v>
      </c>
      <c r="B32" s="2"/>
      <c r="C32" s="24" t="n">
        <f aca="false">C15</f>
        <v>592.941176470588</v>
      </c>
      <c r="D32" s="24" t="n">
        <f aca="false">D15</f>
        <v>1256</v>
      </c>
      <c r="E32" s="24" t="n">
        <f aca="false">E15</f>
        <v>2228.57142857143</v>
      </c>
      <c r="F32" s="30"/>
    </row>
    <row r="33" customFormat="false" ht="15" hidden="false" customHeight="false" outlineLevel="0" collapsed="false">
      <c r="A33" s="23" t="s">
        <v>376</v>
      </c>
      <c r="B33" s="2"/>
      <c r="C33" s="25" t="n">
        <f aca="false">Assumptions!$C$58</f>
        <v>0.6</v>
      </c>
      <c r="D33" s="25" t="n">
        <f aca="false">Assumptions!$D$58</f>
        <v>0.7</v>
      </c>
      <c r="E33" s="25" t="n">
        <f aca="false">Assumptions!$E$58</f>
        <v>0.8</v>
      </c>
      <c r="F33" s="30" t="s">
        <v>377</v>
      </c>
    </row>
    <row r="34" customFormat="false" ht="15" hidden="false" customHeight="false" outlineLevel="0" collapsed="false">
      <c r="A34" s="3" t="s">
        <v>378</v>
      </c>
      <c r="B34" s="2"/>
      <c r="C34" s="26" t="n">
        <f aca="false">C32*C33</f>
        <v>355.764705882353</v>
      </c>
      <c r="D34" s="26" t="n">
        <f aca="false">D32*D33</f>
        <v>879.2</v>
      </c>
      <c r="E34" s="26" t="n">
        <f aca="false">E32*E33</f>
        <v>1782.85714285714</v>
      </c>
      <c r="F34" s="30"/>
    </row>
    <row r="35" customFormat="false" ht="15" hidden="false" customHeight="false" outlineLevel="0" collapsed="false">
      <c r="A35" s="23" t="s">
        <v>379</v>
      </c>
      <c r="B35" s="2"/>
      <c r="C35" s="22" t="n">
        <f aca="false">C34*Assumptions!$C$56/10000000</f>
        <v>1.06729411764706</v>
      </c>
      <c r="D35" s="22" t="n">
        <f aca="false">D34*Assumptions!$D$56/10000000</f>
        <v>3.9564</v>
      </c>
      <c r="E35" s="22" t="n">
        <f aca="false">E34*Assumptions!$E$56/10000000</f>
        <v>10.6971428571429</v>
      </c>
      <c r="F35" s="30"/>
    </row>
    <row r="37" customFormat="false" ht="15" hidden="false" customHeight="false" outlineLevel="0" collapsed="false">
      <c r="A37" s="7" t="s">
        <v>380</v>
      </c>
      <c r="B37" s="8"/>
      <c r="C37" s="8"/>
      <c r="D37" s="8"/>
      <c r="E37" s="8"/>
      <c r="F37" s="8"/>
    </row>
    <row r="38" customFormat="false" ht="15" hidden="false" customHeight="false" outlineLevel="0" collapsed="false">
      <c r="A38" s="23" t="s">
        <v>381</v>
      </c>
      <c r="B38" s="2"/>
      <c r="C38" s="24" t="n">
        <f aca="false">Assumptions!$C$59*Assumptions!$C$60</f>
        <v>210</v>
      </c>
      <c r="D38" s="24" t="n">
        <f aca="false">Assumptions!$D$59*Assumptions!$D$60</f>
        <v>315</v>
      </c>
      <c r="E38" s="24" t="n">
        <f aca="false">Assumptions!$E$59*Assumptions!$E$60</f>
        <v>420</v>
      </c>
      <c r="F38" s="30" t="s">
        <v>382</v>
      </c>
    </row>
    <row r="39" customFormat="false" ht="15" hidden="false" customHeight="false" outlineLevel="0" collapsed="false">
      <c r="A39" s="23" t="s">
        <v>383</v>
      </c>
      <c r="B39" s="2"/>
      <c r="C39" s="24" t="n">
        <f aca="false">Assumptions!$C$61*Assumptions!$C$62</f>
        <v>125</v>
      </c>
      <c r="D39" s="24" t="n">
        <f aca="false">Assumptions!$D$61*Assumptions!$D$62</f>
        <v>200</v>
      </c>
      <c r="E39" s="24" t="n">
        <f aca="false">Assumptions!$E$61*Assumptions!$E$62</f>
        <v>300</v>
      </c>
      <c r="F39" s="30" t="s">
        <v>384</v>
      </c>
    </row>
    <row r="40" customFormat="false" ht="15" hidden="false" customHeight="false" outlineLevel="0" collapsed="false">
      <c r="A40" s="23" t="s">
        <v>385</v>
      </c>
      <c r="B40" s="2"/>
      <c r="C40" s="24" t="n">
        <f aca="false">Assumptions!$C$63*Assumptions!$C$64</f>
        <v>120</v>
      </c>
      <c r="D40" s="24" t="n">
        <f aca="false">Assumptions!$D$63*Assumptions!$D$64</f>
        <v>200</v>
      </c>
      <c r="E40" s="24" t="n">
        <f aca="false">Assumptions!$E$63*Assumptions!$E$64</f>
        <v>320</v>
      </c>
      <c r="F40" s="30" t="s">
        <v>386</v>
      </c>
    </row>
    <row r="41" customFormat="false" ht="15" hidden="false" customHeight="false" outlineLevel="0" collapsed="false">
      <c r="A41" s="23" t="s">
        <v>387</v>
      </c>
      <c r="B41" s="2"/>
      <c r="C41" s="24" t="n">
        <f aca="false">Assumptions!$C$65*Assumptions!$C$66</f>
        <v>66.6</v>
      </c>
      <c r="D41" s="24" t="n">
        <f aca="false">Assumptions!$D$65*Assumptions!$D$66</f>
        <v>99.9</v>
      </c>
      <c r="E41" s="24" t="n">
        <f aca="false">Assumptions!$E$65*Assumptions!$E$66</f>
        <v>133.2</v>
      </c>
      <c r="F41" s="30" t="s">
        <v>388</v>
      </c>
    </row>
    <row r="42" customFormat="false" ht="15" hidden="false" customHeight="false" outlineLevel="0" collapsed="false">
      <c r="A42" s="3" t="s">
        <v>389</v>
      </c>
      <c r="B42" s="2"/>
      <c r="C42" s="26" t="n">
        <f aca="false">SUM(C38:C41)</f>
        <v>521.6</v>
      </c>
      <c r="D42" s="26" t="n">
        <f aca="false">SUM(D38:D41)</f>
        <v>814.9</v>
      </c>
      <c r="E42" s="26" t="n">
        <f aca="false">SUM(E38:E41)</f>
        <v>1173.2</v>
      </c>
      <c r="F42" s="30"/>
    </row>
    <row r="43" customFormat="false" ht="15" hidden="false" customHeight="false" outlineLevel="0" collapsed="false">
      <c r="A43" s="23" t="s">
        <v>390</v>
      </c>
      <c r="B43" s="2"/>
      <c r="C43" s="22" t="n">
        <f aca="false">C42*Assumptions!$C$56/10000000</f>
        <v>1.5648</v>
      </c>
      <c r="D43" s="22" t="n">
        <f aca="false">D42*Assumptions!$D$56/10000000</f>
        <v>3.66705</v>
      </c>
      <c r="E43" s="22" t="n">
        <f aca="false">E42*Assumptions!$E$56/10000000</f>
        <v>7.0392</v>
      </c>
      <c r="F43" s="30"/>
    </row>
    <row r="45" customFormat="false" ht="15" hidden="false" customHeight="false" outlineLevel="0" collapsed="false">
      <c r="A45" s="7" t="s">
        <v>391</v>
      </c>
      <c r="B45" s="8"/>
      <c r="C45" s="8"/>
      <c r="D45" s="8"/>
      <c r="E45" s="8"/>
      <c r="F45" s="8"/>
    </row>
    <row r="46" customFormat="false" ht="22.35" hidden="false" customHeight="false" outlineLevel="0" collapsed="false">
      <c r="A46" s="3" t="s">
        <v>392</v>
      </c>
      <c r="B46" s="2"/>
      <c r="C46" s="26" t="n">
        <f aca="false">MIN($D$28,$D$34,$D$42)</f>
        <v>484.254314254494</v>
      </c>
      <c r="D46" s="26" t="n">
        <f aca="false">AVERAGE($D$28,$D$34,$D$42)</f>
        <v>726.118104751498</v>
      </c>
      <c r="E46" s="26" t="n">
        <f aca="false">MAX($D$28,$D$34,$D$42)</f>
        <v>879.2</v>
      </c>
      <c r="F46" s="30" t="s">
        <v>393</v>
      </c>
    </row>
    <row r="47" customFormat="false" ht="15" hidden="false" customHeight="false" outlineLevel="0" collapsed="false">
      <c r="A47" s="3" t="s">
        <v>394</v>
      </c>
      <c r="B47" s="2"/>
      <c r="C47" s="31" t="n">
        <f aca="false">C46*Assumptions!$C$56/10000000</f>
        <v>1.45276294276348</v>
      </c>
      <c r="D47" s="31" t="n">
        <f aca="false">D46*Assumptions!$D$56/10000000</f>
        <v>3.26753147138174</v>
      </c>
      <c r="E47" s="31" t="n">
        <f aca="false">E46*Assumptions!$E$56/10000000</f>
        <v>5.2752</v>
      </c>
      <c r="F47" s="30" t="s">
        <v>395</v>
      </c>
    </row>
    <row r="48" customFormat="false" ht="15" hidden="false" customHeight="false" outlineLevel="0" collapsed="false">
      <c r="A48" s="23" t="s">
        <v>396</v>
      </c>
      <c r="B48" s="2"/>
      <c r="C48" s="24" t="n">
        <f aca="false">C46*Assumptions!$C$53</f>
        <v>72.6381471381741</v>
      </c>
      <c r="D48" s="24" t="n">
        <f aca="false">D46*Assumptions!$D$53</f>
        <v>181.529526187875</v>
      </c>
      <c r="E48" s="24" t="n">
        <f aca="false">E46*Assumptions!$E$53</f>
        <v>263.76</v>
      </c>
      <c r="F48" s="30"/>
    </row>
    <row r="49" customFormat="false" ht="15" hidden="false" customHeight="false" outlineLevel="0" collapsed="false">
      <c r="A49" s="3" t="s">
        <v>397</v>
      </c>
      <c r="B49" s="2"/>
      <c r="C49" s="32" t="n">
        <f aca="false">C47/$D$17</f>
        <v>0.00374669375987229</v>
      </c>
      <c r="D49" s="32" t="n">
        <f aca="false">D47/$D$17</f>
        <v>0.0084270044434947</v>
      </c>
      <c r="E49" s="32" t="n">
        <f aca="false">E47/$D$17</f>
        <v>0.0136048066345096</v>
      </c>
      <c r="F49" s="30" t="s">
        <v>398</v>
      </c>
    </row>
    <row r="50" customFormat="false" ht="15" hidden="false" customHeight="false" outlineLevel="0" collapsed="false">
      <c r="A50" s="23" t="s">
        <v>399</v>
      </c>
      <c r="B50" s="2"/>
      <c r="C50" s="24" t="n">
        <f aca="false">MIN($C$28,$C$34,$C$42)</f>
        <v>101.508560641285</v>
      </c>
      <c r="D50" s="24" t="n">
        <f aca="false">$D$46</f>
        <v>726.118104751498</v>
      </c>
      <c r="E50" s="24" t="n">
        <f aca="false">MAX($E$28,$E$34,$E$42)</f>
        <v>1782.85714285714</v>
      </c>
      <c r="F50" s="30" t="s">
        <v>400</v>
      </c>
    </row>
    <row r="52" customFormat="false" ht="15" hidden="false" customHeight="false" outlineLevel="0" collapsed="false">
      <c r="A52" s="7" t="s">
        <v>401</v>
      </c>
      <c r="B52" s="8"/>
      <c r="C52" s="8"/>
      <c r="D52" s="8"/>
      <c r="E52" s="8"/>
      <c r="F52" s="8"/>
    </row>
    <row r="53" customFormat="false" ht="15" hidden="false" customHeight="false" outlineLevel="0" collapsed="false">
      <c r="A53" s="23" t="s">
        <v>402</v>
      </c>
      <c r="B53" s="2"/>
      <c r="C53" s="22" t="n">
        <f aca="false">C15/Assumptions!$C$32</f>
        <v>1.41176470588235</v>
      </c>
      <c r="D53" s="22" t="n">
        <f aca="false">D15/Assumptions!$D$32</f>
        <v>2.66666666666667</v>
      </c>
      <c r="E53" s="22" t="n">
        <f aca="false">E15/Assumptions!$E$32</f>
        <v>4.28571428571429</v>
      </c>
      <c r="F53" s="30"/>
    </row>
    <row r="54" customFormat="false" ht="15" hidden="false" customHeight="false" outlineLevel="0" collapsed="false">
      <c r="A54" s="23" t="s">
        <v>403</v>
      </c>
      <c r="B54" s="2"/>
      <c r="C54" s="22" t="n">
        <f aca="false">TAM_India!C32</f>
        <v>0.0901571695134204</v>
      </c>
      <c r="D54" s="22" t="n">
        <f aca="false">TAM_India!D32</f>
        <v>0.254828566814985</v>
      </c>
      <c r="E54" s="22" t="n">
        <f aca="false">TAM_India!E32</f>
        <v>0.565164346203531</v>
      </c>
      <c r="F54" s="30"/>
    </row>
    <row r="55" customFormat="false" ht="15" hidden="false" customHeight="false" outlineLevel="0" collapsed="false">
      <c r="A55" s="3" t="s">
        <v>404</v>
      </c>
      <c r="B55" s="2"/>
      <c r="C55" s="34" t="n">
        <f aca="false">C53/C54</f>
        <v>15.6589288849868</v>
      </c>
      <c r="D55" s="34" t="n">
        <f aca="false">D53/D54</f>
        <v>10.4645515218188</v>
      </c>
      <c r="E55" s="34" t="n">
        <f aca="false">E53/E54</f>
        <v>7.58312925170068</v>
      </c>
      <c r="F55" s="30"/>
    </row>
    <row r="56" customFormat="false" ht="15" hidden="false" customHeight="false" outlineLevel="0" collapsed="false">
      <c r="A56" s="23" t="s">
        <v>405</v>
      </c>
      <c r="B56" s="2"/>
      <c r="C56" s="35" t="n">
        <f aca="false">1/C33</f>
        <v>1.66666666666667</v>
      </c>
      <c r="D56" s="35" t="n">
        <f aca="false">1/D33</f>
        <v>1.42857142857143</v>
      </c>
      <c r="E56" s="35" t="n">
        <f aca="false">1/E33</f>
        <v>1.25</v>
      </c>
      <c r="F56" s="30"/>
    </row>
    <row r="57" customFormat="false" ht="15" hidden="false" customHeight="false" outlineLevel="0" collapsed="false">
      <c r="A57" s="23" t="s">
        <v>406</v>
      </c>
      <c r="B57" s="2"/>
      <c r="C57" s="35" t="n">
        <f aca="false">C26</f>
        <v>1.17647058823529</v>
      </c>
      <c r="D57" s="35" t="n">
        <f aca="false">D26</f>
        <v>1.33333333333333</v>
      </c>
      <c r="E57" s="35" t="n">
        <f aca="false">E26</f>
        <v>1.42857142857143</v>
      </c>
      <c r="F57" s="30"/>
    </row>
    <row r="58" customFormat="false" ht="15" hidden="false" customHeight="false" outlineLevel="0" collapsed="false">
      <c r="A58" s="23" t="s">
        <v>407</v>
      </c>
      <c r="B58" s="2"/>
      <c r="C58" s="35" t="n">
        <f aca="false">C24</f>
        <v>1.68</v>
      </c>
      <c r="D58" s="35" t="n">
        <f aca="false">D24</f>
        <v>1.90293451735955</v>
      </c>
      <c r="E58" s="35" t="n">
        <f aca="false">E24</f>
        <v>2.28</v>
      </c>
      <c r="F58" s="30"/>
    </row>
    <row r="59" customFormat="false" ht="15" hidden="false" customHeight="false" outlineLevel="0" collapsed="false">
      <c r="A59" s="23" t="s">
        <v>408</v>
      </c>
      <c r="B59" s="2"/>
      <c r="C59" s="35" t="n">
        <f aca="false">C25</f>
        <v>1.35632183908046</v>
      </c>
      <c r="D59" s="35" t="n">
        <f aca="false">D25</f>
        <v>1.59016393442623</v>
      </c>
      <c r="E59" s="35" t="n">
        <f aca="false">E25</f>
        <v>1.83188405797101</v>
      </c>
      <c r="F59" s="30"/>
    </row>
    <row r="60" customFormat="false" ht="15" hidden="false" customHeight="false" outlineLevel="0" collapsed="false">
      <c r="A60" s="3" t="s">
        <v>409</v>
      </c>
      <c r="B60" s="2"/>
      <c r="C60" s="34" t="n">
        <f aca="false">C56*C57*C58*C59</f>
        <v>4.46788370520622</v>
      </c>
      <c r="D60" s="34" t="n">
        <f aca="false">D56*D57*D58*D59</f>
        <v>5.76376731253322</v>
      </c>
      <c r="E60" s="34" t="n">
        <f aca="false">E56*E57*E58*E59</f>
        <v>7.4583850931677</v>
      </c>
      <c r="F60" s="30"/>
    </row>
    <row r="61" customFormat="false" ht="22.35" hidden="false" customHeight="false" outlineLevel="0" collapsed="false">
      <c r="A61" s="3" t="s">
        <v>410</v>
      </c>
      <c r="B61" s="2"/>
      <c r="C61" s="34" t="n">
        <f aca="false">C55/C60</f>
        <v>3.50477539662462</v>
      </c>
      <c r="D61" s="34" t="n">
        <f aca="false">D55/D60</f>
        <v>1.81557494506481</v>
      </c>
      <c r="E61" s="34" t="n">
        <f aca="false">E55/E60</f>
        <v>1.01672535769804</v>
      </c>
      <c r="F61" s="30" t="s">
        <v>411</v>
      </c>
    </row>
    <row r="62" customFormat="false" ht="15" hidden="false" customHeight="false" outlineLevel="0" collapsed="false">
      <c r="A62" s="23" t="s">
        <v>412</v>
      </c>
      <c r="B62" s="2"/>
      <c r="C62" s="35" t="n">
        <f aca="false">$D$46/$D$28</f>
        <v>1.49945613983708</v>
      </c>
      <c r="D62" s="35" t="n">
        <f aca="false">$D$46/$D$28</f>
        <v>1.49945613983708</v>
      </c>
      <c r="E62" s="35" t="n">
        <f aca="false">$D$46/$D$28</f>
        <v>1.49945613983708</v>
      </c>
      <c r="F62" s="30" t="s">
        <v>413</v>
      </c>
    </row>
    <row r="64" customFormat="false" ht="15" hidden="false" customHeight="false" outlineLevel="0" collapsed="false">
      <c r="A64" s="7" t="s">
        <v>414</v>
      </c>
      <c r="B64" s="8"/>
      <c r="C64" s="8"/>
      <c r="D64" s="8"/>
      <c r="E64" s="8"/>
      <c r="F64" s="8"/>
    </row>
    <row r="65" customFormat="false" ht="30" hidden="false" customHeight="true" outlineLevel="0" collapsed="false">
      <c r="A65" s="36" t="s">
        <v>415</v>
      </c>
      <c r="B65" s="36"/>
      <c r="C65" s="36"/>
      <c r="D65" s="36"/>
      <c r="E65" s="36"/>
      <c r="F65" s="36"/>
    </row>
    <row r="66" customFormat="false" ht="30" hidden="false" customHeight="true" outlineLevel="0" collapsed="false">
      <c r="A66" s="36" t="s">
        <v>416</v>
      </c>
      <c r="B66" s="36"/>
      <c r="C66" s="36"/>
      <c r="D66" s="36"/>
      <c r="E66" s="36"/>
      <c r="F66" s="36"/>
    </row>
    <row r="67" customFormat="false" ht="30" hidden="false" customHeight="true" outlineLevel="0" collapsed="false">
      <c r="A67" s="36" t="s">
        <v>417</v>
      </c>
      <c r="B67" s="36"/>
      <c r="C67" s="36"/>
      <c r="D67" s="36"/>
      <c r="E67" s="36"/>
      <c r="F67" s="36"/>
    </row>
    <row r="68" customFormat="false" ht="30" hidden="false" customHeight="true" outlineLevel="0" collapsed="false">
      <c r="A68" s="36" t="s">
        <v>418</v>
      </c>
      <c r="B68" s="36"/>
      <c r="C68" s="36"/>
      <c r="D68" s="36"/>
      <c r="E68" s="36"/>
      <c r="F68" s="36"/>
    </row>
    <row r="69" customFormat="false" ht="30" hidden="false" customHeight="true" outlineLevel="0" collapsed="false">
      <c r="A69" s="36" t="s">
        <v>419</v>
      </c>
      <c r="B69" s="36"/>
      <c r="C69" s="36"/>
      <c r="D69" s="36"/>
      <c r="E69" s="36"/>
      <c r="F69" s="36"/>
    </row>
    <row r="70" customFormat="false" ht="30" hidden="false" customHeight="true" outlineLevel="0" collapsed="false">
      <c r="A70" s="36" t="s">
        <v>420</v>
      </c>
      <c r="B70" s="36"/>
      <c r="C70" s="36"/>
      <c r="D70" s="36"/>
      <c r="E70" s="36"/>
      <c r="F70" s="36"/>
    </row>
  </sheetData>
  <mergeCells count="6">
    <mergeCell ref="A65:F65"/>
    <mergeCell ref="A66:F66"/>
    <mergeCell ref="A67:F67"/>
    <mergeCell ref="A68:F68"/>
    <mergeCell ref="A69:F69"/>
    <mergeCell ref="A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64"/>
  </cols>
  <sheetData>
    <row r="1" customFormat="false" ht="17.35" hidden="false" customHeight="false" outlineLevel="0" collapsed="false">
      <c r="A1" s="1" t="s">
        <v>421</v>
      </c>
    </row>
    <row r="2" customFormat="false" ht="15" hidden="false" customHeight="false" outlineLevel="0" collapsed="false">
      <c r="A2" s="2" t="s">
        <v>422</v>
      </c>
    </row>
    <row r="4" customFormat="false" ht="15" hidden="false" customHeight="false" outlineLevel="0" collapsed="false">
      <c r="A4" s="6" t="s">
        <v>335</v>
      </c>
      <c r="B4" s="6" t="s">
        <v>276</v>
      </c>
      <c r="C4" s="6" t="s">
        <v>24</v>
      </c>
      <c r="D4" s="6" t="s">
        <v>21</v>
      </c>
      <c r="E4" s="6" t="s">
        <v>25</v>
      </c>
      <c r="F4" s="6" t="s">
        <v>336</v>
      </c>
    </row>
    <row r="5" customFormat="false" ht="15" hidden="false" customHeight="false" outlineLevel="0" collapsed="false">
      <c r="A5" s="7" t="s">
        <v>423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23" t="s">
        <v>424</v>
      </c>
      <c r="C6" s="24" t="n">
        <f aca="false">(Assumptions!$C$38*Assumptions!$C$44+Assumptions!$C$39*Assumptions!$C$45+Assumptions!$C$40*Assumptions!$C$46+Assumptions!$C$41*Assumptions!$C$47)/Assumptions!$C$42</f>
        <v>16022.4937759336</v>
      </c>
      <c r="D6" s="24" t="n">
        <f aca="false">(Assumptions!$D$38*Assumptions!$D$44+Assumptions!$D$39*Assumptions!$D$45+Assumptions!$D$40*Assumptions!$D$46+Assumptions!$D$41*Assumptions!$D$47)/Assumptions!$D$42</f>
        <v>16022.4937759336</v>
      </c>
      <c r="E6" s="24" t="n">
        <f aca="false">(Assumptions!$E$38*Assumptions!$E$44+Assumptions!$E$39*Assumptions!$E$45+Assumptions!$E$40*Assumptions!$E$46+Assumptions!$E$41*Assumptions!$E$47)/Assumptions!$E$42</f>
        <v>16022.4937759336</v>
      </c>
      <c r="F6" s="2"/>
    </row>
    <row r="7" customFormat="false" ht="15" hidden="false" customHeight="false" outlineLevel="0" collapsed="false">
      <c r="A7" s="23" t="s">
        <v>425</v>
      </c>
      <c r="C7" s="24" t="n">
        <f aca="false">Assumptions!$C$38+Assumptions!$C$39+Assumptions!$C$40+Assumptions!$C$41</f>
        <v>12376</v>
      </c>
      <c r="D7" s="24" t="n">
        <f aca="false">Assumptions!$D$38+Assumptions!$D$39+Assumptions!$D$40+Assumptions!$D$41</f>
        <v>12376</v>
      </c>
      <c r="E7" s="24" t="n">
        <f aca="false">Assumptions!$E$38+Assumptions!$E$39+Assumptions!$E$40+Assumptions!$E$41</f>
        <v>12376</v>
      </c>
      <c r="F7" s="2" t="s">
        <v>426</v>
      </c>
    </row>
    <row r="8" customFormat="false" ht="15" hidden="false" customHeight="false" outlineLevel="0" collapsed="false">
      <c r="A8" s="23" t="s">
        <v>346</v>
      </c>
      <c r="C8" s="10" t="n">
        <f aca="false">0</f>
        <v>0</v>
      </c>
      <c r="D8" s="10" t="n">
        <f aca="false">0</f>
        <v>0</v>
      </c>
      <c r="E8" s="10" t="n">
        <f aca="false">0</f>
        <v>0</v>
      </c>
      <c r="F8" s="2"/>
    </row>
    <row r="9" customFormat="false" ht="15" hidden="false" customHeight="false" outlineLevel="0" collapsed="false">
      <c r="A9" s="3" t="s">
        <v>427</v>
      </c>
      <c r="C9" s="31" t="n">
        <f aca="false">C6/C7</f>
        <v>1.29464235422864</v>
      </c>
      <c r="D9" s="31" t="n">
        <f aca="false">D6/D7</f>
        <v>1.29464235422864</v>
      </c>
      <c r="E9" s="31" t="n">
        <f aca="false">E6/E7</f>
        <v>1.29464235422864</v>
      </c>
      <c r="F9" s="2" t="s">
        <v>428</v>
      </c>
    </row>
    <row r="11" customFormat="false" ht="15" hidden="false" customHeight="false" outlineLevel="0" collapsed="false">
      <c r="A11" s="7" t="s">
        <v>429</v>
      </c>
      <c r="B11" s="8"/>
      <c r="C11" s="8"/>
      <c r="D11" s="8"/>
      <c r="E11" s="8"/>
      <c r="F11" s="8"/>
    </row>
    <row r="12" customFormat="false" ht="15" hidden="false" customHeight="false" outlineLevel="0" collapsed="false">
      <c r="A12" s="23" t="s">
        <v>430</v>
      </c>
      <c r="C12" s="24" t="n">
        <f aca="false">Tricity_Recon!C46</f>
        <v>484.254314254494</v>
      </c>
      <c r="D12" s="24" t="n">
        <f aca="false">Tricity_Recon!D46</f>
        <v>726.118104751498</v>
      </c>
      <c r="E12" s="24" t="n">
        <f aca="false">Tricity_Recon!E46</f>
        <v>879.2</v>
      </c>
      <c r="F12" s="2"/>
    </row>
    <row r="13" customFormat="false" ht="15" hidden="false" customHeight="false" outlineLevel="0" collapsed="false">
      <c r="A13" s="3" t="s">
        <v>431</v>
      </c>
      <c r="C13" s="31" t="n">
        <f aca="false">Tricity_Recon!C47</f>
        <v>1.45276294276348</v>
      </c>
      <c r="D13" s="31" t="n">
        <f aca="false">Tricity_Recon!D47</f>
        <v>3.26753147138174</v>
      </c>
      <c r="E13" s="31" t="n">
        <f aca="false">Tricity_Recon!E47</f>
        <v>5.2752</v>
      </c>
      <c r="F13" s="2"/>
    </row>
    <row r="15" customFormat="false" ht="15" hidden="false" customHeight="false" outlineLevel="0" collapsed="false">
      <c r="A15" s="7" t="s">
        <v>432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23" t="s">
        <v>433</v>
      </c>
      <c r="C16" s="24" t="n">
        <f aca="false">TAM_India!C31*Assumptions!$C$34/Assumptions!$C$33*Assumptions!$C$54</f>
        <v>1227.3636428879</v>
      </c>
      <c r="D16" s="24" t="n">
        <f aca="false">TAM_India!D31*Assumptions!$D$34/Assumptions!$D$33*Assumptions!$D$54</f>
        <v>4082.98912572318</v>
      </c>
      <c r="E16" s="24" t="n">
        <f aca="false">TAM_India!E31*Assumptions!$E$34/Assumptions!$E$33*Assumptions!$E$54</f>
        <v>10141.9872254916</v>
      </c>
      <c r="F16" s="2" t="s">
        <v>434</v>
      </c>
    </row>
    <row r="17" customFormat="false" ht="15" hidden="false" customHeight="false" outlineLevel="0" collapsed="false">
      <c r="A17" s="23" t="s">
        <v>435</v>
      </c>
      <c r="C17" s="25" t="n">
        <f aca="false">Assumptions!$C$68</f>
        <v>0.1</v>
      </c>
      <c r="D17" s="25" t="n">
        <f aca="false">Assumptions!$D$68</f>
        <v>0.15</v>
      </c>
      <c r="E17" s="25" t="n">
        <f aca="false">Assumptions!$E$68</f>
        <v>0.2</v>
      </c>
      <c r="F17" s="2"/>
    </row>
    <row r="18" customFormat="false" ht="15" hidden="false" customHeight="false" outlineLevel="0" collapsed="false">
      <c r="A18" s="23" t="s">
        <v>436</v>
      </c>
      <c r="C18" s="24" t="n">
        <f aca="false">C16*C17</f>
        <v>122.73636428879</v>
      </c>
      <c r="D18" s="24" t="n">
        <f aca="false">D16*D17</f>
        <v>612.448368858477</v>
      </c>
      <c r="E18" s="24" t="n">
        <f aca="false">E16*E17</f>
        <v>2028.39744509832</v>
      </c>
      <c r="F18" s="2"/>
    </row>
    <row r="19" customFormat="false" ht="15" hidden="false" customHeight="false" outlineLevel="0" collapsed="false">
      <c r="A19" s="23" t="s">
        <v>437</v>
      </c>
      <c r="C19" s="24" t="n">
        <f aca="false">Tricity_Recon!C48</f>
        <v>72.6381471381741</v>
      </c>
      <c r="D19" s="24" t="n">
        <f aca="false">Tricity_Recon!D48</f>
        <v>181.529526187875</v>
      </c>
      <c r="E19" s="24" t="n">
        <f aca="false">Tricity_Recon!E48</f>
        <v>263.76</v>
      </c>
      <c r="F19" s="2" t="s">
        <v>438</v>
      </c>
    </row>
    <row r="20" customFormat="false" ht="15" hidden="false" customHeight="false" outlineLevel="0" collapsed="false">
      <c r="A20" s="23" t="s">
        <v>439</v>
      </c>
      <c r="C20" s="24" t="n">
        <f aca="false">MAX(0,C18-C19)</f>
        <v>50.0982171506159</v>
      </c>
      <c r="D20" s="24" t="n">
        <f aca="false">MAX(0,D18-D19)</f>
        <v>430.918842670602</v>
      </c>
      <c r="E20" s="24" t="n">
        <f aca="false">MAX(0,E18-E19)</f>
        <v>1764.63744509832</v>
      </c>
      <c r="F20" s="2"/>
    </row>
    <row r="21" customFormat="false" ht="15" hidden="false" customHeight="false" outlineLevel="0" collapsed="false">
      <c r="A21" s="3" t="s">
        <v>440</v>
      </c>
      <c r="C21" s="31" t="n">
        <f aca="false">C20*Assumptions!$C$56/10000000</f>
        <v>0.150294651451848</v>
      </c>
      <c r="D21" s="31" t="n">
        <f aca="false">D20*Assumptions!$D$56/10000000</f>
        <v>1.93913479201771</v>
      </c>
      <c r="E21" s="31" t="n">
        <f aca="false">E20*Assumptions!$E$56/10000000</f>
        <v>10.5878246705899</v>
      </c>
      <c r="F21" s="2" t="s">
        <v>441</v>
      </c>
    </row>
    <row r="23" customFormat="false" ht="15" hidden="false" customHeight="false" outlineLevel="0" collapsed="false">
      <c r="A23" s="7" t="s">
        <v>442</v>
      </c>
      <c r="B23" s="8"/>
      <c r="C23" s="8"/>
      <c r="D23" s="8"/>
      <c r="E23" s="8"/>
      <c r="F23" s="8"/>
    </row>
    <row r="24" customFormat="false" ht="15" hidden="false" customHeight="false" outlineLevel="0" collapsed="false">
      <c r="A24" s="23" t="s">
        <v>443</v>
      </c>
      <c r="C24" s="24" t="n">
        <f aca="false">C16-C18</f>
        <v>1104.62727859911</v>
      </c>
      <c r="D24" s="24" t="n">
        <f aca="false">D16-D18</f>
        <v>3470.5407568647</v>
      </c>
      <c r="E24" s="24" t="n">
        <f aca="false">E16-E18</f>
        <v>8113.58978039328</v>
      </c>
      <c r="F24" s="2"/>
    </row>
    <row r="25" customFormat="false" ht="15" hidden="false" customHeight="false" outlineLevel="0" collapsed="false">
      <c r="A25" s="23" t="s">
        <v>444</v>
      </c>
      <c r="C25" s="25" t="n">
        <f aca="false">Assumptions!$C$69</f>
        <v>0.05</v>
      </c>
      <c r="D25" s="25" t="n">
        <f aca="false">Assumptions!$D$69</f>
        <v>0.08</v>
      </c>
      <c r="E25" s="25" t="n">
        <f aca="false">Assumptions!$E$69</f>
        <v>0.12</v>
      </c>
      <c r="F25" s="2"/>
    </row>
    <row r="26" customFormat="false" ht="15" hidden="false" customHeight="false" outlineLevel="0" collapsed="false">
      <c r="A26" s="23" t="s">
        <v>445</v>
      </c>
      <c r="C26" s="24" t="n">
        <f aca="false">C24*C25</f>
        <v>55.2313639299555</v>
      </c>
      <c r="D26" s="24" t="n">
        <f aca="false">D24*D25</f>
        <v>277.643260549176</v>
      </c>
      <c r="E26" s="24" t="n">
        <f aca="false">E24*E25</f>
        <v>973.630773647194</v>
      </c>
      <c r="F26" s="2"/>
    </row>
    <row r="27" customFormat="false" ht="15" hidden="false" customHeight="false" outlineLevel="0" collapsed="false">
      <c r="A27" s="3" t="s">
        <v>446</v>
      </c>
      <c r="C27" s="31" t="n">
        <f aca="false">C26*Assumptions!$C$70/10000000</f>
        <v>0.220925455719822</v>
      </c>
      <c r="D27" s="31" t="n">
        <f aca="false">D26*Assumptions!$D$70/10000000</f>
        <v>1.38821630274588</v>
      </c>
      <c r="E27" s="31" t="n">
        <f aca="false">E26*Assumptions!$E$70/10000000</f>
        <v>5.84178464188316</v>
      </c>
      <c r="F27" s="2" t="s">
        <v>447</v>
      </c>
    </row>
    <row r="29" customFormat="false" ht="15" hidden="false" customHeight="false" outlineLevel="0" collapsed="false">
      <c r="A29" s="7" t="s">
        <v>448</v>
      </c>
      <c r="B29" s="8"/>
      <c r="C29" s="8"/>
      <c r="D29" s="8"/>
      <c r="E29" s="8"/>
      <c r="F29" s="8"/>
    </row>
    <row r="30" customFormat="false" ht="15" hidden="false" customHeight="false" outlineLevel="0" collapsed="false">
      <c r="A30" s="23" t="s">
        <v>449</v>
      </c>
      <c r="C30" s="24" t="n">
        <f aca="false">Assumptions!$C$71+Assumptions!$C$72</f>
        <v>2800</v>
      </c>
      <c r="D30" s="24" t="n">
        <f aca="false">Assumptions!$D$71+Assumptions!$D$72</f>
        <v>4000</v>
      </c>
      <c r="E30" s="24" t="n">
        <f aca="false">Assumptions!$E$71+Assumptions!$E$72</f>
        <v>5300</v>
      </c>
      <c r="F30" s="2" t="s">
        <v>450</v>
      </c>
    </row>
    <row r="31" customFormat="false" ht="15" hidden="false" customHeight="false" outlineLevel="0" collapsed="false">
      <c r="A31" s="23" t="s">
        <v>451</v>
      </c>
      <c r="C31" s="24" t="n">
        <f aca="false">C30*Assumptions!$C$73</f>
        <v>560</v>
      </c>
      <c r="D31" s="24" t="n">
        <f aca="false">D30*Assumptions!$D$73</f>
        <v>1200</v>
      </c>
      <c r="E31" s="24" t="n">
        <f aca="false">E30*Assumptions!$E$73</f>
        <v>2120</v>
      </c>
      <c r="F31" s="2"/>
    </row>
    <row r="32" customFormat="false" ht="15" hidden="false" customHeight="false" outlineLevel="0" collapsed="false">
      <c r="A32" s="3" t="s">
        <v>452</v>
      </c>
      <c r="C32" s="31" t="n">
        <f aca="false">C31*Assumptions!$C$74/10000000</f>
        <v>0.448</v>
      </c>
      <c r="D32" s="31" t="n">
        <f aca="false">D31*Assumptions!$D$74/10000000</f>
        <v>1.2</v>
      </c>
      <c r="E32" s="31" t="n">
        <f aca="false">E31*Assumptions!$E$74/10000000</f>
        <v>2.544</v>
      </c>
      <c r="F32" s="2" t="s">
        <v>453</v>
      </c>
    </row>
    <row r="34" customFormat="false" ht="15" hidden="false" customHeight="false" outlineLevel="0" collapsed="false">
      <c r="A34" s="7" t="s">
        <v>454</v>
      </c>
      <c r="B34" s="8"/>
      <c r="C34" s="8"/>
      <c r="D34" s="8"/>
      <c r="E34" s="8"/>
      <c r="F34" s="8"/>
    </row>
    <row r="35" customFormat="false" ht="15" hidden="false" customHeight="false" outlineLevel="0" collapsed="false">
      <c r="A35" s="3" t="s">
        <v>455</v>
      </c>
      <c r="C35" s="31" t="n">
        <f aca="false">TAM_India!C33*Assumptions!$C$75</f>
        <v>0.75</v>
      </c>
      <c r="D35" s="31" t="n">
        <f aca="false">TAM_India!D33*Assumptions!$D$75</f>
        <v>7.875</v>
      </c>
      <c r="E35" s="31" t="n">
        <f aca="false">TAM_India!E33*Assumptions!$E$75</f>
        <v>54</v>
      </c>
      <c r="F35" s="2" t="s">
        <v>456</v>
      </c>
    </row>
    <row r="37" customFormat="false" ht="15" hidden="false" customHeight="false" outlineLevel="0" collapsed="false">
      <c r="A37" s="7" t="s">
        <v>457</v>
      </c>
      <c r="B37" s="8"/>
      <c r="C37" s="8"/>
      <c r="D37" s="8"/>
      <c r="E37" s="8"/>
      <c r="F37" s="8"/>
    </row>
    <row r="38" customFormat="false" ht="15" hidden="false" customHeight="false" outlineLevel="0" collapsed="false">
      <c r="A38" s="3" t="s">
        <v>458</v>
      </c>
      <c r="C38" s="31" t="n">
        <f aca="false">C13+C21+C27+C32</f>
        <v>2.27198304993515</v>
      </c>
      <c r="D38" s="31" t="n">
        <f aca="false">D13+D21+D27+D32</f>
        <v>7.79488256614533</v>
      </c>
      <c r="E38" s="31" t="n">
        <f aca="false">E13+E21+E27+E32</f>
        <v>24.2488093124731</v>
      </c>
      <c r="F38" s="2" t="s">
        <v>459</v>
      </c>
    </row>
    <row r="39" customFormat="false" ht="15" hidden="false" customHeight="false" outlineLevel="0" collapsed="false">
      <c r="A39" s="23" t="s">
        <v>460</v>
      </c>
      <c r="C39" s="22" t="n">
        <f aca="false">C35</f>
        <v>0.75</v>
      </c>
      <c r="D39" s="22" t="n">
        <f aca="false">D35</f>
        <v>7.875</v>
      </c>
      <c r="E39" s="22" t="n">
        <f aca="false">E35</f>
        <v>54</v>
      </c>
      <c r="F39" s="2" t="s">
        <v>461</v>
      </c>
    </row>
    <row r="40" customFormat="false" ht="15" hidden="false" customHeight="false" outlineLevel="0" collapsed="false">
      <c r="A40" s="3" t="s">
        <v>462</v>
      </c>
      <c r="C40" s="31" t="n">
        <f aca="false">C38+C39</f>
        <v>3.02198304993515</v>
      </c>
      <c r="D40" s="31" t="n">
        <f aca="false">D38+D39</f>
        <v>15.6698825661453</v>
      </c>
      <c r="E40" s="31" t="n">
        <f aca="false">E38+E39</f>
        <v>78.2488093124731</v>
      </c>
      <c r="F40" s="2"/>
    </row>
    <row r="41" customFormat="false" ht="15" hidden="false" customHeight="false" outlineLevel="0" collapsed="false">
      <c r="A41" s="23" t="s">
        <v>463</v>
      </c>
      <c r="C41" s="24" t="n">
        <f aca="false">C12+C20+C26</f>
        <v>589.583895335066</v>
      </c>
      <c r="D41" s="24" t="n">
        <f aca="false">D12+D20+D26</f>
        <v>1434.68020797128</v>
      </c>
      <c r="E41" s="24" t="n">
        <f aca="false">E12+E20+E26</f>
        <v>3617.46821874551</v>
      </c>
      <c r="F41" s="2"/>
    </row>
    <row r="42" customFormat="false" ht="15" hidden="false" customHeight="false" outlineLevel="0" collapsed="false">
      <c r="A42" s="23" t="s">
        <v>464</v>
      </c>
      <c r="C42" s="25" t="n">
        <f aca="false">C40/TAM_India!C34</f>
        <v>0.0364544533904539</v>
      </c>
      <c r="D42" s="25" t="n">
        <f aca="false">D40/TAM_India!D34</f>
        <v>0.0381963719966827</v>
      </c>
      <c r="E42" s="25" t="n">
        <f aca="false">E40/TAM_India!E34</f>
        <v>0.0523964171102672</v>
      </c>
      <c r="F42" s="2"/>
    </row>
    <row r="43" customFormat="false" ht="15" hidden="false" customHeight="false" outlineLevel="0" collapsed="false">
      <c r="A43" s="23" t="s">
        <v>465</v>
      </c>
      <c r="C43" s="22" t="n">
        <f aca="false">C13+C16*Assumptions!$C$56/10000000</f>
        <v>5.13485387142718</v>
      </c>
      <c r="D43" s="22" t="n">
        <f aca="false">D13+D16*Assumptions!$D$56/10000000</f>
        <v>21.640982537136</v>
      </c>
      <c r="E43" s="22" t="n">
        <f aca="false">E13+E16*Assumptions!$E$56/10000000</f>
        <v>66.1271233529496</v>
      </c>
      <c r="F43" s="2" t="s">
        <v>466</v>
      </c>
    </row>
    <row r="44" customFormat="false" ht="15" hidden="false" customHeight="false" outlineLevel="0" collapsed="false">
      <c r="A44" s="23" t="s">
        <v>467</v>
      </c>
      <c r="C44" s="22" t="n">
        <f aca="false">TAM_India!C38*Assumptions!$C$56/TAM_India!C13</f>
        <v>4.61295</v>
      </c>
      <c r="D44" s="22" t="n">
        <f aca="false">TAM_India!D38*Assumptions!$D$56/TAM_India!D13</f>
        <v>19.557703125</v>
      </c>
      <c r="E44" s="22" t="n">
        <f aca="false">TAM_India!E38*Assumptions!$E$56/TAM_India!E13</f>
        <v>57.834</v>
      </c>
      <c r="F44" s="2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64"/>
  </cols>
  <sheetData>
    <row r="1" customFormat="false" ht="17.35" hidden="false" customHeight="false" outlineLevel="0" collapsed="false">
      <c r="A1" s="1" t="s">
        <v>469</v>
      </c>
    </row>
    <row r="2" customFormat="false" ht="15" hidden="false" customHeight="false" outlineLevel="0" collapsed="false">
      <c r="A2" s="2" t="s">
        <v>470</v>
      </c>
    </row>
    <row r="4" customFormat="false" ht="15" hidden="false" customHeight="false" outlineLevel="0" collapsed="false">
      <c r="A4" s="6" t="s">
        <v>335</v>
      </c>
      <c r="B4" s="6" t="s">
        <v>276</v>
      </c>
      <c r="C4" s="6" t="s">
        <v>471</v>
      </c>
      <c r="D4" s="6" t="s">
        <v>21</v>
      </c>
      <c r="E4" s="6" t="s">
        <v>472</v>
      </c>
      <c r="F4" s="6" t="s">
        <v>336</v>
      </c>
    </row>
    <row r="5" customFormat="false" ht="15" hidden="false" customHeight="false" outlineLevel="0" collapsed="false">
      <c r="A5" s="7" t="s">
        <v>473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23" t="s">
        <v>474</v>
      </c>
      <c r="C6" s="22" t="n">
        <f aca="false">Assumptions!$C$78*(1+Assumptions!$C$76)/100</f>
        <v>0.230218</v>
      </c>
      <c r="D6" s="22" t="n">
        <f aca="false">Assumptions!$D$78*(1+Assumptions!$D$76)/100</f>
        <v>0.83662</v>
      </c>
      <c r="E6" s="22" t="n">
        <f aca="false">Assumptions!$E$78*(1+Assumptions!$E$76)/100</f>
        <v>1.233926</v>
      </c>
      <c r="F6" s="2" t="s">
        <v>475</v>
      </c>
    </row>
    <row r="7" customFormat="false" ht="15" hidden="false" customHeight="false" outlineLevel="0" collapsed="false">
      <c r="A7" s="3" t="s">
        <v>476</v>
      </c>
      <c r="C7" s="37" t="n">
        <f aca="false">IFERROR(C6/SAM_North!C13,0)</f>
        <v>0.158469075183095</v>
      </c>
      <c r="D7" s="37" t="n">
        <f aca="false">IFERROR(D6/SAM_North!D13,0)</f>
        <v>0.256040380124088</v>
      </c>
      <c r="E7" s="37" t="n">
        <f aca="false">IFERROR(E6/SAM_North!E13,0)</f>
        <v>0.233910752198969</v>
      </c>
      <c r="F7" s="2"/>
    </row>
    <row r="8" customFormat="false" ht="15" hidden="false" customHeight="false" outlineLevel="0" collapsed="false">
      <c r="A8" s="23" t="s">
        <v>477</v>
      </c>
      <c r="C8" s="22" t="n">
        <f aca="false">Assumptions!$C$79*(1+Assumptions!$C$76)/100</f>
        <v>0.04012</v>
      </c>
      <c r="D8" s="22" t="n">
        <f aca="false">Assumptions!$D$79*(1+Assumptions!$D$76)/100</f>
        <v>0.28851</v>
      </c>
      <c r="E8" s="22" t="n">
        <f aca="false">Assumptions!$E$79*(1+Assumptions!$E$76)/100</f>
        <v>0.891608</v>
      </c>
      <c r="F8" s="2" t="s">
        <v>478</v>
      </c>
    </row>
    <row r="9" customFormat="false" ht="15" hidden="false" customHeight="false" outlineLevel="0" collapsed="false">
      <c r="A9" s="3" t="s">
        <v>479</v>
      </c>
      <c r="C9" s="37" t="n">
        <f aca="false">IFERROR(C8/SAM_North!C21,0)</f>
        <v>0.266942300424136</v>
      </c>
      <c r="D9" s="37" t="n">
        <f aca="false">IFERROR(D8/SAM_North!D21,0)</f>
        <v>0.148782849540748</v>
      </c>
      <c r="E9" s="37" t="n">
        <f aca="false">IFERROR(E8/SAM_North!E21,0)</f>
        <v>0.0842106880062571</v>
      </c>
      <c r="F9" s="2"/>
    </row>
    <row r="10" customFormat="false" ht="15" hidden="false" customHeight="false" outlineLevel="0" collapsed="false">
      <c r="A10" s="23" t="s">
        <v>480</v>
      </c>
      <c r="C10" s="22" t="n">
        <f aca="false">Assumptions!$C$80*(1+Assumptions!$C$76)/100</f>
        <v>0.054634</v>
      </c>
      <c r="D10" s="22" t="n">
        <f aca="false">Assumptions!$D$80*(1+Assumptions!$D$76)/100</f>
        <v>0.29677</v>
      </c>
      <c r="E10" s="22" t="n">
        <f aca="false">Assumptions!$E$80*(1+Assumptions!$E$76)/100</f>
        <v>0.58233</v>
      </c>
      <c r="F10" s="2" t="s">
        <v>481</v>
      </c>
    </row>
    <row r="11" customFormat="false" ht="15" hidden="false" customHeight="false" outlineLevel="0" collapsed="false">
      <c r="A11" s="3" t="s">
        <v>482</v>
      </c>
      <c r="C11" s="37" t="n">
        <f aca="false">IFERROR(C10/SAM_North!C27,0)</f>
        <v>0.247296083749113</v>
      </c>
      <c r="D11" s="37" t="n">
        <f aca="false">IFERROR(D10/SAM_North!D27,0)</f>
        <v>0.213777924530198</v>
      </c>
      <c r="E11" s="37" t="n">
        <f aca="false">IFERROR(E10/SAM_North!E27,0)</f>
        <v>0.0996835788544714</v>
      </c>
      <c r="F11" s="2"/>
    </row>
    <row r="12" customFormat="false" ht="15" hidden="false" customHeight="false" outlineLevel="0" collapsed="false">
      <c r="A12" s="23" t="s">
        <v>483</v>
      </c>
      <c r="C12" s="22" t="n">
        <f aca="false">Assumptions!$C$81*(1+Assumptions!$C$76)/100</f>
        <v>0.068912</v>
      </c>
      <c r="D12" s="22" t="n">
        <f aca="false">Assumptions!$D$81*(1+Assumptions!$D$76)/100</f>
        <v>0.319072</v>
      </c>
      <c r="E12" s="22" t="n">
        <f aca="false">Assumptions!$E$81*(1+Assumptions!$E$76)/100</f>
        <v>0.72157</v>
      </c>
      <c r="F12" s="2" t="s">
        <v>484</v>
      </c>
    </row>
    <row r="13" customFormat="false" ht="15" hidden="false" customHeight="false" outlineLevel="0" collapsed="false">
      <c r="A13" s="3" t="s">
        <v>485</v>
      </c>
      <c r="C13" s="37" t="n">
        <f aca="false">IFERROR(C12/SAM_North!C32,0)</f>
        <v>0.153821428571429</v>
      </c>
      <c r="D13" s="37" t="n">
        <f aca="false">IFERROR(D12/SAM_North!D32,0)</f>
        <v>0.265893333333333</v>
      </c>
      <c r="E13" s="37" t="n">
        <f aca="false">IFERROR(E12/SAM_North!E32,0)</f>
        <v>0.283636006289308</v>
      </c>
      <c r="F13" s="2"/>
    </row>
    <row r="14" customFormat="false" ht="15" hidden="false" customHeight="false" outlineLevel="0" collapsed="false">
      <c r="A14" s="23" t="s">
        <v>486</v>
      </c>
      <c r="C14" s="22" t="n">
        <f aca="false">Assumptions!$C$82*(1+Assumptions!$C$76)/100</f>
        <v>0.014986</v>
      </c>
      <c r="D14" s="22" t="n">
        <f aca="false">Assumptions!$D$82*(1+Assumptions!$D$76)/100</f>
        <v>0.134874</v>
      </c>
      <c r="E14" s="22" t="n">
        <f aca="false">Assumptions!$E$82*(1+Assumptions!$E$76)/100</f>
        <v>0.399784</v>
      </c>
      <c r="F14" s="2" t="s">
        <v>487</v>
      </c>
    </row>
    <row r="15" customFormat="false" ht="15" hidden="false" customHeight="false" outlineLevel="0" collapsed="false">
      <c r="A15" s="3" t="s">
        <v>488</v>
      </c>
      <c r="C15" s="37" t="n">
        <f aca="false">IFERROR(C14/SAM_North!C35,0)</f>
        <v>0.0199813333333333</v>
      </c>
      <c r="D15" s="37" t="n">
        <f aca="false">IFERROR(D14/SAM_North!D35,0)</f>
        <v>0.0171268571428571</v>
      </c>
      <c r="E15" s="37" t="n">
        <f aca="false">IFERROR(E14/SAM_North!E35,0)</f>
        <v>0.00740340740740741</v>
      </c>
      <c r="F15" s="2"/>
    </row>
    <row r="16" customFormat="false" ht="15" hidden="false" customHeight="false" outlineLevel="0" collapsed="false">
      <c r="A16" s="7" t="s">
        <v>489</v>
      </c>
      <c r="B16" s="8"/>
      <c r="C16" s="8"/>
      <c r="D16" s="8"/>
      <c r="E16" s="8"/>
      <c r="F16" s="8"/>
    </row>
    <row r="17" customFormat="false" ht="15" hidden="false" customHeight="false" outlineLevel="0" collapsed="false">
      <c r="A17" s="3" t="s">
        <v>490</v>
      </c>
      <c r="C17" s="37" t="n">
        <f aca="false">Assumptions!$C$84/SAM_North!C12</f>
        <v>0.0693850297476997</v>
      </c>
      <c r="D17" s="37" t="n">
        <f aca="false">Assumptions!$D$84/SAM_North!D12</f>
        <v>0.127114307432932</v>
      </c>
      <c r="E17" s="37" t="n">
        <f aca="false">Assumptions!$E$84/SAM_North!E12</f>
        <v>0.11089626933576</v>
      </c>
      <c r="F17" s="2" t="s">
        <v>491</v>
      </c>
    </row>
    <row r="18" customFormat="false" ht="15" hidden="false" customHeight="false" outlineLevel="0" collapsed="false">
      <c r="A18" s="3" t="s">
        <v>492</v>
      </c>
      <c r="C18" s="37" t="n">
        <f aca="false">IFERROR(Assumptions!$C$85/(SAM_North!C20+Tricity_Recon!C48),0)</f>
        <v>0.0602918299143058</v>
      </c>
      <c r="D18" s="37" t="n">
        <f aca="false">IFERROR(Assumptions!$D$85/(SAM_North!D20+Tricity_Recon!D48),0)</f>
        <v>0.0646585116616593</v>
      </c>
      <c r="E18" s="37" t="n">
        <f aca="false">IFERROR(Assumptions!$E$85/(SAM_North!E20+Tricity_Recon!E48),0)</f>
        <v>0.0468350027897985</v>
      </c>
      <c r="F18" s="2" t="s">
        <v>493</v>
      </c>
    </row>
    <row r="19" customFormat="false" ht="15" hidden="false" customHeight="false" outlineLevel="0" collapsed="false">
      <c r="A19" s="3" t="s">
        <v>494</v>
      </c>
      <c r="C19" s="37" t="n">
        <f aca="false">IFERROR(Assumptions!$C$86/SAM_North!C26,0)</f>
        <v>0.144845237031365</v>
      </c>
      <c r="D19" s="37" t="n">
        <f aca="false">IFERROR(Assumptions!$D$86/SAM_North!D26,0)</f>
        <v>0.126061046577433</v>
      </c>
      <c r="E19" s="37" t="n">
        <f aca="false">IFERROR(Assumptions!$E$86/SAM_North!E26,0)</f>
        <v>0.0553597949642574</v>
      </c>
      <c r="F19" s="2"/>
    </row>
    <row r="20" customFormat="false" ht="15" hidden="false" customHeight="false" outlineLevel="0" collapsed="false">
      <c r="A20" s="23" t="s">
        <v>495</v>
      </c>
      <c r="C20" s="25" t="n">
        <f aca="false">Assumptions!$C$84/Tricity_Recon!C15</f>
        <v>0.0566666666666667</v>
      </c>
      <c r="D20" s="25" t="n">
        <f aca="false">Assumptions!$D$84/Tricity_Recon!D15</f>
        <v>0.0734872611464968</v>
      </c>
      <c r="E20" s="25" t="n">
        <f aca="false">Assumptions!$E$84/Tricity_Recon!E15</f>
        <v>0.04375</v>
      </c>
      <c r="F20" s="2"/>
    </row>
    <row r="21" customFormat="false" ht="15" hidden="false" customHeight="false" outlineLevel="0" collapsed="false">
      <c r="A21" s="3" t="s">
        <v>496</v>
      </c>
      <c r="C21" s="31" t="n">
        <f aca="false">C6+C8+C10+C12+C14</f>
        <v>0.40887</v>
      </c>
      <c r="D21" s="31" t="n">
        <f aca="false">D6+D8+D10+D12+D14</f>
        <v>1.875846</v>
      </c>
      <c r="E21" s="31" t="n">
        <f aca="false">E6+E8+E10+E12+E14</f>
        <v>3.829218</v>
      </c>
      <c r="F21" s="2"/>
    </row>
    <row r="22" customFormat="false" ht="15" hidden="false" customHeight="false" outlineLevel="0" collapsed="false">
      <c r="A22" s="3" t="s">
        <v>497</v>
      </c>
      <c r="C22" s="37" t="n">
        <f aca="false">(C21-C14)/SAM_North!C38</f>
        <v>0.173365730000161</v>
      </c>
      <c r="D22" s="37" t="n">
        <f aca="false">(D21-D14)/SAM_North!D38</f>
        <v>0.22334807294742</v>
      </c>
      <c r="E22" s="37" t="n">
        <f aca="false">(E21-E14)/SAM_North!E38</f>
        <v>0.141426902896876</v>
      </c>
      <c r="F22" s="2"/>
    </row>
    <row r="23" customFormat="false" ht="15" hidden="false" customHeight="false" outlineLevel="0" collapsed="false">
      <c r="A23" s="23" t="s">
        <v>498</v>
      </c>
      <c r="C23" s="25" t="n">
        <f aca="false">C21/SAM_North!C40</f>
        <v>0.135298574890674</v>
      </c>
      <c r="D23" s="25" t="n">
        <f aca="false">D21/SAM_North!D40</f>
        <v>0.119710278113555</v>
      </c>
      <c r="E23" s="25" t="n">
        <f aca="false">E21/SAM_North!E40</f>
        <v>0.0489364379297924</v>
      </c>
      <c r="F23" s="2"/>
    </row>
    <row r="24" customFormat="false" ht="15" hidden="false" customHeight="false" outlineLevel="0" collapsed="false">
      <c r="A24" s="23" t="s">
        <v>499</v>
      </c>
      <c r="C24" s="33" t="n">
        <f aca="false">C21/TAM_India!C34</f>
        <v>0.00493223559214693</v>
      </c>
      <c r="D24" s="33" t="n">
        <f aca="false">D21/TAM_India!D34</f>
        <v>0.00457249831465168</v>
      </c>
      <c r="E24" s="33" t="n">
        <f aca="false">E21/TAM_India!E34</f>
        <v>0.0025640940136601</v>
      </c>
      <c r="F24" s="2" t="s">
        <v>500</v>
      </c>
    </row>
    <row r="25" customFormat="false" ht="15" hidden="false" customHeight="false" outlineLevel="0" collapsed="false">
      <c r="A25" s="23" t="s">
        <v>501</v>
      </c>
      <c r="C25" s="22" t="n">
        <f aca="false">Assumptions!$C$83*(1+Assumptions!$C$76)/100</f>
        <v>0.0236</v>
      </c>
      <c r="D25" s="22" t="n">
        <f aca="false">Assumptions!$D$83*(1+Assumptions!$D$76)/100</f>
        <v>0.077172</v>
      </c>
      <c r="E25" s="22" t="n">
        <f aca="false">Assumptions!$E$83*(1+Assumptions!$E$76)/100</f>
        <v>0.119534</v>
      </c>
      <c r="F25" s="2" t="s">
        <v>502</v>
      </c>
    </row>
    <row r="27" customFormat="false" ht="15" hidden="false" customHeight="false" outlineLevel="0" collapsed="false">
      <c r="A27" s="7" t="s">
        <v>503</v>
      </c>
      <c r="B27" s="8"/>
      <c r="C27" s="8"/>
      <c r="D27" s="8"/>
      <c r="E27" s="8"/>
      <c r="F27" s="8"/>
    </row>
    <row r="28" customFormat="false" ht="15" hidden="false" customHeight="false" outlineLevel="0" collapsed="false">
      <c r="A28" s="23" t="s">
        <v>504</v>
      </c>
      <c r="C28" s="22" t="n">
        <f aca="false">Assumptions!$C$88*(1+Assumptions!$C$76)/100</f>
        <v>0.079178</v>
      </c>
      <c r="D28" s="22" t="n">
        <f aca="false">Assumptions!$D$88*(1+Assumptions!$D$76)/100</f>
        <v>0.195998</v>
      </c>
      <c r="E28" s="22" t="n">
        <f aca="false">Assumptions!$E$88*(1+Assumptions!$E$76)/100</f>
        <v>0.294056</v>
      </c>
      <c r="F28" s="2" t="s">
        <v>505</v>
      </c>
    </row>
    <row r="29" customFormat="false" ht="15" hidden="false" customHeight="false" outlineLevel="0" collapsed="false">
      <c r="A29" s="3" t="s">
        <v>506</v>
      </c>
      <c r="C29" s="37" t="n">
        <f aca="false">C28/SAM_North!C13</f>
        <v>0.0545016655293985</v>
      </c>
      <c r="D29" s="37" t="n">
        <f aca="false">D28/SAM_North!D13</f>
        <v>0.0599835079529068</v>
      </c>
      <c r="E29" s="37" t="n">
        <f aca="false">E28/SAM_North!E13</f>
        <v>0.0557430997876858</v>
      </c>
      <c r="F29" s="2" t="s">
        <v>507</v>
      </c>
    </row>
    <row r="30" customFormat="false" ht="15" hidden="false" customHeight="false" outlineLevel="0" collapsed="false">
      <c r="A30" s="23" t="s">
        <v>508</v>
      </c>
      <c r="C30" s="35" t="n">
        <f aca="false">IFERROR(C21/C28,0)</f>
        <v>5.16393442622951</v>
      </c>
      <c r="D30" s="35" t="n">
        <f aca="false">IFERROR(D21/D28,0)</f>
        <v>9.57074051776039</v>
      </c>
      <c r="E30" s="35" t="n">
        <f aca="false">IFERROR(E21/E28,0)</f>
        <v>13.0220706260032</v>
      </c>
      <c r="F30" s="2"/>
    </row>
    <row r="31" customFormat="false" ht="15" hidden="false" customHeight="false" outlineLevel="0" collapsed="false">
      <c r="A31" s="3" t="s">
        <v>509</v>
      </c>
      <c r="C31" s="37" t="n">
        <f aca="false">Assumptions!$C$87/Tricity_Recon!$E$46</f>
        <v>0.0341219290263876</v>
      </c>
      <c r="D31" s="37" t="n">
        <f aca="false">Assumptions!$D$87/Tricity_Recon!$D$46</f>
        <v>0.0688593214696274</v>
      </c>
      <c r="E31" s="37" t="n">
        <f aca="false">Assumptions!$E$87/Tricity_Recon!$C$46</f>
        <v>0.123901838835178</v>
      </c>
      <c r="F31" s="2" t="s">
        <v>510</v>
      </c>
    </row>
    <row r="33" customFormat="false" ht="15" hidden="false" customHeight="false" outlineLevel="0" collapsed="false">
      <c r="A33" s="2" t="s"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4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66"/>
  </cols>
  <sheetData>
    <row r="1" customFormat="false" ht="17.35" hidden="false" customHeight="false" outlineLevel="0" collapsed="false">
      <c r="A1" s="1" t="s">
        <v>512</v>
      </c>
    </row>
    <row r="2" customFormat="false" ht="15" hidden="false" customHeight="false" outlineLevel="0" collapsed="false">
      <c r="A2" s="2" t="s">
        <v>513</v>
      </c>
    </row>
    <row r="4" customFormat="false" ht="15" hidden="false" customHeight="false" outlineLevel="0" collapsed="false">
      <c r="A4" s="6" t="s">
        <v>514</v>
      </c>
      <c r="B4" s="6"/>
      <c r="C4" s="6" t="s">
        <v>24</v>
      </c>
      <c r="D4" s="6" t="s">
        <v>21</v>
      </c>
      <c r="E4" s="6" t="s">
        <v>25</v>
      </c>
      <c r="F4" s="6" t="s">
        <v>515</v>
      </c>
      <c r="G4" s="6" t="s">
        <v>516</v>
      </c>
    </row>
    <row r="5" customFormat="false" ht="15" hidden="false" customHeight="false" outlineLevel="0" collapsed="false">
      <c r="A5" s="3" t="s">
        <v>517</v>
      </c>
      <c r="C5" s="29" t="n">
        <f aca="false">TAM_India!C30</f>
        <v>79.8975</v>
      </c>
      <c r="D5" s="29" t="n">
        <f aca="false">TAM_India!D30</f>
        <v>387.7453125</v>
      </c>
      <c r="E5" s="29" t="n">
        <f aca="false">TAM_India!E30</f>
        <v>1373.4</v>
      </c>
      <c r="F5" s="17" t="n">
        <f aca="false">INDEX(C5:E5,Assumptions!$C$4)</f>
        <v>387.7453125</v>
      </c>
      <c r="G5" s="2" t="s">
        <v>518</v>
      </c>
    </row>
    <row r="6" customFormat="false" ht="15" hidden="false" customHeight="false" outlineLevel="0" collapsed="false">
      <c r="A6" s="0" t="s">
        <v>519</v>
      </c>
      <c r="C6" s="29" t="n">
        <f aca="false">TAM_India!C33</f>
        <v>3</v>
      </c>
      <c r="D6" s="29" t="n">
        <f aca="false">TAM_India!D33</f>
        <v>22.5</v>
      </c>
      <c r="E6" s="29" t="n">
        <f aca="false">TAM_India!E33</f>
        <v>120</v>
      </c>
      <c r="F6" s="17" t="n">
        <f aca="false">INDEX(C6:E6,Assumptions!$C$4)</f>
        <v>22.5</v>
      </c>
      <c r="G6" s="2" t="s">
        <v>520</v>
      </c>
    </row>
    <row r="7" customFormat="false" ht="15" hidden="false" customHeight="false" outlineLevel="0" collapsed="false">
      <c r="A7" s="0" t="s">
        <v>521</v>
      </c>
      <c r="C7" s="29" t="n">
        <f aca="false">TAM_India!C38</f>
        <v>6.11215875</v>
      </c>
      <c r="D7" s="29" t="n">
        <f aca="false">TAM_India!D38</f>
        <v>29.66251640625</v>
      </c>
      <c r="E7" s="29" t="n">
        <f aca="false">TAM_India!E38</f>
        <v>105.0651</v>
      </c>
      <c r="F7" s="17" t="n">
        <f aca="false">INDEX(C7:E7,Assumptions!$C$4)</f>
        <v>29.66251640625</v>
      </c>
      <c r="G7" s="2" t="s">
        <v>522</v>
      </c>
    </row>
    <row r="8" customFormat="false" ht="15" hidden="false" customHeight="false" outlineLevel="0" collapsed="false">
      <c r="A8" s="3" t="s">
        <v>523</v>
      </c>
      <c r="C8" s="22" t="n">
        <f aca="false">SAM_North!C40</f>
        <v>3.02198304993515</v>
      </c>
      <c r="D8" s="22" t="n">
        <f aca="false">SAM_North!D40</f>
        <v>15.6698825661453</v>
      </c>
      <c r="E8" s="22" t="n">
        <f aca="false">SAM_North!E40</f>
        <v>78.2488093124731</v>
      </c>
      <c r="F8" s="21" t="n">
        <f aca="false">INDEX(C8:E8,Assumptions!$C$4)</f>
        <v>15.6698825661453</v>
      </c>
      <c r="G8" s="2" t="s">
        <v>524</v>
      </c>
    </row>
    <row r="9" customFormat="false" ht="15" hidden="false" customHeight="false" outlineLevel="0" collapsed="false">
      <c r="A9" s="0" t="s">
        <v>525</v>
      </c>
      <c r="C9" s="22" t="n">
        <f aca="false">SAM_North!C38</f>
        <v>2.27198304993515</v>
      </c>
      <c r="D9" s="22" t="n">
        <f aca="false">SAM_North!D38</f>
        <v>7.79488256614533</v>
      </c>
      <c r="E9" s="22" t="n">
        <f aca="false">SAM_North!E38</f>
        <v>24.2488093124731</v>
      </c>
      <c r="F9" s="21" t="n">
        <f aca="false">INDEX(C9:E9,Assumptions!$C$4)</f>
        <v>7.79488256614533</v>
      </c>
      <c r="G9" s="2" t="s">
        <v>459</v>
      </c>
    </row>
    <row r="10" customFormat="false" ht="15" hidden="false" customHeight="false" outlineLevel="0" collapsed="false">
      <c r="A10" s="0" t="s">
        <v>526</v>
      </c>
      <c r="C10" s="22" t="n">
        <f aca="false">SAM_North!C13</f>
        <v>1.45276294276348</v>
      </c>
      <c r="D10" s="22" t="n">
        <f aca="false">SAM_North!D13</f>
        <v>3.26753147138174</v>
      </c>
      <c r="E10" s="22" t="n">
        <f aca="false">SAM_North!E13</f>
        <v>5.2752</v>
      </c>
      <c r="F10" s="21" t="n">
        <f aca="false">INDEX(C10:E10,Assumptions!$C$4)</f>
        <v>3.26753147138174</v>
      </c>
      <c r="G10" s="2" t="s">
        <v>527</v>
      </c>
    </row>
    <row r="11" customFormat="false" ht="15" hidden="false" customHeight="false" outlineLevel="0" collapsed="false">
      <c r="A11" s="0" t="s">
        <v>528</v>
      </c>
      <c r="C11" s="22" t="n">
        <f aca="false">SAM_North!C21</f>
        <v>0.150294651451848</v>
      </c>
      <c r="D11" s="22" t="n">
        <f aca="false">SAM_North!D21</f>
        <v>1.93913479201771</v>
      </c>
      <c r="E11" s="22" t="n">
        <f aca="false">SAM_North!E21</f>
        <v>10.5878246705899</v>
      </c>
      <c r="F11" s="21" t="n">
        <f aca="false">INDEX(C11:E11,Assumptions!$C$4)</f>
        <v>1.93913479201771</v>
      </c>
      <c r="G11" s="2" t="s">
        <v>529</v>
      </c>
    </row>
    <row r="12" customFormat="false" ht="15" hidden="false" customHeight="false" outlineLevel="0" collapsed="false">
      <c r="A12" s="0" t="s">
        <v>530</v>
      </c>
      <c r="C12" s="22" t="n">
        <f aca="false">SAM_North!C27</f>
        <v>0.220925455719822</v>
      </c>
      <c r="D12" s="22" t="n">
        <f aca="false">SAM_North!D27</f>
        <v>1.38821630274588</v>
      </c>
      <c r="E12" s="22" t="n">
        <f aca="false">SAM_North!E27</f>
        <v>5.84178464188316</v>
      </c>
      <c r="F12" s="21" t="n">
        <f aca="false">INDEX(C12:E12,Assumptions!$C$4)</f>
        <v>1.38821630274588</v>
      </c>
      <c r="G12" s="2"/>
    </row>
    <row r="13" customFormat="false" ht="15" hidden="false" customHeight="false" outlineLevel="0" collapsed="false">
      <c r="A13" s="0" t="s">
        <v>531</v>
      </c>
      <c r="C13" s="22" t="n">
        <f aca="false">SAM_North!C32</f>
        <v>0.448</v>
      </c>
      <c r="D13" s="22" t="n">
        <f aca="false">SAM_North!D32</f>
        <v>1.2</v>
      </c>
      <c r="E13" s="22" t="n">
        <f aca="false">SAM_North!E32</f>
        <v>2.544</v>
      </c>
      <c r="F13" s="21" t="n">
        <f aca="false">INDEX(C13:E13,Assumptions!$C$4)</f>
        <v>1.2</v>
      </c>
      <c r="G13" s="2" t="s">
        <v>532</v>
      </c>
    </row>
    <row r="14" customFormat="false" ht="15" hidden="false" customHeight="false" outlineLevel="0" collapsed="false">
      <c r="A14" s="0" t="s">
        <v>533</v>
      </c>
      <c r="C14" s="22" t="n">
        <f aca="false">SAM_North!C35</f>
        <v>0.75</v>
      </c>
      <c r="D14" s="22" t="n">
        <f aca="false">SAM_North!D35</f>
        <v>7.875</v>
      </c>
      <c r="E14" s="22" t="n">
        <f aca="false">SAM_North!E35</f>
        <v>54</v>
      </c>
      <c r="F14" s="21" t="n">
        <f aca="false">INDEX(C14:E14,Assumptions!$C$4)</f>
        <v>7.875</v>
      </c>
      <c r="G14" s="2"/>
    </row>
    <row r="15" customFormat="false" ht="15" hidden="false" customHeight="false" outlineLevel="0" collapsed="false">
      <c r="A15" s="3" t="s">
        <v>534</v>
      </c>
      <c r="C15" s="22" t="n">
        <f aca="false">SOM_PNA!C21</f>
        <v>0.40887</v>
      </c>
      <c r="D15" s="22" t="n">
        <f aca="false">SOM_PNA!D21</f>
        <v>1.875846</v>
      </c>
      <c r="E15" s="22" t="n">
        <f aca="false">SOM_PNA!E21</f>
        <v>3.829218</v>
      </c>
      <c r="F15" s="21" t="n">
        <f aca="false">INDEX(C15:E15,Assumptions!$C$4)</f>
        <v>1.875846</v>
      </c>
      <c r="G15" s="2" t="s">
        <v>535</v>
      </c>
    </row>
    <row r="16" customFormat="false" ht="15" hidden="false" customHeight="false" outlineLevel="0" collapsed="false">
      <c r="A16" s="0" t="s">
        <v>536</v>
      </c>
      <c r="C16" s="25" t="n">
        <f aca="false">SOM_PNA!C22</f>
        <v>0.173365730000161</v>
      </c>
      <c r="D16" s="25" t="n">
        <f aca="false">SOM_PNA!D22</f>
        <v>0.22334807294742</v>
      </c>
      <c r="E16" s="25" t="n">
        <f aca="false">SOM_PNA!E22</f>
        <v>0.141426902896876</v>
      </c>
      <c r="F16" s="13" t="n">
        <f aca="false">INDEX(C16:E16,Assumptions!$C$4)</f>
        <v>0.22334807294742</v>
      </c>
      <c r="G16" s="2"/>
    </row>
    <row r="17" customFormat="false" ht="15" hidden="false" customHeight="false" outlineLevel="0" collapsed="false">
      <c r="A17" s="0" t="s">
        <v>537</v>
      </c>
      <c r="C17" s="25" t="n">
        <f aca="false">SOM_PNA!C17</f>
        <v>0.0693850297476997</v>
      </c>
      <c r="D17" s="25" t="n">
        <f aca="false">SOM_PNA!D17</f>
        <v>0.127114307432932</v>
      </c>
      <c r="E17" s="25" t="n">
        <f aca="false">SOM_PNA!E17</f>
        <v>0.11089626933576</v>
      </c>
      <c r="F17" s="13" t="n">
        <f aca="false">INDEX(C17:E17,Assumptions!$C$4)</f>
        <v>0.127114307432932</v>
      </c>
      <c r="G17" s="2" t="s">
        <v>538</v>
      </c>
    </row>
    <row r="18" customFormat="false" ht="15" hidden="false" customHeight="false" outlineLevel="0" collapsed="false">
      <c r="A18" s="0" t="s">
        <v>539</v>
      </c>
      <c r="C18" s="33" t="n">
        <f aca="false">SOM_PNA!C24</f>
        <v>0.00493223559214693</v>
      </c>
      <c r="D18" s="33" t="n">
        <f aca="false">SOM_PNA!D24</f>
        <v>0.00457249831465168</v>
      </c>
      <c r="E18" s="33" t="n">
        <f aca="false">SOM_PNA!E24</f>
        <v>0.0025640940136601</v>
      </c>
      <c r="F18" s="19" t="n">
        <f aca="false">INDEX(C18:E18,Assumptions!$C$4)</f>
        <v>0.00457249831465168</v>
      </c>
      <c r="G18" s="2"/>
    </row>
    <row r="19" customFormat="false" ht="15" hidden="false" customHeight="false" outlineLevel="0" collapsed="false">
      <c r="A19" s="3" t="s">
        <v>540</v>
      </c>
      <c r="C19" s="22" t="n">
        <f aca="false">SOM_PNA!C28</f>
        <v>0.079178</v>
      </c>
      <c r="D19" s="22" t="n">
        <f aca="false">SOM_PNA!D28</f>
        <v>0.195998</v>
      </c>
      <c r="E19" s="22" t="n">
        <f aca="false">SOM_PNA!E28</f>
        <v>0.294056</v>
      </c>
      <c r="F19" s="21" t="n">
        <f aca="false">INDEX(C19:E19,Assumptions!$C$4)</f>
        <v>0.195998</v>
      </c>
      <c r="G19" s="2" t="s">
        <v>541</v>
      </c>
    </row>
    <row r="20" customFormat="false" ht="15" hidden="false" customHeight="false" outlineLevel="0" collapsed="false">
      <c r="A20" s="0" t="s">
        <v>542</v>
      </c>
      <c r="C20" s="25" t="n">
        <f aca="false">SOM_PNA!C31</f>
        <v>0.0341219290263876</v>
      </c>
      <c r="D20" s="25" t="n">
        <f aca="false">SOM_PNA!D31</f>
        <v>0.0688593214696274</v>
      </c>
      <c r="E20" s="25" t="n">
        <f aca="false">SOM_PNA!E31</f>
        <v>0.123901838835178</v>
      </c>
      <c r="F20" s="13" t="n">
        <f aca="false">INDEX(C20:E20,Assumptions!$C$4)</f>
        <v>0.0688593214696274</v>
      </c>
      <c r="G20" s="2" t="s">
        <v>543</v>
      </c>
    </row>
    <row r="21" customFormat="false" ht="15" hidden="false" customHeight="false" outlineLevel="0" collapsed="false">
      <c r="A21" s="3" t="s">
        <v>544</v>
      </c>
      <c r="C21" s="24" t="n">
        <f aca="false">TAM_India!C31</f>
        <v>20100</v>
      </c>
      <c r="D21" s="24" t="n">
        <f aca="false">TAM_India!D31</f>
        <v>56812.5</v>
      </c>
      <c r="E21" s="24" t="n">
        <f aca="false">TAM_India!E31</f>
        <v>126000</v>
      </c>
      <c r="F21" s="11" t="n">
        <f aca="false">INDEX(C21:E21,Assumptions!$C$4)</f>
        <v>56812.5</v>
      </c>
      <c r="G21" s="2"/>
    </row>
    <row r="22" customFormat="false" ht="15" hidden="false" customHeight="false" outlineLevel="0" collapsed="false">
      <c r="A22" s="3" t="s">
        <v>545</v>
      </c>
      <c r="C22" s="24" t="n">
        <f aca="false">Tricity_Recon!C46</f>
        <v>484.254314254494</v>
      </c>
      <c r="D22" s="24" t="n">
        <f aca="false">Tricity_Recon!D46</f>
        <v>726.118104751498</v>
      </c>
      <c r="E22" s="24" t="n">
        <f aca="false">Tricity_Recon!E46</f>
        <v>879.2</v>
      </c>
      <c r="F22" s="11" t="n">
        <f aca="false">INDEX(C22:E22,Assumptions!$C$4)</f>
        <v>726.118104751498</v>
      </c>
      <c r="G22" s="2"/>
    </row>
    <row r="24" customFormat="false" ht="15" hidden="false" customHeight="false" outlineLevel="0" collapsed="false">
      <c r="A24" s="2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547</v>
      </c>
    </row>
    <row r="4" customFormat="false" ht="15" hidden="false" customHeight="false" outlineLevel="0" collapsed="false">
      <c r="A4" s="6" t="s">
        <v>548</v>
      </c>
      <c r="B4" s="6" t="s">
        <v>549</v>
      </c>
      <c r="C4" s="6" t="s">
        <v>4</v>
      </c>
      <c r="D4" s="6" t="s">
        <v>550</v>
      </c>
      <c r="E4" s="6" t="s">
        <v>551</v>
      </c>
    </row>
    <row r="5" customFormat="false" ht="15" hidden="false" customHeight="false" outlineLevel="0" collapsed="false">
      <c r="A5" s="0" t="s">
        <v>552</v>
      </c>
      <c r="B5" s="29" t="n">
        <v>276999</v>
      </c>
      <c r="C5" s="10" t="s">
        <v>105</v>
      </c>
      <c r="D5" s="10" t="s">
        <v>553</v>
      </c>
      <c r="E5" s="10" t="s">
        <v>554</v>
      </c>
    </row>
    <row r="6" customFormat="false" ht="15" hidden="false" customHeight="false" outlineLevel="0" collapsed="false">
      <c r="A6" s="0" t="s">
        <v>555</v>
      </c>
      <c r="B6" s="29" t="n">
        <v>76141</v>
      </c>
      <c r="C6" s="10" t="s">
        <v>105</v>
      </c>
      <c r="D6" s="10" t="s">
        <v>553</v>
      </c>
      <c r="E6" s="10" t="s">
        <v>556</v>
      </c>
    </row>
    <row r="7" customFormat="false" ht="15" hidden="false" customHeight="false" outlineLevel="0" collapsed="false">
      <c r="A7" s="0" t="s">
        <v>557</v>
      </c>
      <c r="B7" s="29" t="n">
        <v>1.52</v>
      </c>
      <c r="C7" s="10" t="s">
        <v>558</v>
      </c>
      <c r="D7" s="10" t="s">
        <v>559</v>
      </c>
      <c r="E7" s="10" t="s">
        <v>560</v>
      </c>
    </row>
    <row r="8" customFormat="false" ht="15" hidden="false" customHeight="false" outlineLevel="0" collapsed="false">
      <c r="A8" s="0" t="s">
        <v>561</v>
      </c>
      <c r="B8" s="29" t="n">
        <v>12.6</v>
      </c>
      <c r="C8" s="10" t="s">
        <v>558</v>
      </c>
      <c r="D8" s="10" t="s">
        <v>562</v>
      </c>
      <c r="E8" s="10" t="s">
        <v>563</v>
      </c>
    </row>
    <row r="9" customFormat="false" ht="15" hidden="false" customHeight="false" outlineLevel="0" collapsed="false">
      <c r="A9" s="0" t="s">
        <v>564</v>
      </c>
      <c r="B9" s="29" t="n">
        <v>2880</v>
      </c>
      <c r="C9" s="10" t="s">
        <v>105</v>
      </c>
      <c r="D9" s="10" t="s">
        <v>565</v>
      </c>
      <c r="E9" s="10" t="s">
        <v>566</v>
      </c>
    </row>
    <row r="10" customFormat="false" ht="15" hidden="false" customHeight="false" outlineLevel="0" collapsed="false">
      <c r="A10" s="0" t="s">
        <v>567</v>
      </c>
      <c r="B10" s="29" t="n">
        <v>650000</v>
      </c>
      <c r="C10" s="10" t="s">
        <v>105</v>
      </c>
      <c r="D10" s="10" t="s">
        <v>568</v>
      </c>
      <c r="E10" s="10" t="s">
        <v>569</v>
      </c>
    </row>
    <row r="11" customFormat="false" ht="15" hidden="false" customHeight="false" outlineLevel="0" collapsed="false">
      <c r="A11" s="0" t="s">
        <v>570</v>
      </c>
      <c r="B11" s="29" t="n">
        <f aca="false">TAM_India!D36</f>
        <v>609.3140625</v>
      </c>
      <c r="C11" s="10" t="s">
        <v>105</v>
      </c>
      <c r="D11" s="10" t="s">
        <v>571</v>
      </c>
      <c r="E11" s="10" t="s">
        <v>572</v>
      </c>
    </row>
    <row r="13" customFormat="false" ht="15" hidden="false" customHeight="false" outlineLevel="0" collapsed="false">
      <c r="A13" s="3" t="s">
        <v>573</v>
      </c>
      <c r="B13" s="29" t="n">
        <f aca="false">TAM_India!D30</f>
        <v>387.7453125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574</v>
      </c>
    </row>
    <row r="4" customFormat="false" ht="15" hidden="false" customHeight="false" outlineLevel="0" collapsed="false">
      <c r="A4" s="6" t="s">
        <v>575</v>
      </c>
      <c r="B4" s="6" t="s">
        <v>576</v>
      </c>
      <c r="C4" s="6" t="s">
        <v>577</v>
      </c>
    </row>
    <row r="5" customFormat="false" ht="15" hidden="false" customHeight="false" outlineLevel="0" collapsed="false">
      <c r="A5" s="0" t="s">
        <v>578</v>
      </c>
      <c r="B5" s="38" t="b">
        <f aca="false">ABS(TAM_India!D14-522.1)&lt;1</f>
        <v>1</v>
      </c>
    </row>
    <row r="6" customFormat="false" ht="15" hidden="false" customHeight="false" outlineLevel="0" collapsed="false">
      <c r="A6" s="0" t="s">
        <v>579</v>
      </c>
      <c r="B6" s="38" t="b">
        <f aca="false">ABS(TAM_India!D30-387.7)&lt;1</f>
        <v>1</v>
      </c>
    </row>
    <row r="7" customFormat="false" ht="15" hidden="false" customHeight="false" outlineLevel="0" collapsed="false">
      <c r="A7" s="0" t="s">
        <v>580</v>
      </c>
      <c r="B7" s="38" t="b">
        <f aca="false">ABS(Tricity_Recon!D16-5.65)&lt;0.1</f>
        <v>1</v>
      </c>
    </row>
    <row r="8" customFormat="false" ht="15" hidden="false" customHeight="false" outlineLevel="0" collapsed="false">
      <c r="A8" s="0" t="s">
        <v>581</v>
      </c>
      <c r="B8" s="38" t="b">
        <f aca="false">AND(Tricity_Recon!D46&gt;=Tricity_Recon!D28,Tricity_Recon!D46&lt;=Tricity_Recon!D34)</f>
        <v>1</v>
      </c>
    </row>
    <row r="9" customFormat="false" ht="15" hidden="false" customHeight="false" outlineLevel="0" collapsed="false">
      <c r="A9" s="0" t="s">
        <v>582</v>
      </c>
      <c r="B9" s="38" t="b">
        <f aca="false">AND(Tricity_Recon!C47&lt;=Tricity_Recon!D47,Tricity_Recon!D47&lt;=Tricity_Recon!E47)</f>
        <v>1</v>
      </c>
    </row>
    <row r="10" customFormat="false" ht="15" hidden="false" customHeight="false" outlineLevel="0" collapsed="false">
      <c r="A10" s="0" t="s">
        <v>583</v>
      </c>
      <c r="B10" s="38" t="b">
        <f aca="false">AND(SAM_North!C40&lt;TAM_India!C34,SAM_North!D40&lt;TAM_India!D34,SAM_North!E40&lt;TAM_India!E34)</f>
        <v>1</v>
      </c>
    </row>
    <row r="11" customFormat="false" ht="15" hidden="false" customHeight="false" outlineLevel="0" collapsed="false">
      <c r="A11" s="0" t="s">
        <v>584</v>
      </c>
      <c r="B11" s="38" t="b">
        <f aca="false">AND(SOM_PNA!C21&lt;SAM_North!C40,SOM_PNA!D21&lt;SAM_North!D40,SOM_PNA!E21&lt;SAM_North!E40)</f>
        <v>1</v>
      </c>
    </row>
    <row r="12" customFormat="false" ht="15" hidden="false" customHeight="false" outlineLevel="0" collapsed="false">
      <c r="A12" s="0" t="s">
        <v>585</v>
      </c>
      <c r="B12" s="38" t="b">
        <f aca="false">SOM_PNA!D17&lt;=0.25</f>
        <v>1</v>
      </c>
    </row>
    <row r="13" customFormat="false" ht="15" hidden="false" customHeight="false" outlineLevel="0" collapsed="false">
      <c r="A13" s="0" t="s">
        <v>586</v>
      </c>
      <c r="B13" s="38" t="b">
        <f aca="false">ABS(Tricity_Recon!D12/Tricity_Recon!D10-1)&lt;0.1</f>
        <v>1</v>
      </c>
    </row>
    <row r="15" customFormat="false" ht="15" hidden="false" customHeight="false" outlineLevel="0" collapsed="false">
      <c r="A15" s="3" t="s">
        <v>587</v>
      </c>
      <c r="B15" s="38" t="b">
        <f aca="false">AND(B5:B13)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2026-10-16T05:20:17Z</dcterms:created>
  <dc:creator>openpyxl</dc:creator>
  <dc:description/>
  <dc:language>en-US</dc:language>
  <cp:lastModifiedBy/>
  <dcterms:modified xsi:type="dcterms:W3CDTF">2026-10-16T05:20:17Z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