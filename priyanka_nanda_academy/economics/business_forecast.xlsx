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28.xml" ContentType="application/vnd.openxmlformats-officedocument.spreadsheetml.worksheet+xml"/>
  <Override PartName="/xl/worksheets/sheet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Dashboard" sheetId="2" state="visible" r:id="rId4"/>
    <sheet name="Assumptions" sheetId="3" state="visible" r:id="rId5"/>
    <sheet name="Unit_Economics" sheetId="4" state="visible" r:id="rId6"/>
    <sheet name="3yr_Scenarios" sheetId="5" state="visible" r:id="rId7"/>
    <sheet name="BM_Unit_Economics" sheetId="6" state="visible" r:id="rId8"/>
    <sheet name="Capacity" sheetId="7" state="visible" r:id="rId9"/>
    <sheet name="Sensitivity" sheetId="8" state="visible" r:id="rId10"/>
    <sheet name="Outlook_Conservative" sheetId="9" state="visible" r:id="rId11"/>
    <sheet name="Outlook_Base" sheetId="10" state="visible" r:id="rId12"/>
    <sheet name="Outlook_Aggressive" sheetId="11" state="visible" r:id="rId13"/>
    <sheet name="Outlook_Selected" sheetId="12" state="visible" r:id="rId14"/>
    <sheet name="Plan10L_BaseRates" sheetId="13" state="visible" r:id="rId15"/>
    <sheet name="Plan50L_BaseRates" sheetId="14" state="visible" r:id="rId16"/>
    <sheet name="Flex_conv_lo" sheetId="15" state="visible" r:id="rId17"/>
    <sheet name="Flex_conv_hi" sheetId="16" state="visible" r:id="rId18"/>
    <sheet name="Flex_fee_lo" sheetId="17" state="visible" r:id="rId19"/>
    <sheet name="Flex_fee_hi" sheetId="18" state="visible" r:id="rId20"/>
    <sheet name="Flex_fill_lo" sheetId="19" state="visible" r:id="rId21"/>
    <sheet name="Flex_fill_hi" sheetId="20" state="visible" r:id="rId22"/>
    <sheet name="Flex_cpl_lo" sheetId="21" state="visible" r:id="rId23"/>
    <sheet name="Flex_cpl_hi" sheetId="22" state="visible" r:id="rId24"/>
    <sheet name="Flex_var_lo" sheetId="23" state="visible" r:id="rId25"/>
    <sheet name="Flex_var_hi" sheetId="24" state="visible" r:id="rId26"/>
    <sheet name="Flex_rent_lo" sheetId="25" state="visible" r:id="rId27"/>
    <sheet name="Flex_rent_hi" sheetId="26" state="visible" r:id="rId28"/>
    <sheet name="Flex_budget_lo" sheetId="27" state="visible" r:id="rId29"/>
    <sheet name="Flex_budget_hi" sheetId="28" state="visible" r:id="rId30"/>
    <sheet name="Flex_gst_ontop" sheetId="29" state="visible" r:id="rId31"/>
    <sheet name="Checks" sheetId="30" state="visible" r:id="rId3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<sst xmlns="http://schemas.openxmlformats.org/spreadsheetml/2006/main" count="5259" uniqueCount="1262">
  <si>
    <t xml:space="preserve">PNA business forecast - unit economics, 12-month outlook, 3-year scenarios, business-model economics, sensitivity</t>
  </si>
  <si>
    <t xml:space="preserve">Economics &amp; Market Sizing agent, 2026-10-16. Build script: economics/build_scripts/build_business_forecast.py (run via run_all.py).</t>
  </si>
  <si>
    <t xml:space="preserve">Status</t>
  </si>
  <si>
    <t xml:space="preserve">Illustrative, assumption-driven planning model. PNA's actual revenue, fees, costs and enrolments are NOT known; the baseline is CA-01 (&lt;60 students, base 50) x assumed fees (CA-02).</t>
  </si>
  <si>
    <t xml:space="preserve">Scenarios</t>
  </si>
  <si>
    <t xml:space="preserve">Conservative = adverse rates + ₹10L plan; Base = base rates + ₹30L plan; Aggressive = favourable rates + ₹50L plan. Rates vs plan are typed in Assumptions column J; Plan10L_BaseRates and Plan50L_BaseRates isolate the envelope choice (BM stress test 7).</t>
  </si>
  <si>
    <t xml:space="preserve">Alignment</t>
  </si>
  <si>
    <t xml:space="preserve">Growth agent: ladder L1-L5, A-GRO-01..50, paid-media ramp and team lines (growth_marketing_strategy.md §10). BM agent: realised L3 fee A-BM-02 (₹65k/80k/1.0L), batch cap 12, trainer pay A-BM-04, founder path A-BM-10, pop-ups A-BM-06, gates G0-G3b.</t>
  </si>
  <si>
    <t xml:space="preserve">Price</t>
  </si>
  <si>
    <t xml:space="preserve">L3 list ₹90k (A-GRO-06) vs realised ₹80k (A-BM-02): revenue uses realised. Until the proof gate (A-ECO-104: M7 base, M5 aggressive, not in Y1 conservative) PNA charges today's fee CA-02 (₹40k/60k/75k) incl. kit.</t>
  </si>
  <si>
    <t xml:space="preserve">Enrolment engine</t>
  </si>
  <si>
    <t xml:space="preserve">Career demand = seasonality x speed-to-lead factor x [non-paid share x plan target + MIN(paid share x target, budget x career share / effective paid CAC)], then limited by seat capacity. Effective CAC = funnel paid-route CAC x overhead factor calibrated so the Base budget buys the Base target.</t>
  </si>
  <si>
    <t xml:space="preserve">GST</t>
  </si>
  <si>
    <t xml:space="preserve">18% GST on private non-recognised training (A-ECO-23, GST Council flyer). Base assumes quoted fees include GST (revenue = fee/1.18); Flex_gst_ontop shows charging it on top.</t>
  </si>
  <si>
    <t xml:space="preserve">Cash</t>
  </si>
  <si>
    <t xml:space="preserve">Net cash flow = EBITDA + instalment timing (A-ECO-34) - capex/deposits. Excludes income tax, GST input/output timing and any founder draw. Peak cash need is compared with the plan envelope (CA-03).</t>
  </si>
  <si>
    <t xml:space="preserve">Sheets</t>
  </si>
  <si>
    <t xml:space="preserve">Dashboard ; Assumptions ; Unit_Economics ; Capacity ; 3yr_Scenarios ; Sensitivity ; BM_Unit_Economics ; Outlook_* (x3 scenarios + Selected + 2 cross runs) ; Flex_* (sensitivity re-runs) ; Checks</t>
  </si>
  <si>
    <t xml:space="preserve">PNA business forecast - dashboard (₹ lakh unless stated; ex-GST; illustrative, assumption-driven)</t>
  </si>
  <si>
    <t xml:space="preserve">Scenario = rates + plan bundle. Conservative = adverse rates + ₹10L plan; Base = base rates + ₹30L plan; Aggressive = favourable rates + ₹50L plan. Cross runs show the ₹10L / ₹50L plans at Base rates.</t>
  </si>
  <si>
    <t xml:space="preserve">Year-1 (Nov-26 to Oct-27)</t>
  </si>
  <si>
    <t xml:space="preserve">Conservative</t>
  </si>
  <si>
    <t xml:space="preserve">Base</t>
  </si>
  <si>
    <t xml:space="preserve">Aggressive</t>
  </si>
  <si>
    <t xml:space="preserve">₹10L plan @ Base rates</t>
  </si>
  <si>
    <t xml:space="preserve">₹50L plan @ Base rates</t>
  </si>
  <si>
    <t xml:space="preserve">Note</t>
  </si>
  <si>
    <t xml:space="preserve">Revenue, Year 1 (ex-GST)</t>
  </si>
  <si>
    <t xml:space="preserve">EBITDA, Year 1</t>
  </si>
  <si>
    <t xml:space="preserve">EBITDA margin, Year 1</t>
  </si>
  <si>
    <t xml:space="preserve">Memo: Year-1 EBITDA after founder-role salary</t>
  </si>
  <si>
    <t xml:space="preserve">Capex and deposits, Year 1</t>
  </si>
  <si>
    <t xml:space="preserve">Peak cumulative cash need, Year 1</t>
  </si>
  <si>
    <t xml:space="preserve">Investment envelope for this plan (CA-03)</t>
  </si>
  <si>
    <t xml:space="preserve">Headroom: envelope - peak cash need</t>
  </si>
  <si>
    <t xml:space="preserve">Career enrolments, Year 1 (new students)</t>
  </si>
  <si>
    <t xml:space="preserve">Career enrolments per month, months 7-12 average</t>
  </si>
  <si>
    <t xml:space="preserve">Masterclass seats, Year 1</t>
  </si>
  <si>
    <t xml:space="preserve">Seat utilisation, month 12</t>
  </si>
  <si>
    <t xml:space="preserve">First month seats bind (share of demand that fits &lt; 100%)</t>
  </si>
  <si>
    <t xml:space="preserve">Founder share of contact hours, month 12</t>
  </si>
  <si>
    <t xml:space="preserve">Trainers + assistants on payroll, month 12</t>
  </si>
  <si>
    <t xml:space="preserve">Contribution per career enrolment, month 12 (career contribution share)</t>
  </si>
  <si>
    <t xml:space="preserve">Break-even career enrolments per month at month-12 cost base</t>
  </si>
  <si>
    <t xml:space="preserve">Break-even career enrolments per year (x12)</t>
  </si>
  <si>
    <t xml:space="preserve">Effective media CAC per paid career enrolment, months 7-12</t>
  </si>
  <si>
    <t xml:space="preserve">Effective media CAC as % of realised L3 fee (ex-GST)</t>
  </si>
  <si>
    <t xml:space="preserve">Fully loaded acquisition cost / career revenue, months 7-12 (media + growth team + tools + rewards + EMI)</t>
  </si>
  <si>
    <t xml:space="preserve">Career enrolments per month at which fully loaded acquisition = 25% of career revenue (month-12 cost and price)</t>
  </si>
  <si>
    <t xml:space="preserve">EBITDA, last quarter (Aug-Oct 2027)</t>
  </si>
  <si>
    <t xml:space="preserve">First month with EBITDA &gt;= 0</t>
  </si>
  <si>
    <t xml:space="preserve">Cash position, end of Year 1</t>
  </si>
  <si>
    <t xml:space="preserve">Directional 3-year view (₹ lakh)</t>
  </si>
  <si>
    <t xml:space="preserve">Metric</t>
  </si>
  <si>
    <t xml:space="preserve">Cons Y1</t>
  </si>
  <si>
    <t xml:space="preserve">Cons Y2</t>
  </si>
  <si>
    <t xml:space="preserve">Cons Y3</t>
  </si>
  <si>
    <t xml:space="preserve">Base Y1</t>
  </si>
  <si>
    <t xml:space="preserve">Base Y2</t>
  </si>
  <si>
    <t xml:space="preserve">Base Y3</t>
  </si>
  <si>
    <t xml:space="preserve">Aggr Y1</t>
  </si>
  <si>
    <t xml:space="preserve">Aggr Y2</t>
  </si>
  <si>
    <t xml:space="preserve">Aggr Y3</t>
  </si>
  <si>
    <t xml:space="preserve">Total revenue</t>
  </si>
  <si>
    <t xml:space="preserve">EBITDA</t>
  </si>
  <si>
    <t xml:space="preserve">EBITDA margin</t>
  </si>
  <si>
    <t xml:space="preserve">Career enrolments delivered</t>
  </si>
  <si>
    <t xml:space="preserve">Peak cash need to date</t>
  </si>
  <si>
    <t xml:space="preserve">Sensitivity (Base Year-1 EBITDA swing, ₹ lakh) - see Sensitivity sheet</t>
  </si>
  <si>
    <t xml:space="preserve">Assumptions register (inputs)</t>
  </si>
  <si>
    <t xml:space="preserve">Blue = input. Scenario columns: Conservative = adverse rates + ₹10L plan; Base = base rates + ₹30L plan; Aggressive = favourable rates + ₹50L plan. Column J 'Type': rate (prices, conversion, wages) or plan (what the plan buys).</t>
  </si>
  <si>
    <t xml:space="preserve">Scenario selector</t>
  </si>
  <si>
    <t xml:space="preserve">&lt;- choose Conservative / Base / Aggressive (drives column I 'Selected' and any sheet that uses it)</t>
  </si>
  <si>
    <t xml:space="preserve">Scenario index</t>
  </si>
  <si>
    <t xml:space="preserve">ID</t>
  </si>
  <si>
    <t xml:space="preserve">Description</t>
  </si>
  <si>
    <t xml:space="preserve">Unit</t>
  </si>
  <si>
    <t xml:space="preserve">Source / rationale</t>
  </si>
  <si>
    <t xml:space="preserve">Tag</t>
  </si>
  <si>
    <t xml:space="preserve">Selected</t>
  </si>
  <si>
    <t xml:space="preserve">Type</t>
  </si>
  <si>
    <t xml:space="preserve">1. Shared with funnel_economics.xlsx (assumption_values.py): canonical, prices, funnel, delivery costs, Growth budget lines</t>
  </si>
  <si>
    <t xml:space="preserve">CA-01</t>
  </si>
  <si>
    <t xml:space="preserve">PNA paying students per year today (all courses)</t>
  </si>
  <si>
    <t xml:space="preserve">students/yr</t>
  </si>
  <si>
    <t xml:space="preserve">Founder: 'under 60' (2026-10-16)</t>
  </si>
  <si>
    <t xml:space="preserve">[FOUNDER]</t>
  </si>
  <si>
    <t xml:space="preserve">rate</t>
  </si>
  <si>
    <t xml:space="preserve">CA-02</t>
  </si>
  <si>
    <t xml:space="preserve">Current flagship professional course fee (incl. kit)</t>
  </si>
  <si>
    <t xml:space="preserve">₹</t>
  </si>
  <si>
    <t xml:space="preserve">Not supplied; local diploma band ₹35-75k (S-LC §6)</t>
  </si>
  <si>
    <t xml:space="preserve">[HYP]</t>
  </si>
  <si>
    <t xml:space="preserve">CA-03</t>
  </si>
  <si>
    <t xml:space="preserve">Growth investment envelope, 12 months</t>
  </si>
  <si>
    <t xml:space="preserve">Founder: moderate ₹10-50L</t>
  </si>
  <si>
    <t xml:space="preserve">plan</t>
  </si>
  <si>
    <t xml:space="preserve">A-ECO-101</t>
  </si>
  <si>
    <t xml:space="preserve">Career (L2/L3-type) share of today's students</t>
  </si>
  <si>
    <t xml:space="preserve">%</t>
  </si>
  <si>
    <t xml:space="preserve">Assumed mix; founder data pull (V1) to replace</t>
  </si>
  <si>
    <t xml:space="preserve">A-ECO-102</t>
  </si>
  <si>
    <t xml:space="preserve">Average fee of today's short courses / masterclasses</t>
  </si>
  <si>
    <t xml:space="preserve">Local short-course band ₹6.5-25k (S-LC §6)</t>
  </si>
  <si>
    <t xml:space="preserve">A-ECO-103</t>
  </si>
  <si>
    <t xml:space="preserve">Pro kit cost borne by PNA while fee includes kit (pre price-step)</t>
  </si>
  <si>
    <t xml:space="preserve">₹/student</t>
  </si>
  <si>
    <t xml:space="preserve">Growth agent: optional kit ₹18-25k at near cost; basic included kit assumed cheaper</t>
  </si>
  <si>
    <t xml:space="preserve">A-ECO-23</t>
  </si>
  <si>
    <t xml:space="preserve">GST rate on PNA training (private, non-recognised; SAC 9992)</t>
  </si>
  <si>
    <t xml:space="preserve">GST Council education flyer: private/unrecognised coaching not exempt (https://www.gstcouncil.gov.in/sites/default/files/e-version-gst-flyers/GST_Education_Services.pdf, accessed 2026-10-16); AAR Kerala 2022 -&gt; 18% under 9992</t>
  </si>
  <si>
    <t xml:space="preserve">[FACT] rule / [HYP] PNA</t>
  </si>
  <si>
    <t xml:space="preserve">A-ECO-24</t>
  </si>
  <si>
    <t xml:space="preserve">Fees quoted GST-inclusive? (1 = PNA absorbs GST from list fee; 0 = GST charged on top)</t>
  </si>
  <si>
    <t xml:space="preserve">switch</t>
  </si>
  <si>
    <t xml:space="preserve">Consumer academies mostly quote one number; DBA quotes ex-GST, Pearl incl. GST (S-NC-26, S-IND-23). Sensitivity flips it</t>
  </si>
  <si>
    <t xml:space="preserve">A-GRO-04</t>
  </si>
  <si>
    <t xml:space="preserve">L1 Career Taster ticket</t>
  </si>
  <si>
    <t xml:space="preserve">A-GRO-04 base (range ₹499-1,999); credited on enrolment</t>
  </si>
  <si>
    <t xml:space="preserve">A-GRO-05</t>
  </si>
  <si>
    <t xml:space="preserve">L2 Foundation fee (4 weeks, ~80 h)</t>
  </si>
  <si>
    <t xml:space="preserve">A-GRO-05 (Aggressive = midpoint of Growth base/high to avoid stacking upsides)</t>
  </si>
  <si>
    <t xml:space="preserve">A-GRO-06</t>
  </si>
  <si>
    <t xml:space="preserve">L3 Professional Bridal Programme list tuition (after proof gate; kit optional)</t>
  </si>
  <si>
    <t xml:space="preserve">A-BM-02</t>
  </si>
  <si>
    <t xml:space="preserve">L3 realised fee after discounts/credits (after proof gate)</t>
  </si>
  <si>
    <t xml:space="preserve">A-BM-02 (list ₹90k-1.25L)</t>
  </si>
  <si>
    <t xml:space="preserve">A-GRO-07</t>
  </si>
  <si>
    <t xml:space="preserve">L4 masterclass average ticket</t>
  </si>
  <si>
    <t xml:space="preserve">A-GRO-07 (Aggressive = midpoint of base ₹10k / high ₹18k)</t>
  </si>
  <si>
    <t xml:space="preserve">A-GRO-08</t>
  </si>
  <si>
    <t xml:space="preserve">L1-S5 self-makeup workshop price</t>
  </si>
  <si>
    <t xml:space="preserve">A-GRO-08 (Aggressive = midpoint)</t>
  </si>
  <si>
    <t xml:space="preserve">A-GRO-09</t>
  </si>
  <si>
    <t xml:space="preserve">L5 Pro Circle membership</t>
  </si>
  <si>
    <t xml:space="preserve">₹/yr</t>
  </si>
  <si>
    <t xml:space="preserve">A-GRO-09 (Aggressive = midpoint); free year 1 for L3 graduates</t>
  </si>
  <si>
    <t xml:space="preserve">A-ECO-17</t>
  </si>
  <si>
    <t xml:space="preserve">Hybrid Pro (online pre-work + 5-6 wk intensive) realised fee, at L3 parity</t>
  </si>
  <si>
    <t xml:space="preserve">Growth/BM: hybrid at L3 price parity; = A-BM-02</t>
  </si>
  <si>
    <t xml:space="preserve">A-GRO-01</t>
  </si>
  <si>
    <t xml:space="preserve">Career enrolments (L2+L3) per month, steady state (months 7-12)</t>
  </si>
  <si>
    <t xml:space="preserve">enrol/mo</t>
  </si>
  <si>
    <t xml:space="preserve">A-GRO-02</t>
  </si>
  <si>
    <t xml:space="preserve">Pro (L3) share of career enrolments</t>
  </si>
  <si>
    <t xml:space="preserve">A-GRO-03a</t>
  </si>
  <si>
    <t xml:space="preserve">Route mix: Meta CTWA</t>
  </si>
  <si>
    <t xml:space="preserve">A-GRO-03</t>
  </si>
  <si>
    <t xml:space="preserve">A-GRO-03b</t>
  </si>
  <si>
    <t xml:space="preserve">Route mix: Paid Search</t>
  </si>
  <si>
    <t xml:space="preserve">A-GRO-03c</t>
  </si>
  <si>
    <t xml:space="preserve">Route mix: Organic (IG/site/GBP/SEO)</t>
  </si>
  <si>
    <t xml:space="preserve">A-GRO-03d</t>
  </si>
  <si>
    <t xml:space="preserve">Route mix: Referral / alumni / walk-in</t>
  </si>
  <si>
    <t xml:space="preserve">A-GRO-03e</t>
  </si>
  <si>
    <t xml:space="preserve">Route mix: Paid Career Taster</t>
  </si>
  <si>
    <t xml:space="preserve">A-GRO-10</t>
  </si>
  <si>
    <t xml:space="preserve">Meta CTWA cost per lead, tricity</t>
  </si>
  <si>
    <t xml:space="preserve">₹/lead</t>
  </si>
  <si>
    <t xml:space="preserve">A-GRO-10 (High=conservative)</t>
  </si>
  <si>
    <t xml:space="preserve">A-GRO-11</t>
  </si>
  <si>
    <t xml:space="preserve">Meta CTWA cost per lead, regional tier-2</t>
  </si>
  <si>
    <t xml:space="preserve">A-GRO-12</t>
  </si>
  <si>
    <t xml:space="preserve">Google Search cost per lead</t>
  </si>
  <si>
    <t xml:space="preserve">A-GRO-15</t>
  </si>
  <si>
    <t xml:space="preserve">Cost per Taster ticket sold</t>
  </si>
  <si>
    <t xml:space="preserve">₹/ticket</t>
  </si>
  <si>
    <t xml:space="preserve">A-GRO-16</t>
  </si>
  <si>
    <t xml:space="preserve">Cost per masterclass lead (paid)</t>
  </si>
  <si>
    <t xml:space="preserve">A-GRO-17</t>
  </si>
  <si>
    <t xml:space="preserve">Cost per self-makeup lead (paid)</t>
  </si>
  <si>
    <t xml:space="preserve">A-GRO-18b-MC</t>
  </si>
  <si>
    <t xml:space="preserve">Paid share of masterclass leads</t>
  </si>
  <si>
    <t xml:space="preserve">A-GRO-18b (more organic = cheaper)</t>
  </si>
  <si>
    <t xml:space="preserve">A-GRO-18b-SM</t>
  </si>
  <si>
    <t xml:space="preserve">Paid share of self-makeup leads</t>
  </si>
  <si>
    <t xml:space="preserve">A-GRO-18b</t>
  </si>
  <si>
    <t xml:space="preserve">A-GRO-18a</t>
  </si>
  <si>
    <t xml:space="preserve">Meta CTWA: Lead-&gt;QL</t>
  </si>
  <si>
    <t xml:space="preserve">A-GRO-18 scenario set</t>
  </si>
  <si>
    <t xml:space="preserve">Meta CTWA: QL-&gt;Counselled</t>
  </si>
  <si>
    <t xml:space="preserve">A-GRO-18c</t>
  </si>
  <si>
    <t xml:space="preserve">Meta CTWA: Counselled-&gt;Applied</t>
  </si>
  <si>
    <t xml:space="preserve">A-GRO-18d</t>
  </si>
  <si>
    <t xml:space="preserve">Meta CTWA: Applied-&gt;Enrolled</t>
  </si>
  <si>
    <t xml:space="preserve">A-GRO-19a</t>
  </si>
  <si>
    <t xml:space="preserve">Paid Search: Lead-&gt;QL</t>
  </si>
  <si>
    <t xml:space="preserve">A-GRO-19 scenario set</t>
  </si>
  <si>
    <t xml:space="preserve">A-GRO-19b</t>
  </si>
  <si>
    <t xml:space="preserve">Paid Search: QL-&gt;Counselled</t>
  </si>
  <si>
    <t xml:space="preserve">A-GRO-19c</t>
  </si>
  <si>
    <t xml:space="preserve">Paid Search: Counselled-&gt;Applied</t>
  </si>
  <si>
    <t xml:space="preserve">A-GRO-19d</t>
  </si>
  <si>
    <t xml:space="preserve">Paid Search: Applied-&gt;Enrolled</t>
  </si>
  <si>
    <t xml:space="preserve">A-GRO-20a</t>
  </si>
  <si>
    <t xml:space="preserve">Organic: Lead-&gt;QL</t>
  </si>
  <si>
    <t xml:space="preserve">A-GRO-20 scenario set</t>
  </si>
  <si>
    <t xml:space="preserve">A-GRO-20b</t>
  </si>
  <si>
    <t xml:space="preserve">Organic: QL-&gt;Counselled</t>
  </si>
  <si>
    <t xml:space="preserve">A-GRO-20c</t>
  </si>
  <si>
    <t xml:space="preserve">Organic: Counselled-&gt;Applied</t>
  </si>
  <si>
    <t xml:space="preserve">A-GRO-20d</t>
  </si>
  <si>
    <t xml:space="preserve">Organic: Applied-&gt;Enrolled</t>
  </si>
  <si>
    <t xml:space="preserve">A-GRO-21a</t>
  </si>
  <si>
    <t xml:space="preserve">Referral/walk-in: Lead-&gt;QL</t>
  </si>
  <si>
    <t xml:space="preserve">A-GRO-21 scenario set</t>
  </si>
  <si>
    <t xml:space="preserve">A-GRO-21b</t>
  </si>
  <si>
    <t xml:space="preserve">Referral/walk-in: QL-&gt;Counselled</t>
  </si>
  <si>
    <t xml:space="preserve">A-GRO-21c</t>
  </si>
  <si>
    <t xml:space="preserve">Referral/walk-in: Counselled-&gt;Applied</t>
  </si>
  <si>
    <t xml:space="preserve">A-GRO-21d</t>
  </si>
  <si>
    <t xml:space="preserve">Referral/walk-in: Applied-&gt;Enrolled</t>
  </si>
  <si>
    <t xml:space="preserve">A-GRO-22a</t>
  </si>
  <si>
    <t xml:space="preserve">Taster: ticket -&gt; attend</t>
  </si>
  <si>
    <t xml:space="preserve">A-GRO-22</t>
  </si>
  <si>
    <t xml:space="preserve">A-GRO-22b</t>
  </si>
  <si>
    <t xml:space="preserve">Taster: attendee -&gt; counselled</t>
  </si>
  <si>
    <t xml:space="preserve">A-GRO-22c</t>
  </si>
  <si>
    <t xml:space="preserve">Taster: counselled -&gt; enrolled (&lt;=60 days)</t>
  </si>
  <si>
    <t xml:space="preserve">A-GRO-24</t>
  </si>
  <si>
    <t xml:space="preserve">Lead-&gt;QL multiplier if speed-to-lead SLA NOT met (median &gt;1 h)</t>
  </si>
  <si>
    <t xml:space="preserve">x</t>
  </si>
  <si>
    <t xml:space="preserve">A-GRO-24 (inverse of A-CUS-16)</t>
  </si>
  <si>
    <t xml:space="preserve">A-GRO-25</t>
  </si>
  <si>
    <t xml:space="preserve">Founder-touch multiplier on counselled-&gt;applied (premium lost when team-led)</t>
  </si>
  <si>
    <t xml:space="preserve">A-GRO-25 / A-CUS-30 (larger premium = more conversion lost as founder steps back)</t>
  </si>
  <si>
    <t xml:space="preserve">A-GRO-26a</t>
  </si>
  <si>
    <t xml:space="preserve">Online parents' session: registrant -&gt; attendee</t>
  </si>
  <si>
    <t xml:space="preserve">A-GRO-26</t>
  </si>
  <si>
    <t xml:space="preserve">A-GRO-26b</t>
  </si>
  <si>
    <t xml:space="preserve">Online parents' session: attendee -&gt; counselling booked</t>
  </si>
  <si>
    <t xml:space="preserve">A-GRO-27</t>
  </si>
  <si>
    <t xml:space="preserve">Masterclass lead -&gt; purchase</t>
  </si>
  <si>
    <t xml:space="preserve">A-GRO-28</t>
  </si>
  <si>
    <t xml:space="preserve">Self-makeup lead -&gt; booking</t>
  </si>
  <si>
    <t xml:space="preserve">A-GRO-29</t>
  </si>
  <si>
    <t xml:space="preserve">Masterclass repeat purchase per year (S3/alumni)</t>
  </si>
  <si>
    <t xml:space="preserve">A-GRO-30</t>
  </si>
  <si>
    <t xml:space="preserve">Self-makeup -&gt; career upgrade</t>
  </si>
  <si>
    <t xml:space="preserve">A-GRO-31</t>
  </si>
  <si>
    <t xml:space="preserve">Career completion</t>
  </si>
  <si>
    <t xml:space="preserve">A-GRO-33</t>
  </si>
  <si>
    <t xml:space="preserve">Referral leads per alumnus per year</t>
  </si>
  <si>
    <t xml:space="preserve">leads</t>
  </si>
  <si>
    <t xml:space="preserve">A-GRO-34</t>
  </si>
  <si>
    <t xml:space="preserve">Referral reward per enrolled referee</t>
  </si>
  <si>
    <t xml:space="preserve">A-GRO-34 (High=conservative)</t>
  </si>
  <si>
    <t xml:space="preserve">A-GRO-35</t>
  </si>
  <si>
    <t xml:space="preserve">EMI uptake (L3)</t>
  </si>
  <si>
    <t xml:space="preserve">A-GRO-35 (more EMI = more subvention)</t>
  </si>
  <si>
    <t xml:space="preserve">A-GRO-35b</t>
  </si>
  <si>
    <t xml:space="preserve">No-cost EMI subvention borne by PNA</t>
  </si>
  <si>
    <t xml:space="preserve">A-GRO-36</t>
  </si>
  <si>
    <t xml:space="preserve">Pro Circle paid uptake: graduates after free year</t>
  </si>
  <si>
    <t xml:space="preserve">A-GRO-36b</t>
  </si>
  <si>
    <t xml:space="preserve">Pro Circle paid uptake: S3 masterclass buyers</t>
  </si>
  <si>
    <t xml:space="preserve">A-GRO-37</t>
  </si>
  <si>
    <t xml:space="preserve">Out-of-town share of career enrolments</t>
  </si>
  <si>
    <t xml:space="preserve">A-GRO-37 / A-CHD-04</t>
  </si>
  <si>
    <t xml:space="preserve">A-GRO-38</t>
  </si>
  <si>
    <t xml:space="preserve">Counsellor capacity (conversations/day; 24 working days)</t>
  </si>
  <si>
    <t xml:space="preserve">conv/day</t>
  </si>
  <si>
    <t xml:space="preserve">A-GRO-41</t>
  </si>
  <si>
    <t xml:space="preserve">Payment gateway fee</t>
  </si>
  <si>
    <t xml:space="preserve">A-GRO-41 (Razorpay 2% + GST, claim)</t>
  </si>
  <si>
    <t xml:space="preserve">[CLAIM]</t>
  </si>
  <si>
    <t xml:space="preserve">A-GRO-43</t>
  </si>
  <si>
    <t xml:space="preserve">Organic career leads per month, months 7-12 (Growth agent check value)</t>
  </si>
  <si>
    <t xml:space="preserve">leads/mo</t>
  </si>
  <si>
    <t xml:space="preserve">A-GRO-43 (model derives its own)</t>
  </si>
  <si>
    <t xml:space="preserve">A-GRO-44</t>
  </si>
  <si>
    <t xml:space="preserve">Referral + walk-in career leads per month, months 7-12 (check value)</t>
  </si>
  <si>
    <t xml:space="preserve">A-ECO-30</t>
  </si>
  <si>
    <t xml:space="preserve">Webinar / pop-up promotion cost per registrant</t>
  </si>
  <si>
    <t xml:space="preserve">₹/registrant</t>
  </si>
  <si>
    <t xml:space="preserve">Regional CTWA CPL ₹120-500 (A-GRO-11) x ~40% registration</t>
  </si>
  <si>
    <t xml:space="preserve">A-ECO-31</t>
  </si>
  <si>
    <t xml:space="preserve">Online parents' info sessions per month (registrants per session 30)</t>
  </si>
  <si>
    <t xml:space="preserve">sessions/mo</t>
  </si>
  <si>
    <t xml:space="preserve">Growth agent §8.1: monthly session, 30 registrants (A-GRO §10.3)</t>
  </si>
  <si>
    <t xml:space="preserve">A-ECO-32</t>
  </si>
  <si>
    <t xml:space="preserve">Registrants per online session</t>
  </si>
  <si>
    <t xml:space="preserve">registrants</t>
  </si>
  <si>
    <t xml:space="preserve">A-GRO §10.3</t>
  </si>
  <si>
    <t xml:space="preserve">A-BM-06a</t>
  </si>
  <si>
    <t xml:space="preserve">Pop-up discovery workshop: paid attendees per event</t>
  </si>
  <si>
    <t xml:space="preserve">attendees</t>
  </si>
  <si>
    <t xml:space="preserve">A-BM-06 (25-40)</t>
  </si>
  <si>
    <t xml:space="preserve">A-BM-06b</t>
  </si>
  <si>
    <t xml:space="preserve">Pop-up ticket price</t>
  </si>
  <si>
    <t xml:space="preserve">A-BM-06 (₹999-1,999; breakeven ~36 at ₹1,499)</t>
  </si>
  <si>
    <t xml:space="preserve">A-BM-06c</t>
  </si>
  <si>
    <t xml:space="preserve">Pop-up cost per event-day (venue, travel, models, ads, staff)</t>
  </si>
  <si>
    <t xml:space="preserve">₹/event</t>
  </si>
  <si>
    <t xml:space="preserve">A-BM-06 ₹45-60k</t>
  </si>
  <si>
    <t xml:space="preserve">A-BM-06d</t>
  </si>
  <si>
    <t xml:space="preserve">Pop-up attendee -&gt; L3/L2 enrolment within 60 days</t>
  </si>
  <si>
    <t xml:space="preserve">A-BM-06 8-15%; A-CUS-19</t>
  </si>
  <si>
    <t xml:space="preserve">A-ECO-33</t>
  </si>
  <si>
    <t xml:space="preserve">Pop-up events per month at steady state (regional engine; G2)</t>
  </si>
  <si>
    <t xml:space="preserve">events/mo</t>
  </si>
  <si>
    <t xml:space="preserve">BM §6.2: pilots ≤₹2L before G2; circuit after G2</t>
  </si>
  <si>
    <t xml:space="preserve">A-ECO-34</t>
  </si>
  <si>
    <t xml:space="preserve">Payment months for career fees (token + instalments / NBFC)</t>
  </si>
  <si>
    <t xml:space="preserve">months</t>
  </si>
  <si>
    <t xml:space="preserve">Token + 2 instalments; NBFC pays upfront when EMI used</t>
  </si>
  <si>
    <t xml:space="preserve">A-ECO-35</t>
  </si>
  <si>
    <t xml:space="preserve">Masterclasses bought per career graduate within 24 months</t>
  </si>
  <si>
    <t xml:space="preserve">purchases</t>
  </si>
  <si>
    <t xml:space="preserve">A-GRO-29 30%/yr repeat applied to alumni</t>
  </si>
  <si>
    <t xml:space="preserve">A-ECO-36</t>
  </si>
  <si>
    <t xml:space="preserve">L2 Foundation -&gt; L3 upgrade share (fee credited)</t>
  </si>
  <si>
    <t xml:space="preserve">Growth ladder: L2 fee credited to L3 within 6 months</t>
  </si>
  <si>
    <t xml:space="preserve">A-ECO-37</t>
  </si>
  <si>
    <t xml:space="preserve">Optional kit uptake x margin (post price-step, near-cost kit ₹20k)</t>
  </si>
  <si>
    <t xml:space="preserve">₹/L3 student</t>
  </si>
  <si>
    <t xml:space="preserve">Growth: kit optional at near cost, itemised MRP</t>
  </si>
  <si>
    <t xml:space="preserve">A-BM-16</t>
  </si>
  <si>
    <t xml:space="preserve">L3 consumables / models per student (excl. kit)</t>
  </si>
  <si>
    <t xml:space="preserve">A-BM-16 ₹5-7k</t>
  </si>
  <si>
    <t xml:space="preserve">A-ECO-40</t>
  </si>
  <si>
    <t xml:space="preserve">L2 consumables per student</t>
  </si>
  <si>
    <t xml:space="preserve">1/3 of L3 duration</t>
  </si>
  <si>
    <t xml:space="preserve">A-ECO-41</t>
  </si>
  <si>
    <t xml:space="preserve">Hybrid: online delivery (LMS, live Q&amp;A) + campus consumables per student</t>
  </si>
  <si>
    <t xml:space="preserve">BM D-destination: shorter campus stay</t>
  </si>
  <si>
    <t xml:space="preserve">A-ECO-42</t>
  </si>
  <si>
    <t xml:space="preserve">L4 masterclass consumables / models per seat</t>
  </si>
  <si>
    <t xml:space="preserve">₹/seat</t>
  </si>
  <si>
    <t xml:space="preserve">Judgement</t>
  </si>
  <si>
    <t xml:space="preserve">A-ECO-43</t>
  </si>
  <si>
    <t xml:space="preserve">L1-S5 self-makeup cost per seat (own products used)</t>
  </si>
  <si>
    <t xml:space="preserve">A-ECO-44</t>
  </si>
  <si>
    <t xml:space="preserve">Taster delivery cost per ticket (trainer time share + products)</t>
  </si>
  <si>
    <t xml:space="preserve">A-ECO-45</t>
  </si>
  <si>
    <t xml:space="preserve">Pro Circle cost to serve per paid member-year</t>
  </si>
  <si>
    <t xml:space="preserve">₹/member</t>
  </si>
  <si>
    <t xml:space="preserve">Monthly online session + quarterly practice day</t>
  </si>
  <si>
    <t xml:space="preserve">A-BM-04a</t>
  </si>
  <si>
    <t xml:space="preserve">Lead trainer salary</t>
  </si>
  <si>
    <t xml:space="preserve">₹/mo</t>
  </si>
  <si>
    <t xml:space="preserve">A-BM-04 ₹50-80k</t>
  </si>
  <si>
    <t xml:space="preserve">A-BM-04b</t>
  </si>
  <si>
    <t xml:space="preserve">Trainer salary</t>
  </si>
  <si>
    <t xml:space="preserve">A-BM-04 ₹30-45k</t>
  </si>
  <si>
    <t xml:space="preserve">A-BM-04c</t>
  </si>
  <si>
    <t xml:space="preserve">Assistant salary</t>
  </si>
  <si>
    <t xml:space="preserve">A-BM-04 ₹15-20k</t>
  </si>
  <si>
    <t xml:space="preserve">A-ECO-46</t>
  </si>
  <si>
    <t xml:space="preserve">Batch slots one trainer FTE can lead (morning + afternoon)</t>
  </si>
  <si>
    <t xml:space="preserve">slots</t>
  </si>
  <si>
    <t xml:space="preserve">A-ECO-47</t>
  </si>
  <si>
    <t xml:space="preserve">Average cohort fill (students per L3/L2 batch; cap 12, A-BM-01)</t>
  </si>
  <si>
    <t xml:space="preserve">students</t>
  </si>
  <si>
    <t xml:space="preserve">A-BM-01 cap 12</t>
  </si>
  <si>
    <t xml:space="preserve">A-ECO-48</t>
  </si>
  <si>
    <t xml:space="preserve">L3 seat-months per student (12-week programme)</t>
  </si>
  <si>
    <t xml:space="preserve">seat-months</t>
  </si>
  <si>
    <t xml:space="preserve">A-BM-03</t>
  </si>
  <si>
    <t xml:space="preserve">[EST]</t>
  </si>
  <si>
    <t xml:space="preserve">A-ECO-49</t>
  </si>
  <si>
    <t xml:space="preserve">Destination/hybrid seat-months per student (4-wk online pre-work + 5-6-wk full-day intensive = Growth Fast-track)</t>
  </si>
  <si>
    <t xml:space="preserve">A-BM-03; ~1.2 months x 2 slots</t>
  </si>
  <si>
    <t xml:space="preserve">A-ECO-104</t>
  </si>
  <si>
    <t xml:space="preserve">Month the L3 price steps from CA-02 to A-GRO-06/A-BM-02 (proof gate: outcomes report + &gt;=30 reviews)</t>
  </si>
  <si>
    <t xml:space="preserve">month #</t>
  </si>
  <si>
    <t xml:space="preserve">Growth agent §6: hold current fee for next two batches (~6 months); Conservative clears the gate late (M10)</t>
  </si>
  <si>
    <t xml:space="preserve">A-ECO-105</t>
  </si>
  <si>
    <t xml:space="preserve">Month from which the &lt;5-min speed-to-lead SLA is met (counsellor + CRM live)</t>
  </si>
  <si>
    <t xml:space="preserve">BM gate G0 by M3</t>
  </si>
  <si>
    <t xml:space="preserve">A-GRO-42</t>
  </si>
  <si>
    <t xml:space="preserve">Martech stack run-rate (BSP + CRM + telephony + tools)</t>
  </si>
  <si>
    <t xml:space="preserve">A-GRO-42 as used in Growth §10 budget</t>
  </si>
  <si>
    <t xml:space="preserve">A-GRO-45</t>
  </si>
  <si>
    <t xml:space="preserve">Admissions counsellor (FTE, incl. incentive)</t>
  </si>
  <si>
    <t xml:space="preserve">Growth §10 budget usage (A-GRO-45 range ₹20-32k)</t>
  </si>
  <si>
    <t xml:space="preserve">A-GRO-46</t>
  </si>
  <si>
    <t xml:space="preserve">Marketing/content team (B: exec ₹35k; A: manager ₹45k + creator ₹30k)</t>
  </si>
  <si>
    <t xml:space="preserve">Growth §10</t>
  </si>
  <si>
    <t xml:space="preserve">A-GRO-47</t>
  </si>
  <si>
    <t xml:space="preserve">Freelance shooter/editor retainer</t>
  </si>
  <si>
    <t xml:space="preserve">A-GRO-48</t>
  </si>
  <si>
    <t xml:space="preserve">Performance-marketing freelancer/agency</t>
  </si>
  <si>
    <t xml:space="preserve">A-GRO-49</t>
  </si>
  <si>
    <t xml:space="preserve">Website rebuild (one-off)</t>
  </si>
  <si>
    <t xml:space="preserve">A-GRO-50</t>
  </si>
  <si>
    <t xml:space="preserve">SEO content freelancer</t>
  </si>
  <si>
    <t xml:space="preserve">2. Forecast-specific (A-ECO, A-BM, Growth budget ramp, seasonality, 3-year drivers)</t>
  </si>
  <si>
    <t xml:space="preserve">A-ECO-FUN-01</t>
  </si>
  <si>
    <t xml:space="preserve">Paid-route media CAC (CTWA + Search + Taster net), from funnel_economics.xlsx Summary</t>
  </si>
  <si>
    <t xml:space="preserve">₹/enrol</t>
  </si>
  <si>
    <t xml:space="preserve">Pasted by run_all.py from funnel_economics.xlsx (Funnel_* row 'Paid-route media CAC')</t>
  </si>
  <si>
    <t xml:space="preserve">[EST] model output</t>
  </si>
  <si>
    <t xml:space="preserve">A-ECO-FUN-02</t>
  </si>
  <si>
    <t xml:space="preserve">Funnel-required career media per month at target, from funnel_economics.xlsx</t>
  </si>
  <si>
    <t xml:space="preserve">Pasted by run_all.py (comparison only)</t>
  </si>
  <si>
    <t xml:space="preserve">A-ECO-FUN-03</t>
  </si>
  <si>
    <t xml:space="preserve">Masterclass media per seat (inside the Growth paid budget), from funnel_economics.xlsx</t>
  </si>
  <si>
    <t xml:space="preserve">Pasted by run_all.py</t>
  </si>
  <si>
    <t xml:space="preserve">A-ECO-FUN-04</t>
  </si>
  <si>
    <t xml:space="preserve">Self-makeup media per seat (inside the Growth paid budget), from funnel_economics.xlsx</t>
  </si>
  <si>
    <t xml:space="preserve">A-ECO-50</t>
  </si>
  <si>
    <t xml:space="preserve">Share of the paid-media budget that buys career (L2/L3) leads</t>
  </si>
  <si>
    <t xml:space="preserve">marketing_channel_plan.md rows 8-15: career CTWA, regional, Search, brand, taster half of M3, retargeting ≈70% of base ₹1.0L</t>
  </si>
  <si>
    <t xml:space="preserve">A-ECO-51</t>
  </si>
  <si>
    <t xml:space="preserve">Awareness/retargeting overhead factor on funnel CAC (calibrated so the Base plan budget buys the Base target at steady state)</t>
  </si>
  <si>
    <t xml:space="preserve">Calibrated: A-ECO-50 x Base Oct-27 budget / (A-GRO-01 base x paid mix x A-ECO-FUN-01 base)</t>
  </si>
  <si>
    <t xml:space="preserve">[EST] calibration</t>
  </si>
  <si>
    <t xml:space="preserve">A-GRO-BUD-01</t>
  </si>
  <si>
    <t xml:space="preserve">Paid media budget, month 1 (Nov-26)</t>
  </si>
  <si>
    <t xml:space="preserve">growth_marketing_strategy.md §6.4/§10; marketing_channel_plan.md §3.2 (Mar+ only if spend gates green)</t>
  </si>
  <si>
    <t xml:space="preserve">A-GRO-BUD-02</t>
  </si>
  <si>
    <t xml:space="preserve">Paid media budget, month 2 (Dec-26)</t>
  </si>
  <si>
    <t xml:space="preserve">A-GRO-BUD-03</t>
  </si>
  <si>
    <t xml:space="preserve">Paid media budget, month 3 (Jan-27)</t>
  </si>
  <si>
    <t xml:space="preserve">A-GRO-BUD-04</t>
  </si>
  <si>
    <t xml:space="preserve">Paid media budget, month 4 (Feb-27)</t>
  </si>
  <si>
    <t xml:space="preserve">A-GRO-BUD-05</t>
  </si>
  <si>
    <t xml:space="preserve">Paid media budget, month 5 (Mar-27)</t>
  </si>
  <si>
    <t xml:space="preserve">A-GRO-BUD-06</t>
  </si>
  <si>
    <t xml:space="preserve">Paid media budget, month 6 (Apr-27)</t>
  </si>
  <si>
    <t xml:space="preserve">A-GRO-BUD-07</t>
  </si>
  <si>
    <t xml:space="preserve">Paid media budget, month 7 (May-27)</t>
  </si>
  <si>
    <t xml:space="preserve">A-GRO-BUD-08</t>
  </si>
  <si>
    <t xml:space="preserve">Paid media budget, month 8 (Jun-27)</t>
  </si>
  <si>
    <t xml:space="preserve">A-GRO-BUD-09</t>
  </si>
  <si>
    <t xml:space="preserve">Paid media budget, month 9 (Jul-27)</t>
  </si>
  <si>
    <t xml:space="preserve">A-GRO-BUD-10</t>
  </si>
  <si>
    <t xml:space="preserve">Paid media budget, month 10 (Aug-27)</t>
  </si>
  <si>
    <t xml:space="preserve">A-GRO-BUD-11</t>
  </si>
  <si>
    <t xml:space="preserve">Paid media budget, month 11 (Sep-27)</t>
  </si>
  <si>
    <t xml:space="preserve">A-GRO-BUD-12</t>
  </si>
  <si>
    <t xml:space="preserve">Paid media budget, month 12 (Oct-27)</t>
  </si>
  <si>
    <t xml:space="preserve">A-GRO-40-01</t>
  </si>
  <si>
    <t xml:space="preserve">Career-enquiry seasonality, calendar month 1</t>
  </si>
  <si>
    <t xml:space="preserve">index</t>
  </si>
  <si>
    <t xml:space="preserve">A-GRO-40 (Jan..Dec, sums to 12)</t>
  </si>
  <si>
    <t xml:space="preserve">A-GRO-40-02</t>
  </si>
  <si>
    <t xml:space="preserve">Career-enquiry seasonality, calendar month 2</t>
  </si>
  <si>
    <t xml:space="preserve">A-GRO-40-03</t>
  </si>
  <si>
    <t xml:space="preserve">Career-enquiry seasonality, calendar month 3</t>
  </si>
  <si>
    <t xml:space="preserve">A-GRO-40-04</t>
  </si>
  <si>
    <t xml:space="preserve">Career-enquiry seasonality, calendar month 4</t>
  </si>
  <si>
    <t xml:space="preserve">A-GRO-40-05</t>
  </si>
  <si>
    <t xml:space="preserve">Career-enquiry seasonality, calendar month 5</t>
  </si>
  <si>
    <t xml:space="preserve">A-GRO-40-06</t>
  </si>
  <si>
    <t xml:space="preserve">Career-enquiry seasonality, calendar month 6</t>
  </si>
  <si>
    <t xml:space="preserve">A-GRO-40-07</t>
  </si>
  <si>
    <t xml:space="preserve">Career-enquiry seasonality, calendar month 7</t>
  </si>
  <si>
    <t xml:space="preserve">A-GRO-40-08</t>
  </si>
  <si>
    <t xml:space="preserve">Career-enquiry seasonality, calendar month 8</t>
  </si>
  <si>
    <t xml:space="preserve">A-GRO-40-09</t>
  </si>
  <si>
    <t xml:space="preserve">Career-enquiry seasonality, calendar month 9</t>
  </si>
  <si>
    <t xml:space="preserve">A-GRO-40-10</t>
  </si>
  <si>
    <t xml:space="preserve">Career-enquiry seasonality, calendar month 10</t>
  </si>
  <si>
    <t xml:space="preserve">A-GRO-40-11</t>
  </si>
  <si>
    <t xml:space="preserve">Career-enquiry seasonality, calendar month 11</t>
  </si>
  <si>
    <t xml:space="preserve">A-GRO-40-12</t>
  </si>
  <si>
    <t xml:space="preserve">Career-enquiry seasonality, calendar month 12</t>
  </si>
  <si>
    <t xml:space="preserve">A-ECO-60-01</t>
  </si>
  <si>
    <t xml:space="preserve">Self-makeup (S5) seasonality, calendar month 1</t>
  </si>
  <si>
    <t xml:space="preserve">Peaks Oct-Feb before weddings/festivals (A-CUS-29); sums to 12</t>
  </si>
  <si>
    <t xml:space="preserve">A-ECO-60-02</t>
  </si>
  <si>
    <t xml:space="preserve">Self-makeup (S5) seasonality, calendar month 2</t>
  </si>
  <si>
    <t xml:space="preserve">A-ECO-60-03</t>
  </si>
  <si>
    <t xml:space="preserve">Self-makeup (S5) seasonality, calendar month 3</t>
  </si>
  <si>
    <t xml:space="preserve">A-ECO-60-04</t>
  </si>
  <si>
    <t xml:space="preserve">Self-makeup (S5) seasonality, calendar month 4</t>
  </si>
  <si>
    <t xml:space="preserve">A-ECO-60-05</t>
  </si>
  <si>
    <t xml:space="preserve">Self-makeup (S5) seasonality, calendar month 5</t>
  </si>
  <si>
    <t xml:space="preserve">A-ECO-60-06</t>
  </si>
  <si>
    <t xml:space="preserve">Self-makeup (S5) seasonality, calendar month 6</t>
  </si>
  <si>
    <t xml:space="preserve">A-ECO-60-07</t>
  </si>
  <si>
    <t xml:space="preserve">Self-makeup (S5) seasonality, calendar month 7</t>
  </si>
  <si>
    <t xml:space="preserve">A-ECO-60-08</t>
  </si>
  <si>
    <t xml:space="preserve">Self-makeup (S5) seasonality, calendar month 8</t>
  </si>
  <si>
    <t xml:space="preserve">A-ECO-60-09</t>
  </si>
  <si>
    <t xml:space="preserve">Self-makeup (S5) seasonality, calendar month 9</t>
  </si>
  <si>
    <t xml:space="preserve">A-ECO-60-10</t>
  </si>
  <si>
    <t xml:space="preserve">Self-makeup (S5) seasonality, calendar month 10</t>
  </si>
  <si>
    <t xml:space="preserve">A-ECO-60-11</t>
  </si>
  <si>
    <t xml:space="preserve">Self-makeup (S5) seasonality, calendar month 11</t>
  </si>
  <si>
    <t xml:space="preserve">A-ECO-60-12</t>
  </si>
  <si>
    <t xml:space="preserve">Self-makeup (S5) seasonality, calendar month 12</t>
  </si>
  <si>
    <t xml:space="preserve">A-BM-10a</t>
  </si>
  <si>
    <t xml:space="preserve">Founder share of student contact hours at M6</t>
  </si>
  <si>
    <t xml:space="preserve">A-BM-10 path (≤50% M6)</t>
  </si>
  <si>
    <t xml:space="preserve">A-BM-10b</t>
  </si>
  <si>
    <t xml:space="preserve">Founder share of contact hours at M12</t>
  </si>
  <si>
    <t xml:space="preserve">A-BM-10 (≤30% M12)</t>
  </si>
  <si>
    <t xml:space="preserve">A-BM-10c</t>
  </si>
  <si>
    <t xml:space="preserve">Founder share of contact hours, Year 2 average</t>
  </si>
  <si>
    <t xml:space="preserve">A-BM-10 (≤15% M24)</t>
  </si>
  <si>
    <t xml:space="preserve">A-BM-10d</t>
  </si>
  <si>
    <t xml:space="preserve">Founder share of contact hours, Year 3 average</t>
  </si>
  <si>
    <t xml:space="preserve">A-BM-10 (≤10% M36)</t>
  </si>
  <si>
    <t xml:space="preserve">A-ECO-52</t>
  </si>
  <si>
    <t xml:space="preserve">Lead trainer hire month</t>
  </si>
  <si>
    <t xml:space="preserve">BM §6.1: lead trainer M0-3 (shadowing)</t>
  </si>
  <si>
    <t xml:space="preserve">A-ECO-52b</t>
  </si>
  <si>
    <t xml:space="preserve">Lead trainer FTE (0.5 = part-time senior trainer in the ₹10L plan)</t>
  </si>
  <si>
    <t xml:space="preserve">FTE</t>
  </si>
  <si>
    <t xml:space="preserve">BM §6.5: ₹10L plan = part-time trainer</t>
  </si>
  <si>
    <t xml:space="preserve">A-ECO-138</t>
  </si>
  <si>
    <t xml:space="preserve">Memo: market salary for the founder's ongoing role (brand face, curriculum, masterclasses, assessment)</t>
  </si>
  <si>
    <t xml:space="preserve">BM quotes EBITDA after a founder-role salary; judgement</t>
  </si>
  <si>
    <t xml:space="preserve">A-ECO-53</t>
  </si>
  <si>
    <t xml:space="preserve">Counsellor #1 start month</t>
  </si>
  <si>
    <t xml:space="preserve">Growth §10: C 1 FTE x10 mo; B/A from M1</t>
  </si>
  <si>
    <t xml:space="preserve">A-ECO-54</t>
  </si>
  <si>
    <t xml:space="preserve">Counsellor #2 FTE</t>
  </si>
  <si>
    <t xml:space="preserve">Growth §10: B 0.5 FTE x7; A 1 FTE x9</t>
  </si>
  <si>
    <t xml:space="preserve">A-ECO-55</t>
  </si>
  <si>
    <t xml:space="preserve">Counsellor #2 start month</t>
  </si>
  <si>
    <t xml:space="preserve">A-ECO-57a</t>
  </si>
  <si>
    <t xml:space="preserve">Marketing/content team start month</t>
  </si>
  <si>
    <t xml:space="preserve">Growth §10 (x11 months)</t>
  </si>
  <si>
    <t xml:space="preserve">A-ECO-57b</t>
  </si>
  <si>
    <t xml:space="preserve">Performance freelancer start month</t>
  </si>
  <si>
    <t xml:space="preserve">Growth §10 (x11)</t>
  </si>
  <si>
    <t xml:space="preserve">A-ECO-57c</t>
  </si>
  <si>
    <t xml:space="preserve">SEO freelancer start month</t>
  </si>
  <si>
    <t xml:space="preserve">Growth §10 (x10)</t>
  </si>
  <si>
    <t xml:space="preserve">A-ECO-58</t>
  </si>
  <si>
    <t xml:space="preserve">Partnerships, PR / outcomes report, contingency (Growth §10 lines, monthly average)</t>
  </si>
  <si>
    <t xml:space="preserve">Growth §10: partnerships/events ex-rewards &amp; pop-ups + outcomes/PR + contingency</t>
  </si>
  <si>
    <t xml:space="preserve">A-ECO-110</t>
  </si>
  <si>
    <t xml:space="preserve">Stations in today's Sector 8 studio-academy</t>
  </si>
  <si>
    <t xml:space="preserve">stations</t>
  </si>
  <si>
    <t xml:space="preserve">Founder to confirm (BM: 8-12 needed)</t>
  </si>
  <si>
    <t xml:space="preserve">A-ECO-111</t>
  </si>
  <si>
    <t xml:space="preserve">Batch slots per day in today's space (morning, afternoon)</t>
  </si>
  <si>
    <t xml:space="preserve">Weekends kept for masterclasses / studio bridal work</t>
  </si>
  <si>
    <t xml:space="preserve">A-ECO-112</t>
  </si>
  <si>
    <t xml:space="preserve">Move to dedicated academy space in month (99 = no move in Year 1)</t>
  </si>
  <si>
    <t xml:space="preserve">BM §6.5: space only if studio cannot host 8-12 stations; capacity binds</t>
  </si>
  <si>
    <t xml:space="preserve">A-ECO-113</t>
  </si>
  <si>
    <t xml:space="preserve">New academy space size</t>
  </si>
  <si>
    <t xml:space="preserve">sq ft</t>
  </si>
  <si>
    <t xml:space="preserve">BM: 1,200-1,500 sq ft</t>
  </si>
  <si>
    <t xml:space="preserve">A-ECO-114</t>
  </si>
  <si>
    <t xml:space="preserve">Rent for new space</t>
  </si>
  <si>
    <t xml:space="preserve">₹/sq ft/mo</t>
  </si>
  <si>
    <t xml:space="preserve">S-CHD-22 asking rents: Sector 34 ₹113-130; Sector 21/Manimajra ₹80; city median ₹47</t>
  </si>
  <si>
    <t xml:space="preserve">[FACT] bands / [HYP] pick</t>
  </si>
  <si>
    <t xml:space="preserve">A-ECO-115</t>
  </si>
  <si>
    <t xml:space="preserve">Stations in new space</t>
  </si>
  <si>
    <t xml:space="preserve">Batch cap 12 (A-BM-01)</t>
  </si>
  <si>
    <t xml:space="preserve">A-ECO-116</t>
  </si>
  <si>
    <t xml:space="preserve">Batch slots per day in new space (incl. weekend / flex batch)</t>
  </si>
  <si>
    <t xml:space="preserve">BM: morning, afternoon, weekend slots</t>
  </si>
  <si>
    <t xml:space="preserve">A-ECO-117</t>
  </si>
  <si>
    <t xml:space="preserve">Maximum usable share of seat capacity</t>
  </si>
  <si>
    <t xml:space="preserve">Scheduling friction</t>
  </si>
  <si>
    <t xml:space="preserve">A-ECO-118</t>
  </si>
  <si>
    <t xml:space="preserve">Academy share of today's Sector 8 occupancy cost (rent + maintenance)</t>
  </si>
  <si>
    <t xml:space="preserve">Unknown - founder Q3; ~700 sq ft at ₹50-65</t>
  </si>
  <si>
    <t xml:space="preserve">A-ECO-119</t>
  </si>
  <si>
    <t xml:space="preserve">Utilities, housekeeping in today's space</t>
  </si>
  <si>
    <t xml:space="preserve">A-ECO-120</t>
  </si>
  <si>
    <t xml:space="preserve">Utilities, housekeeping, maintenance in new space</t>
  </si>
  <si>
    <t xml:space="preserve">Judgement (AC-heavy lighting)</t>
  </si>
  <si>
    <t xml:space="preserve">A-ECO-121</t>
  </si>
  <si>
    <t xml:space="preserve">Fit-out cost (interiors, electrical, AC, lighting, signage)</t>
  </si>
  <si>
    <t xml:space="preserve">₹/sq ft</t>
  </si>
  <si>
    <t xml:space="preserve">A-BM-07: ₹8-15L for 1,200-1,500 sq ft (S-BM-08/09)</t>
  </si>
  <si>
    <t xml:space="preserve">A-ECO-122</t>
  </si>
  <si>
    <t xml:space="preserve">Cost per additional makeup station (mirror, lights, chair, trolley)</t>
  </si>
  <si>
    <t xml:space="preserve">₹/station</t>
  </si>
  <si>
    <t xml:space="preserve">A-ECO-123</t>
  </si>
  <si>
    <t xml:space="preserve">Security deposit</t>
  </si>
  <si>
    <t xml:space="preserve">months of rent</t>
  </si>
  <si>
    <t xml:space="preserve">Typical commercial lease</t>
  </si>
  <si>
    <t xml:space="preserve">A-ECO-124</t>
  </si>
  <si>
    <t xml:space="preserve">Front-desk / operations coordinator (from move month)</t>
  </si>
  <si>
    <t xml:space="preserve">A-ECO-125</t>
  </si>
  <si>
    <t xml:space="preserve">Academy manager / admissions head salary</t>
  </si>
  <si>
    <t xml:space="preserve">BM §6.1: academy manager M12-18</t>
  </si>
  <si>
    <t xml:space="preserve">A-ECO-126</t>
  </si>
  <si>
    <t xml:space="preserve">Academy manager start month</t>
  </si>
  <si>
    <t xml:space="preserve">BM §6.1</t>
  </si>
  <si>
    <t xml:space="preserve">A-ECO-127</t>
  </si>
  <si>
    <t xml:space="preserve">LMS / hybrid platform</t>
  </si>
  <si>
    <t xml:space="preserve">From hybrid launch</t>
  </si>
  <si>
    <t xml:space="preserve">A-ECO-128</t>
  </si>
  <si>
    <t xml:space="preserve">Destination/hybrid format launch month (out-of-town L3 students switch format)</t>
  </si>
  <si>
    <t xml:space="preserve">BM: hybrid pilot before G2; Growth Fast-track</t>
  </si>
  <si>
    <t xml:space="preserve">A-ECO-129</t>
  </si>
  <si>
    <t xml:space="preserve">Hybrid pre-work content production + LMS set-up (capex, 2 months before launch)</t>
  </si>
  <si>
    <t xml:space="preserve">BM §6.5: ₹1L / 3-4L / 5-6L</t>
  </si>
  <si>
    <t xml:space="preserve">A-ECO-130</t>
  </si>
  <si>
    <t xml:space="preserve">Regional pop-up pilot start month</t>
  </si>
  <si>
    <t xml:space="preserve">BM: pilots ≤₹2L from ~M9 before G2</t>
  </si>
  <si>
    <t xml:space="preserve">A-ECO-131</t>
  </si>
  <si>
    <t xml:space="preserve">Masterclass (L4) seats offered per month at steady state</t>
  </si>
  <si>
    <t xml:space="preserve">seats/mo</t>
  </si>
  <si>
    <t xml:space="preserve">A-GRO §10.3 (2 x 12 base); BM A-BM-05</t>
  </si>
  <si>
    <t xml:space="preserve">A-ECO-132</t>
  </si>
  <si>
    <t xml:space="preserve">Masterclass fill (sell-through)</t>
  </si>
  <si>
    <t xml:space="preserve">Growth KPI ≥80% sell-through</t>
  </si>
  <si>
    <t xml:space="preserve">A-ECO-133</t>
  </si>
  <si>
    <t xml:space="preserve">Self-makeup (L1-S5) seats per month, season-average</t>
  </si>
  <si>
    <t xml:space="preserve">A-GRO §10.3 (15 base)</t>
  </si>
  <si>
    <t xml:space="preserve">A-ECO-134</t>
  </si>
  <si>
    <t xml:space="preserve">Admin, accounting, professional fees, insurance, misc.</t>
  </si>
  <si>
    <t xml:space="preserve">A-ECO-135</t>
  </si>
  <si>
    <t xml:space="preserve">One-off: B&amp;WSSC alignment, legal (fee/refund/claims), accounting set-up (month 3)</t>
  </si>
  <si>
    <t xml:space="preserve">BM §6.5: ₹0.5L / 1-2L</t>
  </si>
  <si>
    <t xml:space="preserve">A-ECO-136</t>
  </si>
  <si>
    <t xml:space="preserve">Capex month 1: CRM/WhatsApp BSP set-up, GBP, photo/video proof kit</t>
  </si>
  <si>
    <t xml:space="preserve">BM §6.5 CRM/website/proof ₹1.5L / 2-3L / 3-4L less website</t>
  </si>
  <si>
    <t xml:space="preserve">A-ECO-137</t>
  </si>
  <si>
    <t xml:space="preserve">Referral-route share of career enrolments (for rewards)</t>
  </si>
  <si>
    <t xml:space="preserve">A-ECO-201</t>
  </si>
  <si>
    <t xml:space="preserve">Career enrolment growth: Y2 vs annualised Y1 H2 run-rate</t>
  </si>
  <si>
    <t xml:space="preserve">Directional</t>
  </si>
  <si>
    <t xml:space="preserve">A-ECO-202</t>
  </si>
  <si>
    <t xml:space="preserve">Career enrolment growth: Y3 vs Y2</t>
  </si>
  <si>
    <t xml:space="preserve">A-ECO-203a</t>
  </si>
  <si>
    <t xml:space="preserve">Out-of-town share of career enrolments, Y2</t>
  </si>
  <si>
    <t xml:space="preserve">A-GRO-37; BM A-BM-21</t>
  </si>
  <si>
    <t xml:space="preserve">A-ECO-203b</t>
  </si>
  <si>
    <t xml:space="preserve">Out-of-town share of career enrolments, Y3</t>
  </si>
  <si>
    <t xml:space="preserve">BM: 25-35% by M30 (base)</t>
  </si>
  <si>
    <t xml:space="preserve">A-ECO-204a</t>
  </si>
  <si>
    <t xml:space="preserve">Incremental destination/hybrid regional students (G2 engine), Y2</t>
  </si>
  <si>
    <t xml:space="preserve">BM A-BM-17: P1 out-of-town 10/35/60 by Y3</t>
  </si>
  <si>
    <t xml:space="preserve">A-ECO-204b</t>
  </si>
  <si>
    <t xml:space="preserve">Incremental destination/hybrid regional students, Y3</t>
  </si>
  <si>
    <t xml:space="preserve">BM A-BM-17</t>
  </si>
  <si>
    <t xml:space="preserve">A-ECO-205a</t>
  </si>
  <si>
    <t xml:space="preserve">Masterclass seats sold, Y2</t>
  </si>
  <si>
    <t xml:space="preserve">seats</t>
  </si>
  <si>
    <t xml:space="preserve">A-BM-05: base 280 by Y3</t>
  </si>
  <si>
    <t xml:space="preserve">A-ECO-205b</t>
  </si>
  <si>
    <t xml:space="preserve">Masterclass seats sold, Y3</t>
  </si>
  <si>
    <t xml:space="preserve">A-BM-05; A-BM-17 120/280/400</t>
  </si>
  <si>
    <t xml:space="preserve">A-ECO-206a</t>
  </si>
  <si>
    <t xml:space="preserve">Self-makeup seats, Y2</t>
  </si>
  <si>
    <t xml:space="preserve">A-ECO-206b</t>
  </si>
  <si>
    <t xml:space="preserve">Self-makeup seats, Y3</t>
  </si>
  <si>
    <t xml:space="preserve">A-ECO-207a</t>
  </si>
  <si>
    <t xml:space="preserve">Regional pop-up events, Y2</t>
  </si>
  <si>
    <t xml:space="preserve">events</t>
  </si>
  <si>
    <t xml:space="preserve">geographic_expansion §5.2 (~14-event circuit after G2)</t>
  </si>
  <si>
    <t xml:space="preserve">A-ECO-207b</t>
  </si>
  <si>
    <t xml:space="preserve">Regional pop-up events, Y3</t>
  </si>
  <si>
    <t xml:space="preserve">A-ECO-208a</t>
  </si>
  <si>
    <t xml:space="preserve">Online short-course / online masterclass buyers, Y2</t>
  </si>
  <si>
    <t xml:space="preserve">buyers</t>
  </si>
  <si>
    <t xml:space="preserve">Deferred to gate: ≥50k engaged followers (BM §6.3)</t>
  </si>
  <si>
    <t xml:space="preserve">A-ECO-208b</t>
  </si>
  <si>
    <t xml:space="preserve">Online buyers, Y3</t>
  </si>
  <si>
    <t xml:space="preserve">A-ECO-209</t>
  </si>
  <si>
    <t xml:space="preserve">Online course / masterclass price</t>
  </si>
  <si>
    <t xml:space="preserve">Orane ₹499; Mickey Contractor ₹2,999 (S-NC-17/43)</t>
  </si>
  <si>
    <t xml:space="preserve">A-ECO-210</t>
  </si>
  <si>
    <t xml:space="preserve">Online: CAC per paid buyer x paid share 50%</t>
  </si>
  <si>
    <t xml:space="preserve">₹/buyer</t>
  </si>
  <si>
    <t xml:space="preserve">A-ECO-211</t>
  </si>
  <si>
    <t xml:space="preserve">Online content production per year (opex)</t>
  </si>
  <si>
    <t xml:space="preserve">A-ECO-212</t>
  </si>
  <si>
    <t xml:space="preserve">Online platform / payment fee</t>
  </si>
  <si>
    <t xml:space="preserve">A-BM-09a</t>
  </si>
  <si>
    <t xml:space="preserve">Alumni booking-desk referred bookings, Y2</t>
  </si>
  <si>
    <t xml:space="preserve">bookings</t>
  </si>
  <si>
    <t xml:space="preserve">A-BM-09: 30/120/150 by Y3</t>
  </si>
  <si>
    <t xml:space="preserve">A-BM-09b</t>
  </si>
  <si>
    <t xml:space="preserve">Alumni booking-desk referred bookings, Y3</t>
  </si>
  <si>
    <t xml:space="preserve">A-BM-09</t>
  </si>
  <si>
    <t xml:space="preserve">A-BM-09c</t>
  </si>
  <si>
    <t xml:space="preserve">Desk fee per referred booking (10-15% or flat ₹1-2.5k)</t>
  </si>
  <si>
    <t xml:space="preserve">A-ECO-213a</t>
  </si>
  <si>
    <t xml:space="preserve">Brand partnership / sponsorship net income, Y2</t>
  </si>
  <si>
    <t xml:space="preserve">A-BM-17 kits/brand ₹3/6/10L by Y3</t>
  </si>
  <si>
    <t xml:space="preserve">A-ECO-213b</t>
  </si>
  <si>
    <t xml:space="preserve">Brand partnership / sponsorship net income, Y3</t>
  </si>
  <si>
    <t xml:space="preserve">A-BM-17</t>
  </si>
  <si>
    <t xml:space="preserve">A-ECO-214</t>
  </si>
  <si>
    <t xml:space="preserve">Partner-hosted satellite students in Y3 (only if G3a met; Aggressive only)</t>
  </si>
  <si>
    <t xml:space="preserve">BM §6.3 G3a ≥M24; geographic_expansion §4.1(b)</t>
  </si>
  <si>
    <t xml:space="preserve">A-BM-19</t>
  </si>
  <si>
    <t xml:space="preserve">Satellite host revenue share</t>
  </si>
  <si>
    <t xml:space="preserve">A-BM-19: 20-30%</t>
  </si>
  <si>
    <t xml:space="preserve">A-ECO-215</t>
  </si>
  <si>
    <t xml:space="preserve">Satellite trainer allocation per student + set-up capex</t>
  </si>
  <si>
    <t xml:space="preserve">geographic_expansion §4.1(b) ₹10k; capex ₹2-5L</t>
  </si>
  <si>
    <t xml:space="preserve">A-ECO-216</t>
  </si>
  <si>
    <t xml:space="preserve">Satellite set-up capex (stations, branding, kit)</t>
  </si>
  <si>
    <t xml:space="preserve">geographic_expansion §4.1(b)</t>
  </si>
  <si>
    <t xml:space="preserve">A-ECO-217</t>
  </si>
  <si>
    <t xml:space="preserve">Annual L3 / L2 fee escalation from Y3</t>
  </si>
  <si>
    <t xml:space="preserve">Directional, proof-led price steps</t>
  </si>
  <si>
    <t xml:space="preserve">A-ECO-218</t>
  </si>
  <si>
    <t xml:space="preserve">Wage escalation per year</t>
  </si>
  <si>
    <t xml:space="preserve">A-ECO-219</t>
  </si>
  <si>
    <t xml:space="preserve">Rent escalation per year</t>
  </si>
  <si>
    <t xml:space="preserve">Typical lease</t>
  </si>
  <si>
    <t xml:space="preserve">A-ECO-220a</t>
  </si>
  <si>
    <t xml:space="preserve">Batch slots per day, Y2</t>
  </si>
  <si>
    <t xml:space="preserve">Weekend / evening batches</t>
  </si>
  <si>
    <t xml:space="preserve">A-ECO-220b</t>
  </si>
  <si>
    <t xml:space="preserve">Batch slots per day, Y3</t>
  </si>
  <si>
    <t xml:space="preserve">A-ECO-221a</t>
  </si>
  <si>
    <t xml:space="preserve">Stations, Y2</t>
  </si>
  <si>
    <t xml:space="preserve">A-ECO-221b</t>
  </si>
  <si>
    <t xml:space="preserve">Stations, Y3</t>
  </si>
  <si>
    <t xml:space="preserve">A-ECO-222a</t>
  </si>
  <si>
    <t xml:space="preserve">Counsellor FTE, Y2</t>
  </si>
  <si>
    <t xml:space="preserve">Counsellor load A-GRO-38</t>
  </si>
  <si>
    <t xml:space="preserve">A-ECO-222b</t>
  </si>
  <si>
    <t xml:space="preserve">Counsellor FTE, Y3</t>
  </si>
  <si>
    <t xml:space="preserve">A-ECO-223a</t>
  </si>
  <si>
    <t xml:space="preserve">Academy manager in post, Y2 (FTE)</t>
  </si>
  <si>
    <t xml:space="preserve">BM: M12-18</t>
  </si>
  <si>
    <t xml:space="preserve">A-ECO-223b</t>
  </si>
  <si>
    <t xml:space="preserve">Academy manager in post, Y3 (FTE; Conservative part-time ops lead)</t>
  </si>
  <si>
    <t xml:space="preserve">A-ECO-224a</t>
  </si>
  <si>
    <t xml:space="preserve">Paid media, Y2</t>
  </si>
  <si>
    <t xml:space="preserve">Growth steady-state x 12; Conservative = test level after failed spend gates (stop-loss)</t>
  </si>
  <si>
    <t xml:space="preserve">A-ECO-224b</t>
  </si>
  <si>
    <t xml:space="preserve">Paid media, Y3</t>
  </si>
  <si>
    <t xml:space="preserve">Conservative held at test level</t>
  </si>
  <si>
    <t xml:space="preserve">A-BM-15</t>
  </si>
  <si>
    <t xml:space="preserve">Regional acquisition cost per incremental destination student</t>
  </si>
  <si>
    <t xml:space="preserve">A-BM-15 out-of-town CAC ₹10-15k</t>
  </si>
  <si>
    <t xml:space="preserve">A-ECO-225</t>
  </si>
  <si>
    <t xml:space="preserve">Accommodation-partner coordination cost per destination student</t>
  </si>
  <si>
    <t xml:space="preserve">geographic_expansion §4.1(a) ₹2k</t>
  </si>
  <si>
    <t xml:space="preserve">A-ECO-226a</t>
  </si>
  <si>
    <t xml:space="preserve">Capex Y2 (hybrid content refresh / build, stations, photo studio)</t>
  </si>
  <si>
    <t xml:space="preserve">A-ECO-226b</t>
  </si>
  <si>
    <t xml:space="preserve">Capex Y3 (content refresh, stations)</t>
  </si>
  <si>
    <t xml:space="preserve">A-ECO-227</t>
  </si>
  <si>
    <t xml:space="preserve">Kit / product margin on retail sales to students &amp; alumni, per career student per year (post price-step)</t>
  </si>
  <si>
    <t xml:space="preserve">Same basis as A-ECO-37 (optional kit at near cost)</t>
  </si>
  <si>
    <t xml:space="preserve">Programme unit economics - per seat and per cohort (scenario = Assumptions!C3 selector)</t>
  </si>
  <si>
    <t xml:space="preserve">Ladder from positioning_and_segments.md §6 (Growth) with BM realised fees. Fees incl. GST as quoted; revenue ex-GST. Trainer cost is a standard cost (salary / slots / fill).</t>
  </si>
  <si>
    <t xml:space="preserve">L1 Career Taster</t>
  </si>
  <si>
    <t xml:space="preserve">L1-S5 Self-makeup</t>
  </si>
  <si>
    <t xml:space="preserve">L2 Foundation</t>
  </si>
  <si>
    <t xml:space="preserve">L3 Pro - today's fee (CA-02, incl. kit)</t>
  </si>
  <si>
    <t xml:space="preserve">L3 Pro - after price step (A-BM-02)</t>
  </si>
  <si>
    <t xml:space="preserve">L3 Destination / hybrid</t>
  </si>
  <si>
    <t xml:space="preserve">L4 Masterclass</t>
  </si>
  <si>
    <t xml:space="preserve">L5 Pro Circle (per yr)</t>
  </si>
  <si>
    <t xml:space="preserve">Notes</t>
  </si>
  <si>
    <t xml:space="preserve">Duration (on-campus months; seat-months per student)</t>
  </si>
  <si>
    <t xml:space="preserve">Contact hours (indicative)</t>
  </si>
  <si>
    <t xml:space="preserve">Batch cap (A-BM-01) / seats per session</t>
  </si>
  <si>
    <t xml:space="preserve">Cohort fill used (A-ECO-47; masterclass x A-ECO-132)</t>
  </si>
  <si>
    <t xml:space="preserve">Fee incl. GST (as quoted)</t>
  </si>
  <si>
    <t xml:space="preserve">Revenue per seat ex-GST</t>
  </si>
  <si>
    <t xml:space="preserve">Kit cost borne by PNA</t>
  </si>
  <si>
    <t xml:space="preserve">Consumables / models / delivery</t>
  </si>
  <si>
    <t xml:space="preserve">Trainer + assistant cost per batch (standard: salary x months / slots)</t>
  </si>
  <si>
    <t xml:space="preserve">Trainer cost per student (batch cost / fill)</t>
  </si>
  <si>
    <t xml:space="preserve">Payment gateway + EMI subvention</t>
  </si>
  <si>
    <t xml:space="preserve">Contribution per seat before CAC</t>
  </si>
  <si>
    <t xml:space="preserve">Contribution margin %</t>
  </si>
  <si>
    <t xml:space="preserve">Acquisition cost per seat (career: effective paid CAC x paid share + referral reward share; L4/L1-S5: funnel media per seat)</t>
  </si>
  <si>
    <t xml:space="preserve">Contribution per seat after CAC</t>
  </si>
  <si>
    <t xml:space="preserve">Occupancy cost per seat (today's space: rent + utilities / seat-months)</t>
  </si>
  <si>
    <t xml:space="preserve">Cohort fixed cost (trainer batch cost + occupancy x batch cap)</t>
  </si>
  <si>
    <t xml:space="preserve">Variable cost per seat (kit + consumables + payment + CAC)</t>
  </si>
  <si>
    <t xml:space="preserve">Breakeven students per cohort</t>
  </si>
  <si>
    <t xml:space="preserve">Breakeven fill % of batch cap (BM M1)</t>
  </si>
  <si>
    <t xml:space="preserve">Cohort contribution at 10 students (after CAC, trainer, occupancy)</t>
  </si>
  <si>
    <t xml:space="preserve">Cohort contribution at 12 students</t>
  </si>
  <si>
    <t xml:space="preserve">Cohort contribution at 14 students (cap raised; quality risk)</t>
  </si>
  <si>
    <t xml:space="preserve">Batches per year per slot (12 / duration)</t>
  </si>
  <si>
    <t xml:space="preserve">Today's illustrative baseline (CA-01 x CA-02 mix) - NOT actual revenue; founder data pull (V1) to replace</t>
  </si>
  <si>
    <t xml:space="preserve">Students per year (CA-01)</t>
  </si>
  <si>
    <t xml:space="preserve">Career share (A-ECO-101)</t>
  </si>
  <si>
    <t xml:space="preserve">Career students</t>
  </si>
  <si>
    <t xml:space="preserve">Short-course students</t>
  </si>
  <si>
    <t xml:space="preserve">Illustrative revenue incl. GST (career x CA-02 + short x A-ECO-102)</t>
  </si>
  <si>
    <t xml:space="preserve">Illustrative revenue ex-GST</t>
  </si>
  <si>
    <t xml:space="preserve">Illustrative contribution (kit + consumables + payment)</t>
  </si>
  <si>
    <t xml:space="preserve">Less academy occupancy share x 12</t>
  </si>
  <si>
    <t xml:space="preserve">Illustrative academy surplus before founder's time (NOT actual profit)</t>
  </si>
  <si>
    <t xml:space="preserve">BM's '~₹0.3 crore today' is this same CA-01 x CA-02 arithmetic (50 x ₹60k), an estimate, not PNA's reported revenue.</t>
  </si>
  <si>
    <t xml:space="preserve">Directional 3-year scenarios (₹ lakh, ex-GST) - Year 1 = 12-month outlook; Years 2-3 driver-based</t>
  </si>
  <si>
    <t xml:space="preserve">Layers: flagship (tricity + regional offline), destination/hybrid, CPD (masterclasses + Pro Circle), online, adjacents, and a partner-hosted satellite only if gate G3a is met (Aggressive Y3).</t>
  </si>
  <si>
    <t xml:space="preserve">Line (₹ lakh unless stated)</t>
  </si>
  <si>
    <t xml:space="preserve">Conservative Y1</t>
  </si>
  <si>
    <t xml:space="preserve">Conservative Y2</t>
  </si>
  <si>
    <t xml:space="preserve">Conservative Y3</t>
  </si>
  <si>
    <t xml:space="preserve">Aggressive Y1</t>
  </si>
  <si>
    <t xml:space="preserve">Aggressive Y2</t>
  </si>
  <si>
    <t xml:space="preserve">Aggressive Y3</t>
  </si>
  <si>
    <t xml:space="preserve">Basis</t>
  </si>
  <si>
    <t xml:space="preserve">Volumes</t>
  </si>
  <si>
    <t xml:space="preserve">Career enrolments, flagship (L2 + L3 new students)</t>
  </si>
  <si>
    <t xml:space="preserve">Y2 = 2 x Y1 H2 run-rate, de-seasonalised (May-Oct index), x (1+A-ECO-201); Y3 x (1+A-ECO-202); capacity-capped below</t>
  </si>
  <si>
    <t xml:space="preserve">L3 share of career enrolments</t>
  </si>
  <si>
    <t xml:space="preserve">Incremental destination/hybrid regional students (G2 engine)</t>
  </si>
  <si>
    <t xml:space="preserve">Y1 destination-format students are inside career enrolments</t>
  </si>
  <si>
    <t xml:space="preserve">L2 -&gt; L3 upgrades</t>
  </si>
  <si>
    <t xml:space="preserve">Stations</t>
  </si>
  <si>
    <t xml:space="preserve">Batch slots per day</t>
  </si>
  <si>
    <t xml:space="preserve">Usable seat-months per year</t>
  </si>
  <si>
    <t xml:space="preserve">Seat-months needed (L3 x3, L2 x1, upgrades x3, destination x2.5)</t>
  </si>
  <si>
    <t xml:space="preserve">Capacity factor (share of planned volume that fits)</t>
  </si>
  <si>
    <t xml:space="preserve">Seat utilisation</t>
  </si>
  <si>
    <t xml:space="preserve">Career enrolments delivered (after capacity)</t>
  </si>
  <si>
    <t xml:space="preserve">Destination/hybrid incremental students delivered</t>
  </si>
  <si>
    <t xml:space="preserve">Masterclass seats</t>
  </si>
  <si>
    <t xml:space="preserve">Self-makeup seats</t>
  </si>
  <si>
    <t xml:space="preserve">Pop-up events</t>
  </si>
  <si>
    <t xml:space="preserve">Online short-course buyers</t>
  </si>
  <si>
    <t xml:space="preserve">Pro Circle paid members (graduates after free year + S3 buyers)</t>
  </si>
  <si>
    <t xml:space="preserve">Partner-hosted satellite students (only if G3a met)</t>
  </si>
  <si>
    <t xml:space="preserve">Founder share of contact hours</t>
  </si>
  <si>
    <t xml:space="preserve">Prices (incl. GST)</t>
  </si>
  <si>
    <t xml:space="preserve">L3 / destination realised fee</t>
  </si>
  <si>
    <t xml:space="preserve">L2 Foundation fee</t>
  </si>
  <si>
    <t xml:space="preserve">Revenue (₹ lakh, ex-GST)</t>
  </si>
  <si>
    <t xml:space="preserve">Flagship career revenue - tricity-origin</t>
  </si>
  <si>
    <t xml:space="preserve">career revenue x (1 - out-of-town share)</t>
  </si>
  <si>
    <t xml:space="preserve">Flagship career revenue - out-of-town (regional destination, offline)</t>
  </si>
  <si>
    <t xml:space="preserve">Destination/hybrid incremental regional students</t>
  </si>
  <si>
    <t xml:space="preserve">Entry products: taster, self-makeup, pop-up tickets</t>
  </si>
  <si>
    <t xml:space="preserve">Working-artist CPD: L4 masterclasses + L5 Pro Circle</t>
  </si>
  <si>
    <t xml:space="preserve">Online short courses</t>
  </si>
  <si>
    <t xml:space="preserve">Adjacents: kit margin, alumni booking desk, brand partnerships</t>
  </si>
  <si>
    <t xml:space="preserve">Partner-hosted satellite (PNA share after host revenue share)</t>
  </si>
  <si>
    <t xml:space="preserve">Revenue growth</t>
  </si>
  <si>
    <t xml:space="preserve">Costs (₹ lakh)</t>
  </si>
  <si>
    <t xml:space="preserve">Variable delivery: consumables, kits, payment/EMI, rewards, pop-ups, Pro Circle service, satellite trainer</t>
  </si>
  <si>
    <t xml:space="preserve">Trainers + assistants (batch-slots x (1 - founder share) / slots per FTE; wage escalation)</t>
  </si>
  <si>
    <t xml:space="preserve">Growth team: counsellors, marketing/content, freelancers (Y2+: counsellor FTE input + Y1 M12 team run-rate)</t>
  </si>
  <si>
    <t xml:space="preserve">Academy manager + front desk</t>
  </si>
  <si>
    <t xml:space="preserve">Rent + utilities</t>
  </si>
  <si>
    <t xml:space="preserve">Paid media + regional acquisition + online CAC</t>
  </si>
  <si>
    <t xml:space="preserve">Tech, partnerships/PR, admin, online content, one-offs</t>
  </si>
  <si>
    <t xml:space="preserve">Total costs</t>
  </si>
  <si>
    <t xml:space="preserve">Capex and deposits</t>
  </si>
  <si>
    <t xml:space="preserve">Net cash flow (Y1 incl. instalment timing)</t>
  </si>
  <si>
    <t xml:space="preserve">Cumulative cash position</t>
  </si>
  <si>
    <t xml:space="preserve">Peak cash need to date (Y1 monthly peak; Y2-3 year-end)</t>
  </si>
  <si>
    <t xml:space="preserve">SOM layers for market_sizing_model.xlsx (Year 3, ₹ lakh ex-GST)</t>
  </si>
  <si>
    <t xml:space="preserve">Tricity flagship (career tricity-origin + entry products)</t>
  </si>
  <si>
    <t xml:space="preserve">Regional destination offline (+ satellite)</t>
  </si>
  <si>
    <t xml:space="preserve">Hybrid incremental</t>
  </si>
  <si>
    <t xml:space="preserve">CPD (L4 + L5)</t>
  </si>
  <si>
    <t xml:space="preserve">Online</t>
  </si>
  <si>
    <t xml:space="preserve">Adjacent (outside training market)</t>
  </si>
  <si>
    <t xml:space="preserve">SOM learners: tricity-origin career students (L2 + L3 new)</t>
  </si>
  <si>
    <t xml:space="preserve">SOM learners: out-of-town career students (+ satellite)</t>
  </si>
  <si>
    <t xml:space="preserve">SOM learners: incremental destination/hybrid students</t>
  </si>
  <si>
    <t xml:space="preserve">Checks</t>
  </si>
  <si>
    <t xml:space="preserve">Layers reconcile to total revenue (should be 0)</t>
  </si>
  <si>
    <t xml:space="preserve">Unit economics by business model (directional, Base rates, at maturity) - ₹ unless stated</t>
  </si>
  <si>
    <t xml:space="preserve">Side-by-side with the same metric rows. Inputs are in this sheet's input block (blue) with IDs; models link to 3yr_Scenarios where they are part of the recommended plan.</t>
  </si>
  <si>
    <t xml:space="preserve">Input ID</t>
  </si>
  <si>
    <t xml:space="preserve">Value</t>
  </si>
  <si>
    <t xml:space="preserve">Source</t>
  </si>
  <si>
    <t xml:space="preserve">A-ECO-301</t>
  </si>
  <si>
    <t xml:space="preserve">B1 owned regional centre: annual fixed cost (rent, lead trainer, trainer, counsellor, utilities, local brand, management)</t>
  </si>
  <si>
    <t xml:space="preserve">A-BM-13 [HYP]</t>
  </si>
  <si>
    <t xml:space="preserve">A-ECO-302</t>
  </si>
  <si>
    <t xml:space="preserve">B1 owned centre: capex + launch</t>
  </si>
  <si>
    <t xml:space="preserve">A-BM-13 ₹13-20L [HYP]</t>
  </si>
  <si>
    <t xml:space="preserve">A-ECO-303</t>
  </si>
  <si>
    <t xml:space="preserve">B1 owned centre: P1 students per year at maturity (Base)</t>
  </si>
  <si>
    <t xml:space="preserve">BM breakeven ~46 [HYP]</t>
  </si>
  <si>
    <t xml:space="preserve">A-ECO-304</t>
  </si>
  <si>
    <t xml:space="preserve">B2 partner-hosted satellite: students per year</t>
  </si>
  <si>
    <t xml:space="preserve">geographic_expansion §4.1 [HYP]</t>
  </si>
  <si>
    <t xml:space="preserve">A-ECO-305</t>
  </si>
  <si>
    <t xml:space="preserve">B3 franchise: royalty rate</t>
  </si>
  <si>
    <t xml:space="preserve">A-BM-08 15-20% [HYP]</t>
  </si>
  <si>
    <t xml:space="preserve">A-ECO-306</t>
  </si>
  <si>
    <t xml:space="preserve">B3 franchise: franchisee revenue per unit per year</t>
  </si>
  <si>
    <t xml:space="preserve">Assumed: 46 P1 x ₹80k + short courses [HYP]</t>
  </si>
  <si>
    <t xml:space="preserve">A-ECO-307</t>
  </si>
  <si>
    <t xml:space="preserve">B3 franchise: PNA support cost per unit per year</t>
  </si>
  <si>
    <t xml:space="preserve">geographic_expansion §4.1(d) ₹3-5L [HYP]</t>
  </si>
  <si>
    <t xml:space="preserve">A-ECO-308</t>
  </si>
  <si>
    <t xml:space="preserve">B3 franchise: brand/franchise fee per unit (one-off) and system build cost</t>
  </si>
  <si>
    <t xml:space="preserve">A-BM-08 ₹4.3-5.0L; system ₹5-10L [HYP]</t>
  </si>
  <si>
    <t xml:space="preserve">A-ECO-309</t>
  </si>
  <si>
    <t xml:space="preserve">B3 franchise system build (manuals, audits, legal)</t>
  </si>
  <si>
    <t xml:space="preserve">geographic_expansion §4.1(d) [HYP]</t>
  </si>
  <si>
    <t xml:space="preserve">A-ECO-310</t>
  </si>
  <si>
    <t xml:space="preserve">C digital stand-alone: buyers per year at maturity</t>
  </si>
  <si>
    <t xml:space="preserve">Gate: ≥200/month organic (BM §6.3) [HYP]</t>
  </si>
  <si>
    <t xml:space="preserve">A-ECO-311</t>
  </si>
  <si>
    <t xml:space="preserve">C digital: content + platform fixed cost per year</t>
  </si>
  <si>
    <t xml:space="preserve">Production + LMS + live sessions [HYP]</t>
  </si>
  <si>
    <t xml:space="preserve">A-ECO-312</t>
  </si>
  <si>
    <t xml:space="preserve">E marketplace: average order value (bridal + party mix)</t>
  </si>
  <si>
    <t xml:space="preserve">Bridal ₹15-25k; party ₹1.5-3k (S-CHD-12; A-CUS-02) [HYP]</t>
  </si>
  <si>
    <t xml:space="preserve">A-ECO-313</t>
  </si>
  <si>
    <t xml:space="preserve">E marketplace: take rate</t>
  </si>
  <si>
    <t xml:space="preserve">UC 25-28%; Treatwell new-client only (S-INT-17/29) [HYP]</t>
  </si>
  <si>
    <t xml:space="preserve">A-ECO-314</t>
  </si>
  <si>
    <t xml:space="preserve">E marketplace: fulfilment / QA / support / re-do cost per booking</t>
  </si>
  <si>
    <t xml:space="preserve">Judgement; UC onboarding 22.8% of revenue (S-INT-11) [HYP]</t>
  </si>
  <si>
    <t xml:space="preserve">A-ECO-315</t>
  </si>
  <si>
    <t xml:space="preserve">E marketplace: CAC per new customer</t>
  </si>
  <si>
    <t xml:space="preserve">Bridal CPL ₹300-800, low conversion [HYP]</t>
  </si>
  <si>
    <t xml:space="preserve">A-ECO-316</t>
  </si>
  <si>
    <t xml:space="preserve">E marketplace: bookings per customer over 24 months (bridal ≈ once; leakage after first)</t>
  </si>
  <si>
    <t xml:space="preserve">BM: bridal once-in-a-lifetime; Treatwell repeat commission-free [HYP]</t>
  </si>
  <si>
    <t xml:space="preserve">A-ECO-317</t>
  </si>
  <si>
    <t xml:space="preserve">E marketplace: platform tech + ops team + artist onboarding per year</t>
  </si>
  <si>
    <t xml:space="preserve">Tech ₹8L + 2 ops ₹7.2L + onboarding/QA ₹4L + marketing ops ₹4.8L [HYP]</t>
  </si>
  <si>
    <t xml:space="preserve">A-ECO-318</t>
  </si>
  <si>
    <t xml:space="preserve">E marketplace: bookings per year (≈5% of tricity pro-MUA bridal bookings x2 for party)</t>
  </si>
  <si>
    <t xml:space="preserve">A-BM-11: 8.2k tricity bridal bookings [HYP]</t>
  </si>
  <si>
    <t xml:space="preserve">A-ECO-319</t>
  </si>
  <si>
    <t xml:space="preserve">Discount rate for 5-year NPV</t>
  </si>
  <si>
    <t xml:space="preserve">Judgement for an owner-managed SME [HYP]</t>
  </si>
  <si>
    <t xml:space="preserve">A-ECO-320</t>
  </si>
  <si>
    <t xml:space="preserve">Ludhiana: destination students that would travel to Chandigarh per year (N_dest)</t>
  </si>
  <si>
    <t xml:space="preserve">geographic_expansion §4.1 indifference rule [HYP]</t>
  </si>
  <si>
    <t xml:space="preserve">A Flagship (Y3 Base, whole academy)</t>
  </si>
  <si>
    <t xml:space="preserve">B1 Owned regional centre (Ludhiana)</t>
  </si>
  <si>
    <t xml:space="preserve">B2 Partner-hosted satellite</t>
  </si>
  <si>
    <t xml:space="preserve">B3 Franchise / licence (per unit, PNA view)</t>
  </si>
  <si>
    <t xml:space="preserve">C Digital stand-alone</t>
  </si>
  <si>
    <t xml:space="preserve">D Destination / hybrid (incremental student)</t>
  </si>
  <si>
    <t xml:space="preserve">E Services marketplace (full)</t>
  </si>
  <si>
    <t xml:space="preserve">E-lite Alumni booking desk</t>
  </si>
  <si>
    <t xml:space="preserve">F1 Masterclasses (CPD)</t>
  </si>
  <si>
    <t xml:space="preserve">F2 Kits + brand partnership</t>
  </si>
  <si>
    <t xml:space="preserve">F3 Pro Circle</t>
  </si>
  <si>
    <t xml:space="preserve">Unit of sale</t>
  </si>
  <si>
    <t xml:space="preserve">Academy (all lines)</t>
  </si>
  <si>
    <t xml:space="preserve">P1 student</t>
  </si>
  <si>
    <t xml:space="preserve">Franchise unit</t>
  </si>
  <si>
    <t xml:space="preserve">Online buyer</t>
  </si>
  <si>
    <t xml:space="preserve">Destination student</t>
  </si>
  <si>
    <t xml:space="preserve">Booking</t>
  </si>
  <si>
    <t xml:space="preserve">Referred booking</t>
  </si>
  <si>
    <t xml:space="preserve">Masterclass seat</t>
  </si>
  <si>
    <t xml:space="preserve">Career student (kit) + sponsor</t>
  </si>
  <si>
    <t xml:space="preserve">Paid member-year</t>
  </si>
  <si>
    <t xml:space="preserve">Price / AOV incl. GST (₹)</t>
  </si>
  <si>
    <t xml:space="preserve">Net revenue per unit ex-GST (₹)</t>
  </si>
  <si>
    <t xml:space="preserve">Units per year at maturity</t>
  </si>
  <si>
    <t xml:space="preserve">Revenue per year (₹ lakh)</t>
  </si>
  <si>
    <t xml:space="preserve">Variable cost per unit (₹)</t>
  </si>
  <si>
    <t xml:space="preserve">Contribution per unit (₹)</t>
  </si>
  <si>
    <t xml:space="preserve">Contribution per year (₹ lakh)</t>
  </si>
  <si>
    <t xml:space="preserve">Fixed cost per year attributable (₹ lakh)</t>
  </si>
  <si>
    <t xml:space="preserve">EBITDA per year (₹ lakh)</t>
  </si>
  <si>
    <t xml:space="preserve">Upfront investment (₹ lakh)</t>
  </si>
  <si>
    <t xml:space="preserve">Payback (years)</t>
  </si>
  <si>
    <t xml:space="preserve">immediate</t>
  </si>
  <si>
    <t xml:space="preserve">CAC per customer (₹)</t>
  </si>
  <si>
    <t xml:space="preserve">LTV per customer, contribution (₹)</t>
  </si>
  <si>
    <t xml:space="preserve">n/a</t>
  </si>
  <si>
    <t xml:space="preserve">n/a (studio enquiries)</t>
  </si>
  <si>
    <t xml:space="preserve">LTV / CAC</t>
  </si>
  <si>
    <t xml:space="preserve">Break-even units per year</t>
  </si>
  <si>
    <t xml:space="preserve">Founder dependence</t>
  </si>
  <si>
    <t xml:space="preserve">High -&gt; falling (A-BM-10)</t>
  </si>
  <si>
    <t xml:space="preserve">Medium (needs site lead)</t>
  </si>
  <si>
    <t xml:space="preserve">Medium</t>
  </si>
  <si>
    <t xml:space="preserve">Low for PNA; brand dilution risk high</t>
  </si>
  <si>
    <t xml:space="preserve">Medium (founder content)</t>
  </si>
  <si>
    <t xml:space="preserve">Low</t>
  </si>
  <si>
    <t xml:space="preserve">High (founder-led ~19-25 days/yr)</t>
  </si>
  <si>
    <t xml:space="preserve">Capital intensity</t>
  </si>
  <si>
    <t xml:space="preserve">Low-medium</t>
  </si>
  <si>
    <t xml:space="preserve">High</t>
  </si>
  <si>
    <t xml:space="preserve">Low (franchisee-funded)</t>
  </si>
  <si>
    <t xml:space="preserve">Low (uses flagship seats)</t>
  </si>
  <si>
    <t xml:space="preserve">Very high (two-sided, density)</t>
  </si>
  <si>
    <t xml:space="preserve">Very low</t>
  </si>
  <si>
    <t xml:space="preserve">Verdict (directional)</t>
  </si>
  <si>
    <t xml:space="preserve">Core: necessary</t>
  </si>
  <si>
    <t xml:space="preserve">Defer to G3a</t>
  </si>
  <si>
    <t xml:space="preserve">Pilot after G3a</t>
  </si>
  <si>
    <t xml:space="preserve">G3b only</t>
  </si>
  <si>
    <t xml:space="preserve">Defer: audience gate</t>
  </si>
  <si>
    <t xml:space="preserve">Adopt after G2</t>
  </si>
  <si>
    <t xml:space="preserve">Reject (H5)</t>
  </si>
  <si>
    <t xml:space="preserve">Adopt inside flagship</t>
  </si>
  <si>
    <t xml:space="preserve">Adopt (founder's future role)</t>
  </si>
  <si>
    <t xml:space="preserve">Adopt; kits optional (trust)</t>
  </si>
  <si>
    <t xml:space="preserve">Pilot; gate ≥150 alumni</t>
  </si>
  <si>
    <t xml:space="preserve">A uses Base Y3 from 3yr_Scenarios (whole academy; 'unit' = career student). Contribution per unit for A is (revenue - variable) / career students, so it includes CPD/online/adjacent lines.</t>
  </si>
  <si>
    <t xml:space="preserve">E marketplace: 20% take on a ₹6k AOV leaves ~₹1k per booking before CAC; with ~1.4 bookings per customer LTV/CAC is &lt;1 - confirms H5 (reject).</t>
  </si>
  <si>
    <t xml:space="preserve">Ludhiana: four routes compared (BM spec M4; P1 at ₹80k realised) - contribution to PNA per year and 5-year NPV</t>
  </si>
  <si>
    <t xml:space="preserve">(a) Destination to Chandigarh</t>
  </si>
  <si>
    <t xml:space="preserve">(b) Partner-hosted satellite</t>
  </si>
  <si>
    <t xml:space="preserve">(c) Owned centre</t>
  </si>
  <si>
    <t xml:space="preserve">(d) Franchise (1 unit)</t>
  </si>
  <si>
    <t xml:space="preserve">Students per year enrolled through this route</t>
  </si>
  <si>
    <t xml:space="preserve">destination N_dest vs local-site volume</t>
  </si>
  <si>
    <t xml:space="preserve">Contribution per student to PNA (₹)</t>
  </si>
  <si>
    <t xml:space="preserve">franchise = royalty per student</t>
  </si>
  <si>
    <t xml:space="preserve">Annual fixed cost to PNA (₹)</t>
  </si>
  <si>
    <t xml:space="preserve">Annual contribution after fixed (₹)</t>
  </si>
  <si>
    <t xml:space="preserve">Upfront capex to PNA (₹)</t>
  </si>
  <si>
    <t xml:space="preserve">destination shares hybrid content with flagship</t>
  </si>
  <si>
    <t xml:space="preserve">5-year NPV at A-ECO-319 (₹)</t>
  </si>
  <si>
    <t xml:space="preserve">Break-even students per year</t>
  </si>
  <si>
    <t xml:space="preserve">BM: owned ≈46</t>
  </si>
  <si>
    <t xml:space="preserve">Owned centre beats destination only if local enrolments exceed (fixed + N_dest x dest contribution) / owned contribution</t>
  </si>
  <si>
    <t xml:space="preserve">BM indifference rule ≈46 + 0.9 x N_dest</t>
  </si>
  <si>
    <t xml:space="preserve">Partner satellite beats destination if it enrols more than (x N_dest)</t>
  </si>
  <si>
    <t xml:space="preserve">BM: ≈1.7x</t>
  </si>
  <si>
    <t xml:space="preserve">Student all-in cost: fee + living/travel (₹, A-BM-12 mid)</t>
  </si>
  <si>
    <t xml:space="preserve">hybrid stay ₹17-28k; local commute ₹0-5k</t>
  </si>
  <si>
    <t xml:space="preserve">Local-site enrolment lift vs destination (x N_dest) -&gt; annual contribution after fixed (₹)</t>
  </si>
  <si>
    <t xml:space="preserve">Partner-hosted satellite</t>
  </si>
  <si>
    <t xml:space="preserve">Owned centre</t>
  </si>
  <si>
    <t xml:space="preserve">Destination (reference)</t>
  </si>
  <si>
    <t xml:space="preserve">Capacity: stations, batch slots, trainers and founder hours (Selected scenario)</t>
  </si>
  <si>
    <t xml:space="preserve">Today's Sector 8 space</t>
  </si>
  <si>
    <t xml:space="preserve">New academy space (plan)</t>
  </si>
  <si>
    <t xml:space="preserve">A-ECO-110 / 115 (founder to confirm today's count)</t>
  </si>
  <si>
    <t xml:space="preserve">morning / afternoon (+ weekend/flex)</t>
  </si>
  <si>
    <t xml:space="preserve">Seat capacity (concurrent students)</t>
  </si>
  <si>
    <t xml:space="preserve">Usable seat-months per month (x A-ECO-117)</t>
  </si>
  <si>
    <t xml:space="preserve">Max new L3 students per year if seats held 3 months</t>
  </si>
  <si>
    <t xml:space="preserve">upper bound with no L2/destination/hybrid</t>
  </si>
  <si>
    <t xml:space="preserve">Seat-months needed per year at A-GRO-01 (L3 x3 + L2 x1)</t>
  </si>
  <si>
    <t xml:space="preserve">Utilisation at A-GRO-01 steady state</t>
  </si>
  <si>
    <t xml:space="preserve">&gt;100% = target does not fit</t>
  </si>
  <si>
    <t xml:space="preserve">Batch-slots active at A-GRO-01 (seat-months/12 / cohort fill)</t>
  </si>
  <si>
    <t xml:space="preserve">Trainer FTE needed at month-12 founder share (A-BM-10b)</t>
  </si>
  <si>
    <t xml:space="preserve">slots one FTE leads: A-ECO-46</t>
  </si>
  <si>
    <t xml:space="preserve">Founder contact hours per month at month 12 (slots x 4 h x 22 days x share)</t>
  </si>
  <si>
    <t xml:space="preserve">plus masterclasses ~19-25 days/yr (A-BM-05)</t>
  </si>
  <si>
    <t xml:space="preserve">Rent per month</t>
  </si>
  <si>
    <t xml:space="preserve">S-CHD-22 bands; today's share unknown</t>
  </si>
  <si>
    <t xml:space="preserve">Rent per usable seat-month</t>
  </si>
  <si>
    <t xml:space="preserve">First month seat capacity binds (Base outlook)</t>
  </si>
  <si>
    <t xml:space="preserve">drives the move decision (A-ECO-112)</t>
  </si>
  <si>
    <t xml:space="preserve">Sensitivity - tornado on Base Year-1 EBITDA and peak cash need (each row = full monthly model re-run, Flex_* sheets)</t>
  </si>
  <si>
    <t xml:space="preserve">Low/high are 'adverse'/'favourable' settings of one driver; all else at Base. Bars are text-based so they render anywhere.</t>
  </si>
  <si>
    <t xml:space="preserve">Driver</t>
  </si>
  <si>
    <t xml:space="preserve">Adverse setting</t>
  </si>
  <si>
    <t xml:space="preserve">Favourable setting</t>
  </si>
  <si>
    <t xml:space="preserve">EBITDA adverse</t>
  </si>
  <si>
    <t xml:space="preserve">EBITDA favourable</t>
  </si>
  <si>
    <t xml:space="preserve">EBITDA swing</t>
  </si>
  <si>
    <t xml:space="preserve">Rank</t>
  </si>
  <si>
    <t xml:space="preserve">Peak cash adverse</t>
  </si>
  <si>
    <t xml:space="preserve">Peak cash favourable</t>
  </si>
  <si>
    <t xml:space="preserve">Career enrol. adverse</t>
  </si>
  <si>
    <t xml:space="preserve">Career enrol. favourable</t>
  </si>
  <si>
    <t xml:space="preserve">Tornado (EBITDA swing)</t>
  </si>
  <si>
    <t xml:space="preserve">Base case</t>
  </si>
  <si>
    <t xml:space="preserve">Conversion (all routes; low = founder step-back ÷1.25)</t>
  </si>
  <si>
    <t xml:space="preserve">x0.8</t>
  </si>
  <si>
    <t xml:space="preserve">x1.2</t>
  </si>
  <si>
    <t xml:space="preserve">Fees (all products)</t>
  </si>
  <si>
    <t xml:space="preserve">x1.15</t>
  </si>
  <si>
    <t xml:space="preserve">Cohort fill (students per batch 8 vs 12)</t>
  </si>
  <si>
    <t xml:space="preserve">CPL / CAC (paid routes)</t>
  </si>
  <si>
    <t xml:space="preserve">x1.3</t>
  </si>
  <si>
    <t xml:space="preserve">x0.7</t>
  </si>
  <si>
    <t xml:space="preserve">Variable delivery cost (kit, consumables)</t>
  </si>
  <si>
    <t xml:space="preserve">x1.25</t>
  </si>
  <si>
    <t xml:space="preserve">x0.75</t>
  </si>
  <si>
    <t xml:space="preserve">Rent (₹130 vs ₹47 per sq ft vs ₹80)</t>
  </si>
  <si>
    <t xml:space="preserve">x1.625</t>
  </si>
  <si>
    <t xml:space="preserve">x0.5875</t>
  </si>
  <si>
    <t xml:space="preserve">Paid-media budget (holding the target)</t>
  </si>
  <si>
    <t xml:space="preserve">GST charged on top of list fees (vs absorbed in quoted fee)</t>
  </si>
  <si>
    <t xml:space="preserve">incl. (base)</t>
  </si>
  <si>
    <t xml:space="preserve">on top</t>
  </si>
  <si>
    <t xml:space="preserve">Conversion low (x0.8) doubles as the BM founder step-back stress (team-led conversion = founder-led ÷1.25, A-GRO-25). Fee low (x0.8) ≈ BM price stress (₹80k -&gt; ₹64k realised).</t>
  </si>
  <si>
    <t xml:space="preserve">Budget rows hold the enrolment target: a smaller budget buys fewer paid enrolments; a larger one cannot exceed the plan target (A-GRO-01) or seat capacity.</t>
  </si>
  <si>
    <t xml:space="preserve">Unit tornado: contribution after CAC per paid L3 student (post price-step, Base) - one driver at a time</t>
  </si>
  <si>
    <t xml:space="preserve">Adverse</t>
  </si>
  <si>
    <t xml:space="preserve">Favourable</t>
  </si>
  <si>
    <t xml:space="preserve">Contribution adverse</t>
  </si>
  <si>
    <t xml:space="preserve">Contribution favourable</t>
  </si>
  <si>
    <t xml:space="preserve">Swing</t>
  </si>
  <si>
    <t xml:space="preserve">Realised L3 fee ₹64k / ₹92k (x0.8 / x1.15)</t>
  </si>
  <si>
    <t xml:space="preserve">Cohort fill 8 / 12 students</t>
  </si>
  <si>
    <t xml:space="preserve">Effective paid CAC per paid student x1.3 / x0.7</t>
  </si>
  <si>
    <t xml:space="preserve">Consumables x1.25 / x0.75</t>
  </si>
  <si>
    <t xml:space="preserve">EMI subvention 7% / 3%</t>
  </si>
  <si>
    <t xml:space="preserve">x1.4</t>
  </si>
  <si>
    <t xml:space="preserve">x0.6</t>
  </si>
  <si>
    <t xml:space="preserve">Base contribution after CAC per L3 student</t>
  </si>
  <si>
    <t xml:space="preserve">12-month operating outlook - Conservative (adverse rates, ₹10L plan) (₹, ex-GST, Nov-2026 to Oct-2027)</t>
  </si>
  <si>
    <t xml:space="preserve">Cash/booking basis. Enrolments follow the Growth plan target (A-GRO-01) limited by what the paid budget can buy and by seat capacity. Blue cells in rows 3-4 are flex switches used by Sensitivity.</t>
  </si>
  <si>
    <t xml:space="preserve">Rate index (1 Cons / 2 Base / 3 Aggr)</t>
  </si>
  <si>
    <t xml:space="preserve">Plan index</t>
  </si>
  <si>
    <t xml:space="preserve">conv x</t>
  </si>
  <si>
    <t xml:space="preserve">fee x</t>
  </si>
  <si>
    <t xml:space="preserve">fill x</t>
  </si>
  <si>
    <t xml:space="preserve">CPL x</t>
  </si>
  <si>
    <t xml:space="preserve">var cost x</t>
  </si>
  <si>
    <t xml:space="preserve">rent x</t>
  </si>
  <si>
    <t xml:space="preserve">GST incl.?</t>
  </si>
  <si>
    <t xml:space="preserve">budget x</t>
  </si>
  <si>
    <t xml:space="preserve">Line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</si>
  <si>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</si>
  <si>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</si>
  <si>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</si>
  <si>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</si>
  <si>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</si>
  <si>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</si>
  <si>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</si>
  <si>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</si>
  <si>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</si>
  <si>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</si>
  <si>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</si>
  <si>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</si>
  <si>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Year 1</t>
  </si>
  <si>
    <t xml:space="preserve">Basis / IDs</t>
  </si>
  <si>
    <t xml:space="preserve">A. Timeline</t>
  </si>
  <si>
    <t xml:space="preserve">Month #</t>
  </si>
  <si>
    <t xml:space="preserve">Calendar month number</t>
  </si>
  <si>
    <t xml:space="preserve">Career-enquiry seasonality (A-GRO-40)</t>
  </si>
  <si>
    <t xml:space="preserve">Self-makeup seasonality (A-ECO-60)</t>
  </si>
  <si>
    <t xml:space="preserve">Founder share of contact hours (A-BM-10 path)</t>
  </si>
  <si>
    <t xml:space="preserve">B. Career enrolments (L2 + L3) - demand, budget and capacity</t>
  </si>
  <si>
    <t xml:space="preserve">Today's career enrolments per month (CA-01 x A-ECO-101 / 12) - illustrative</t>
  </si>
  <si>
    <t xml:space="preserve">Plan target path (ramps to A-GRO-01 by month 7)</t>
  </si>
  <si>
    <t xml:space="preserve">Paid media budget (Growth ramp)</t>
  </si>
  <si>
    <t xml:space="preserve">A-GRO-BUD-01..12</t>
  </si>
  <si>
    <t xml:space="preserve">Effective paid CAC = funnel paid CAC x overhead factor x CPL flex / conversion flex</t>
  </si>
  <si>
    <t xml:space="preserve">Speed-to-lead factor (A-GRO-24 on CTWA/Search/Organic before SLA month)</t>
  </si>
  <si>
    <t xml:space="preserve">Paid career enrolments the budget can buy</t>
  </si>
  <si>
    <t xml:space="preserve">Career demand = seasonality x SLA x (non-paid share x target x conv + MIN(paid share x target, budget-bought))</t>
  </si>
  <si>
    <t xml:space="preserve">Stations available</t>
  </si>
  <si>
    <t xml:space="preserve">Usable seat capacity (stations x slots x max use)</t>
  </si>
  <si>
    <t xml:space="preserve">Destination/hybrid format share of new L3 (out-of-town students after launch)</t>
  </si>
  <si>
    <t xml:space="preserve">Seats held by continuing students (L3 from m-1, m-2; destination from m-1 x1.25)</t>
  </si>
  <si>
    <t xml:space="preserve">Seats needed for this month's new starts</t>
  </si>
  <si>
    <t xml:space="preserve">Share of demand that fits (capacity constraint)</t>
  </si>
  <si>
    <t xml:space="preserve">L3 Professional Bridal Programme - local formats (weekday/flex) enrolments</t>
  </si>
  <si>
    <t xml:space="preserve">L3 destination/hybrid format enrolments (out-of-town)</t>
  </si>
  <si>
    <t xml:space="preserve">L2 Foundation enrolments</t>
  </si>
  <si>
    <t xml:space="preserve">L2 -&gt; L3 upgrades (fee credited; A-ECO-36)</t>
  </si>
  <si>
    <t xml:space="preserve">Career enrolments (new students, L2 + L3)</t>
  </si>
  <si>
    <t xml:space="preserve">  of which out-of-town (A-GRO-37)</t>
  </si>
  <si>
    <t xml:space="preserve">Seats occupied</t>
  </si>
  <si>
    <t xml:space="preserve">Seat utilisation (occupied / stations x slots)</t>
  </si>
  <si>
    <t xml:space="preserve">Capacity binds flag (1 = demand does not fully fit)</t>
  </si>
  <si>
    <t xml:space="preserve">C. Other products</t>
  </si>
  <si>
    <t xml:space="preserve">L4 masterclass seats sold (from M3, 6-month ramp)</t>
  </si>
  <si>
    <t xml:space="preserve">L1-S5 self-makeup seats</t>
  </si>
  <si>
    <t xml:space="preserve">L1 Career Taster tickets (taster-route enrolments / per-ticket conversion)</t>
  </si>
  <si>
    <t xml:space="preserve">Regional pop-up events</t>
  </si>
  <si>
    <t xml:space="preserve">Pop-up paid attendees</t>
  </si>
  <si>
    <t xml:space="preserve">L5 Pro Circle new paid members (S3 buyers; graduates free in year 1)</t>
  </si>
  <si>
    <t xml:space="preserve">D. Prices (incl. GST as quoted)</t>
  </si>
  <si>
    <t xml:space="preserve">L3 realised fee (CA-02 until price step A-ECO-104, then A-BM-02)</t>
  </si>
  <si>
    <t xml:space="preserve">Kit included in fee? (1 before step)</t>
  </si>
  <si>
    <t xml:space="preserve">E. Revenue (ex-GST)</t>
  </si>
  <si>
    <t xml:space="preserve">L3 local formats</t>
  </si>
  <si>
    <t xml:space="preserve">L3 destination/hybrid (price parity)</t>
  </si>
  <si>
    <t xml:space="preserve">L2 -&gt; L3 upgrades (L3 fee less credited L2 fee)</t>
  </si>
  <si>
    <t xml:space="preserve">L1 Taster tickets (net of credits to enrollers)</t>
  </si>
  <si>
    <t xml:space="preserve">L4 masterclasses</t>
  </si>
  <si>
    <t xml:space="preserve">L1-S5 self-makeup</t>
  </si>
  <si>
    <t xml:space="preserve">Pop-up tickets</t>
  </si>
  <si>
    <t xml:space="preserve">L5 Pro Circle</t>
  </si>
  <si>
    <t xml:space="preserve">Optional kit margin (post-step, near-cost kit)</t>
  </si>
  <si>
    <t xml:space="preserve">  of which career programmes (L2 + L3)</t>
  </si>
  <si>
    <t xml:space="preserve">F. Variable costs</t>
  </si>
  <si>
    <t xml:space="preserve">L3 consumables / models (local + upgrades: A-BM-16; destination: A-ECO-41)</t>
  </si>
  <si>
    <t xml:space="preserve">Kit cost while fee includes kit (A-ECO-103)</t>
  </si>
  <si>
    <t xml:space="preserve">L2 consumables</t>
  </si>
  <si>
    <t xml:space="preserve">Masterclass, self-makeup and taster delivery costs</t>
  </si>
  <si>
    <t xml:space="preserve">Pop-up event costs (A-BM-06c)</t>
  </si>
  <si>
    <t xml:space="preserve">Pro Circle cost to serve</t>
  </si>
  <si>
    <t xml:space="preserve">Payment gateway (A-GRO-41) + no-cost EMI subvention on L3 (A-GRO-35 x 35b)</t>
  </si>
  <si>
    <t xml:space="preserve">Referral rewards (A-GRO-34 x referral-route enrolments)</t>
  </si>
  <si>
    <t xml:space="preserve">Total variable costs</t>
  </si>
  <si>
    <t xml:space="preserve">Contribution (revenue - variable)</t>
  </si>
  <si>
    <t xml:space="preserve">G. People (trainers follow batches and the founder step-back path)</t>
  </si>
  <si>
    <t xml:space="preserve">Active batch-slots (seats occupied / cohort fill)</t>
  </si>
  <si>
    <t xml:space="preserve">Batch-slots taught by trainers (x (1 - founder share))</t>
  </si>
  <si>
    <t xml:space="preserve">Lead trainer (FTE)</t>
  </si>
  <si>
    <t xml:space="preserve">Additional trainers (FTE; 0.1 FTE overflow absorbed by founder/assistant)</t>
  </si>
  <si>
    <t xml:space="preserve">Assistants (FTE; 1 per 2 active batch-slots, practical ratio ≤1:6)</t>
  </si>
  <si>
    <t xml:space="preserve">Trainer + assistant cost</t>
  </si>
  <si>
    <t xml:space="preserve">Admissions counsellors (A-GRO-45 x FTE)</t>
  </si>
  <si>
    <t xml:space="preserve">Marketing/content team, shooter/editor, performance and SEO freelancers (Growth §10)</t>
  </si>
  <si>
    <t xml:space="preserve">Front-desk / operations coordinator (from move)</t>
  </si>
  <si>
    <t xml:space="preserve">Academy manager / admissions head</t>
  </si>
  <si>
    <t xml:space="preserve">Total people cost (founder not charged - owner's return)</t>
  </si>
  <si>
    <t xml:space="preserve">H. Occupancy, marketing and overheads</t>
  </si>
  <si>
    <t xml:space="preserve">Rent: today's academy share, or new space from move month</t>
  </si>
  <si>
    <t xml:space="preserve">Utilities, housekeeping, maintenance</t>
  </si>
  <si>
    <t xml:space="preserve">Martech stack (A-GRO-42) + LMS after hybrid launch</t>
  </si>
  <si>
    <t xml:space="preserve">Paid media (Growth budget)</t>
  </si>
  <si>
    <t xml:space="preserve">Partnerships, PR / outcomes report, contingency (A-ECO-58)</t>
  </si>
  <si>
    <t xml:space="preserve">Admin, accounting, insurance, misc. (A-ECO-134)</t>
  </si>
  <si>
    <t xml:space="preserve">One-offs: website rebuild (M1, A-GRO-49); B&amp;WSSC/legal/accounting (M3, A-ECO-135)</t>
  </si>
  <si>
    <t xml:space="preserve">Total fixed and overhead opex (incl. people)</t>
  </si>
  <si>
    <t xml:space="preserve">Memo: EBITDA after a founder-role market salary (A-ECO-138)</t>
  </si>
  <si>
    <t xml:space="preserve">I. Capex, deposits and cash</t>
  </si>
  <si>
    <t xml:space="preserve">Fit-out of new space (month before move)</t>
  </si>
  <si>
    <t xml:space="preserve">Additional stations</t>
  </si>
  <si>
    <t xml:space="preserve">Security deposit (refundable; cash out)</t>
  </si>
  <si>
    <t xml:space="preserve">CRM / WhatsApp BSP / GBP / photo-video proof kit (M1)</t>
  </si>
  <si>
    <t xml:space="preserve">Hybrid pre-work content + LMS set-up (2 months before launch)</t>
  </si>
  <si>
    <t xml:space="preserve">Total capex and deposits</t>
  </si>
  <si>
    <t xml:space="preserve">Instalment timing: career cash received later than booked (A-ECO-34 payment months)</t>
  </si>
  <si>
    <t xml:space="preserve">Net cash flow (EBITDA + timing - capex; before tax, GST timing, founder draw)</t>
  </si>
  <si>
    <t xml:space="preserve">EBITDA &gt;= 0 flag</t>
  </si>
  <si>
    <t xml:space="preserve">J. Year-1 KPIs, break-even and gate metrics</t>
  </si>
  <si>
    <t xml:space="preserve">Fixed + overhead opex, month 12</t>
  </si>
  <si>
    <t xml:space="preserve">Non-career contribution, month 12</t>
  </si>
  <si>
    <t xml:space="preserve">12-month operating outlook - Base (base rates, ₹30L plan) (₹, ex-GST, Nov-2026 to Oct-2027)</t>
  </si>
  <si>
    <t xml:space="preserve">12-month operating outlook - Aggressive (favourable rates, ₹50L plan) (₹, ex-GST, Nov-2026 to Oct-2027)</t>
  </si>
  <si>
    <t xml:space="preserve">12-month operating outlook - scenario chosen on Assumptions!C3 (₹, ex-GST, Nov-2026 to Oct-2027)</t>
  </si>
  <si>
    <t xml:space="preserve">12-month operating outlook - ₹10L plan at Base rates (envelope test) (₹, ex-GST, Nov-2026 to Oct-2027)</t>
  </si>
  <si>
    <t xml:space="preserve">12-month operating outlook - ₹50L plan at Base rates (envelope test) (₹, ex-GST, Nov-2026 to Oct-2027)</t>
  </si>
  <si>
    <t xml:space="preserve">12-month operating outlook - Base with Conversion (all routes; low = founder step-back ÷1.25) x0.8 (₹, ex-GST, Nov-2026 to Oct-2027)</t>
  </si>
  <si>
    <t xml:space="preserve">12-month operating outlook - Base with Conversion (all routes; low = founder step-back ÷1.25) x1.2 (₹, ex-GST, Nov-2026 to Oct-2027)</t>
  </si>
  <si>
    <t xml:space="preserve">12-month operating outlook - Base with Fees (all products) x0.8 (₹, ex-GST, Nov-2026 to Oct-2027)</t>
  </si>
  <si>
    <t xml:space="preserve">12-month operating outlook - Base with Fees (all products) x1.15 (₹, ex-GST, Nov-2026 to Oct-2027)</t>
  </si>
  <si>
    <t xml:space="preserve">12-month operating outlook - Base with Cohort fill (students per batch 8 vs 12) x0.8 (₹, ex-GST, Nov-2026 to Oct-2027)</t>
  </si>
  <si>
    <t xml:space="preserve">12-month operating outlook - Base with Cohort fill (students per batch 8 vs 12) x1.2 (₹, ex-GST, Nov-2026 to Oct-2027)</t>
  </si>
  <si>
    <t xml:space="preserve">12-month operating outlook - Base with CPL / CAC (paid routes) x1.3 (₹, ex-GST, Nov-2026 to Oct-2027)</t>
  </si>
  <si>
    <t xml:space="preserve">12-month operating outlook - Base with CPL / CAC (paid routes) x0.7 (₹, ex-GST, Nov-2026 to Oct-2027)</t>
  </si>
  <si>
    <t xml:space="preserve">12-month operating outlook - Base with Variable delivery cost (kit, consumables) x1.25 (₹, ex-GST, Nov-2026 to Oct-2027)</t>
  </si>
  <si>
    <t xml:space="preserve">12-month operating outlook - Base with Variable delivery cost (kit, consumables) x0.75 (₹, ex-GST, Nov-2026 to Oct-2027)</t>
  </si>
  <si>
    <t xml:space="preserve">12-month operating outlook - Base with Rent (₹130 vs ₹47 per sq ft vs ₹80) x1.625 (₹, ex-GST, Nov-2026 to Oct-2027)</t>
  </si>
  <si>
    <t xml:space="preserve">12-month operating outlook - Base with Rent (₹130 vs ₹47 per sq ft vs ₹80) x0.5875 (₹, ex-GST, Nov-2026 to Oct-2027)</t>
  </si>
  <si>
    <t xml:space="preserve">12-month operating outlook - Base with Paid-media budget (holding the target) x0.7 (₹, ex-GST, Nov-2026 to Oct-2027)</t>
  </si>
  <si>
    <t xml:space="preserve">12-month operating outlook - Base with Paid-media budget (holding the target) x1.3 (₹, ex-GST, Nov-2026 to Oct-2027)</t>
  </si>
  <si>
    <t xml:space="preserve">12-month operating outlook - Base with GST charged on top of list fees (₹, ex-GST, Nov-2026 to Oct-2027)</t>
  </si>
  <si>
    <t xml:space="preserve">Integrity checks (TRUE = pass)</t>
  </si>
  <si>
    <t xml:space="preserve">Check</t>
  </si>
  <si>
    <t xml:space="preserve">Result</t>
  </si>
  <si>
    <t xml:space="preserve">Outlook_Conservative: seat utilisation never above 100%</t>
  </si>
  <si>
    <t xml:space="preserve">Outlook_Conservative: revenue lines sum to total</t>
  </si>
  <si>
    <t xml:space="preserve">Outlook_Conservative: EBITDA = contribution - fixed</t>
  </si>
  <si>
    <t xml:space="preserve">Outlook_Base: seat utilisation never above 100%</t>
  </si>
  <si>
    <t xml:space="preserve">Outlook_Base: revenue lines sum to total</t>
  </si>
  <si>
    <t xml:space="preserve">Outlook_Base: EBITDA = contribution - fixed</t>
  </si>
  <si>
    <t xml:space="preserve">Outlook_Aggressive: seat utilisation never above 100%</t>
  </si>
  <si>
    <t xml:space="preserve">Outlook_Aggressive: revenue lines sum to total</t>
  </si>
  <si>
    <t xml:space="preserve">Outlook_Aggressive: EBITDA = contribution - fixed</t>
  </si>
  <si>
    <t xml:space="preserve">Plan10L_BaseRates: seat utilisation never above 100%</t>
  </si>
  <si>
    <t xml:space="preserve">Plan10L_BaseRates: revenue lines sum to total</t>
  </si>
  <si>
    <t xml:space="preserve">Plan10L_BaseRates: EBITDA = contribution - fixed</t>
  </si>
  <si>
    <t xml:space="preserve">Plan50L_BaseRates: seat utilisation never above 100%</t>
  </si>
  <si>
    <t xml:space="preserve">Plan50L_BaseRates: revenue lines sum to total</t>
  </si>
  <si>
    <t xml:space="preserve">Plan50L_BaseRates: EBITDA = contribution - fixed</t>
  </si>
  <si>
    <t xml:space="preserve">Outlook_Selected: seat utilisation never above 100%</t>
  </si>
  <si>
    <t xml:space="preserve">Outlook_Selected: revenue lines sum to total</t>
  </si>
  <si>
    <t xml:space="preserve">Outlook_Selected: EBITDA = contribution - fixed</t>
  </si>
  <si>
    <t xml:space="preserve">3yr Conservative Y1: SOM layers reconcile</t>
  </si>
  <si>
    <t xml:space="preserve">3yr Conservative Y2: SOM layers reconcile</t>
  </si>
  <si>
    <t xml:space="preserve">3yr Conservative Y3: SOM layers reconcile</t>
  </si>
  <si>
    <t xml:space="preserve">3yr Base Y1: SOM layers reconcile</t>
  </si>
  <si>
    <t xml:space="preserve">3yr Base Y2: SOM layers reconcile</t>
  </si>
  <si>
    <t xml:space="preserve">3yr Base Y3: SOM layers reconcile</t>
  </si>
  <si>
    <t xml:space="preserve">3yr Aggressive Y1: SOM layers reconcile</t>
  </si>
  <si>
    <t xml:space="preserve">3yr Aggressive Y2: SOM layers reconcile</t>
  </si>
  <si>
    <t xml:space="preserve">3yr Aggressive Y3: SOM layers reconcile</t>
  </si>
  <si>
    <t xml:space="preserve">Selected outlook equals Base when selector = Base</t>
  </si>
  <si>
    <t xml:space="preserve">Calibration: Base month-12 paid demand is budget-limited exactly at target (A-ECO-51)</t>
  </si>
  <si>
    <t xml:space="preserve">All checks pass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</si>
</sst>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[RED]\-#,##0.0"/>
    <numFmt numFmtId="166" formatCode="0.0%;[RED]\-0.0%"/>
    <numFmt numFmtId="167" formatCode="#,##0;[RED]\-#,##0"/>
    <numFmt numFmtId="168" formatCode="\₹#,##0;[RED]&quot;-₹&quot;#,##0"/>
    <numFmt numFmtId="169" formatCode="General"/>
    <numFmt numFmtId="170" formatCode="#,##0.00;[RED]\-#,##0.00"/>
    <numFmt numFmtId="171" formatCode="0.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i val="true"/>
      <sz val="9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11"/>
      <color rgb="FF0000CC"/>
      <name val="Cambria"/>
      <family val="0"/>
      <charset val="1"/>
    </font>
    <font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48" hidden="false" customHeight="true" outlineLevel="0" collapsed="false">
      <c r="A4" s="3" t="s">
        <v>2</v>
      </c>
      <c r="B4" s="4" t="s">
        <v>3</v>
      </c>
    </row>
    <row r="5" customFormat="false" ht="48" hidden="false" customHeight="true" outlineLevel="0" collapsed="false">
      <c r="A5" s="3" t="s">
        <v>4</v>
      </c>
      <c r="B5" s="4" t="s">
        <v>5</v>
      </c>
    </row>
    <row r="6" customFormat="false" ht="48" hidden="false" customHeight="true" outlineLevel="0" collapsed="false">
      <c r="A6" s="3" t="s">
        <v>6</v>
      </c>
      <c r="B6" s="4" t="s">
        <v>7</v>
      </c>
    </row>
    <row r="7" customFormat="false" ht="48" hidden="false" customHeight="true" outlineLevel="0" collapsed="false">
      <c r="A7" s="3" t="s">
        <v>8</v>
      </c>
      <c r="B7" s="4" t="s">
        <v>9</v>
      </c>
    </row>
    <row r="8" customFormat="false" ht="48" hidden="false" customHeight="true" outlineLevel="0" collapsed="false">
      <c r="A8" s="3" t="s">
        <v>10</v>
      </c>
      <c r="B8" s="4" t="s">
        <v>11</v>
      </c>
    </row>
    <row r="9" customFormat="false" ht="48" hidden="false" customHeight="true" outlineLevel="0" collapsed="false">
      <c r="A9" s="3" t="s">
        <v>12</v>
      </c>
      <c r="B9" s="4" t="s">
        <v>13</v>
      </c>
    </row>
    <row r="10" customFormat="false" ht="48" hidden="false" customHeight="true" outlineLevel="0" collapsed="false">
      <c r="A10" s="3" t="s">
        <v>14</v>
      </c>
      <c r="B10" s="4" t="s">
        <v>15</v>
      </c>
    </row>
    <row r="11" customFormat="false" ht="48" hidden="false" customHeight="true" outlineLevel="0" collapsed="false">
      <c r="A11" s="3" t="s">
        <v>16</v>
      </c>
      <c r="B1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0" min="2" style="0" width="13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28.3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</row>
    <row r="5" customFormat="false" ht="15" hidden="false" customHeight="false" outlineLevel="0" collapsed="false">
      <c r="A5" s="0" t="s">
        <v>27</v>
      </c>
      <c r="B5" s="6" t="n">
        <f aca="false">Outlook_Conservative!B109/100000</f>
        <v>16.7143963559344</v>
      </c>
      <c r="C5" s="6" t="n">
        <f aca="false">Outlook_Base!B109/100000</f>
        <v>71.143532773677</v>
      </c>
      <c r="D5" s="6" t="n">
        <f aca="false">Outlook_Aggressive!B109/100000</f>
        <v>134.554282864859</v>
      </c>
      <c r="E5" s="6" t="n">
        <f aca="false">Plan10L_BaseRates!B109/100000</f>
        <v>38.1348137662695</v>
      </c>
      <c r="F5" s="6" t="n">
        <f aca="false">Plan50L_BaseRates!B109/100000</f>
        <v>99.9291872774614</v>
      </c>
    </row>
    <row r="6" customFormat="false" ht="15" hidden="false" customHeight="false" outlineLevel="0" collapsed="false">
      <c r="A6" s="0" t="s">
        <v>28</v>
      </c>
      <c r="B6" s="6" t="n">
        <f aca="false">Outlook_Conservative!B110/100000</f>
        <v>-13.554457132969</v>
      </c>
      <c r="C6" s="6" t="n">
        <f aca="false">Outlook_Base!B110/100000</f>
        <v>5.51465510168139</v>
      </c>
      <c r="D6" s="6" t="n">
        <f aca="false">Outlook_Aggressive!B110/100000</f>
        <v>35.0664776546315</v>
      </c>
      <c r="E6" s="6" t="n">
        <f aca="false">Plan10L_BaseRates!B110/100000</f>
        <v>9.54919441078715</v>
      </c>
      <c r="F6" s="6" t="n">
        <f aca="false">Plan50L_BaseRates!B110/100000</f>
        <v>-4.54793059706306</v>
      </c>
    </row>
    <row r="7" customFormat="false" ht="15" hidden="false" customHeight="false" outlineLevel="0" collapsed="false">
      <c r="A7" s="0" t="s">
        <v>29</v>
      </c>
      <c r="B7" s="7" t="n">
        <f aca="false">Outlook_Conservative!B111</f>
        <v>-0.810945058638418</v>
      </c>
      <c r="C7" s="7" t="n">
        <f aca="false">Outlook_Base!B111</f>
        <v>0.07751449621183</v>
      </c>
      <c r="D7" s="7" t="n">
        <f aca="false">Outlook_Aggressive!B111</f>
        <v>0.26061212551555</v>
      </c>
      <c r="E7" s="7" t="n">
        <f aca="false">Plan10L_BaseRates!B111</f>
        <v>0.250406215939973</v>
      </c>
      <c r="F7" s="7" t="n">
        <f aca="false">Plan50L_BaseRates!B111</f>
        <v>-0.0455115339268733</v>
      </c>
    </row>
    <row r="8" customFormat="false" ht="15" hidden="false" customHeight="false" outlineLevel="0" collapsed="false">
      <c r="A8" s="0" t="s">
        <v>30</v>
      </c>
      <c r="B8" s="6" t="n">
        <f aca="false">Outlook_Conservative!B112/100000</f>
        <v>-22.554457132969</v>
      </c>
      <c r="C8" s="6" t="n">
        <f aca="false">Outlook_Base!B112/100000</f>
        <v>-3.48534489831861</v>
      </c>
      <c r="D8" s="6" t="n">
        <f aca="false">Outlook_Aggressive!B112/100000</f>
        <v>26.0664776546315</v>
      </c>
      <c r="E8" s="6" t="n">
        <f aca="false">Plan10L_BaseRates!B112/100000</f>
        <v>0.549194410787154</v>
      </c>
      <c r="F8" s="6" t="n">
        <f aca="false">Plan50L_BaseRates!B112/100000</f>
        <v>-13.5479305970631</v>
      </c>
    </row>
    <row r="9" customFormat="false" ht="15" hidden="false" customHeight="false" outlineLevel="0" collapsed="false">
      <c r="A9" s="0" t="s">
        <v>31</v>
      </c>
      <c r="B9" s="6" t="n">
        <f aca="false">Outlook_Conservative!B113/100000</f>
        <v>0.5</v>
      </c>
      <c r="C9" s="6" t="n">
        <f aca="false">Outlook_Base!B113/100000</f>
        <v>19.72</v>
      </c>
      <c r="D9" s="6" t="n">
        <f aca="false">Outlook_Aggressive!B113/100000</f>
        <v>27.04</v>
      </c>
      <c r="E9" s="6" t="n">
        <f aca="false">Plan10L_BaseRates!B113/100000</f>
        <v>0.5</v>
      </c>
      <c r="F9" s="6" t="n">
        <f aca="false">Plan50L_BaseRates!B113/100000</f>
        <v>27.04</v>
      </c>
    </row>
    <row r="10" customFormat="false" ht="15" hidden="false" customHeight="false" outlineLevel="0" collapsed="false">
      <c r="A10" s="0" t="s">
        <v>32</v>
      </c>
      <c r="B10" s="6" t="n">
        <f aca="false">Outlook_Conservative!B114/100000</f>
        <v>15.4432169386837</v>
      </c>
      <c r="C10" s="6" t="n">
        <f aca="false">Outlook_Base!B114/100000</f>
        <v>26.1422351919159</v>
      </c>
      <c r="D10" s="6" t="n">
        <f aca="false">Outlook_Aggressive!B114/100000</f>
        <v>28.8070601613908</v>
      </c>
      <c r="E10" s="6" t="n">
        <f aca="false">Plan10L_BaseRates!B114/100000</f>
        <v>4.13720736136519</v>
      </c>
      <c r="F10" s="6" t="n">
        <f aca="false">Plan50L_BaseRates!B114/100000</f>
        <v>45.3618280393026</v>
      </c>
    </row>
    <row r="11" customFormat="false" ht="15" hidden="false" customHeight="false" outlineLevel="0" collapsed="false">
      <c r="A11" s="0" t="s">
        <v>33</v>
      </c>
      <c r="B11" s="6" t="n">
        <f aca="false">Outlook_Conservative!B115/100000</f>
        <v>10</v>
      </c>
      <c r="C11" s="6" t="n">
        <f aca="false">Outlook_Base!B115/100000</f>
        <v>30</v>
      </c>
      <c r="D11" s="6" t="n">
        <f aca="false">Outlook_Aggressive!B115/100000</f>
        <v>50</v>
      </c>
      <c r="E11" s="6" t="n">
        <f aca="false">Plan10L_BaseRates!B115/100000</f>
        <v>10</v>
      </c>
      <c r="F11" s="6" t="n">
        <f aca="false">Plan50L_BaseRates!B115/100000</f>
        <v>50</v>
      </c>
    </row>
    <row r="12" customFormat="false" ht="15" hidden="false" customHeight="false" outlineLevel="0" collapsed="false">
      <c r="A12" s="0" t="s">
        <v>34</v>
      </c>
      <c r="B12" s="6" t="n">
        <f aca="false">Outlook_Conservative!B116/100000</f>
        <v>-5.44321693868374</v>
      </c>
      <c r="C12" s="6" t="n">
        <f aca="false">Outlook_Base!B116/100000</f>
        <v>3.85776480808409</v>
      </c>
      <c r="D12" s="6" t="n">
        <f aca="false">Outlook_Aggressive!B116/100000</f>
        <v>21.1929398386092</v>
      </c>
      <c r="E12" s="6" t="n">
        <f aca="false">Plan10L_BaseRates!B116/100000</f>
        <v>5.86279263863481</v>
      </c>
      <c r="F12" s="6" t="n">
        <f aca="false">Plan50L_BaseRates!B116/100000</f>
        <v>4.63817196069744</v>
      </c>
    </row>
    <row r="13" customFormat="false" ht="15" hidden="false" customHeight="false" outlineLevel="0" collapsed="false">
      <c r="A13" s="0" t="s">
        <v>35</v>
      </c>
      <c r="B13" s="8" t="n">
        <f aca="false">Outlook_Conservative!B117</f>
        <v>30.3764009892086</v>
      </c>
      <c r="C13" s="8" t="n">
        <f aca="false">Outlook_Base!B117</f>
        <v>89.4501840794568</v>
      </c>
      <c r="D13" s="8" t="n">
        <f aca="false">Outlook_Aggressive!B117</f>
        <v>123.229923104723</v>
      </c>
      <c r="E13" s="8" t="n">
        <f aca="false">Plan10L_BaseRates!B117</f>
        <v>48.4277209182887</v>
      </c>
      <c r="F13" s="8" t="n">
        <f aca="false">Plan50L_BaseRates!B117</f>
        <v>126.548208962444</v>
      </c>
    </row>
    <row r="14" customFormat="false" ht="15" hidden="false" customHeight="false" outlineLevel="0" collapsed="false">
      <c r="A14" s="0" t="s">
        <v>36</v>
      </c>
      <c r="B14" s="6" t="n">
        <f aca="false">Outlook_Conservative!B118</f>
        <v>3.63590647482014</v>
      </c>
      <c r="C14" s="6" t="n">
        <f aca="false">Outlook_Base!B118</f>
        <v>10.8526234222386</v>
      </c>
      <c r="D14" s="6" t="n">
        <f aca="false">Outlook_Aggressive!B118</f>
        <v>13.7443871841204</v>
      </c>
      <c r="E14" s="6" t="n">
        <f aca="false">Plan10L_BaseRates!B118</f>
        <v>5.43363959749256</v>
      </c>
      <c r="F14" s="6" t="n">
        <f aca="false">Plan50L_BaseRates!B118</f>
        <v>14.7880826048518</v>
      </c>
    </row>
    <row r="15" customFormat="false" ht="15" hidden="false" customHeight="false" outlineLevel="0" collapsed="false">
      <c r="A15" s="0" t="s">
        <v>37</v>
      </c>
      <c r="B15" s="8" t="n">
        <f aca="false">Outlook_Conservative!B119</f>
        <v>67.5</v>
      </c>
      <c r="C15" s="8" t="n">
        <f aca="false">Outlook_Base!B119</f>
        <v>153</v>
      </c>
      <c r="D15" s="8" t="n">
        <f aca="false">Outlook_Aggressive!B119</f>
        <v>202.5</v>
      </c>
      <c r="E15" s="8" t="n">
        <f aca="false">Plan10L_BaseRates!B119</f>
        <v>76.5</v>
      </c>
      <c r="F15" s="8" t="n">
        <f aca="false">Plan50L_BaseRates!B119</f>
        <v>191.25</v>
      </c>
    </row>
    <row r="16" customFormat="false" ht="15" hidden="false" customHeight="false" outlineLevel="0" collapsed="false">
      <c r="A16" s="0" t="s">
        <v>38</v>
      </c>
      <c r="B16" s="7" t="n">
        <f aca="false">Outlook_Conservative!B120</f>
        <v>0.483498201438849</v>
      </c>
      <c r="C16" s="7" t="n">
        <f aca="false">Outlook_Base!B120</f>
        <v>0.841013660212882</v>
      </c>
      <c r="D16" s="7" t="n">
        <f aca="false">Outlook_Aggressive!B120</f>
        <v>0.9</v>
      </c>
      <c r="E16" s="7" t="n">
        <f aca="false">Plan10L_BaseRates!B120</f>
        <v>0.80232433965609</v>
      </c>
      <c r="F16" s="7" t="n">
        <f aca="false">Plan50L_BaseRates!B120</f>
        <v>0.9</v>
      </c>
    </row>
    <row r="17" customFormat="false" ht="15" hidden="false" customHeight="false" outlineLevel="0" collapsed="false">
      <c r="A17" s="0" t="s">
        <v>39</v>
      </c>
      <c r="B17" s="0" t="str">
        <f aca="false">Outlook_Conservative!B121</f>
        <v>not in Y1</v>
      </c>
      <c r="C17" s="0" t="n">
        <f aca="false">Outlook_Base!B121</f>
        <v>6</v>
      </c>
      <c r="D17" s="0" t="n">
        <f aca="false">Outlook_Aggressive!B121</f>
        <v>7</v>
      </c>
      <c r="E17" s="0" t="n">
        <f aca="false">Plan10L_BaseRates!B121</f>
        <v>8</v>
      </c>
      <c r="F17" s="0" t="n">
        <f aca="false">Plan50L_BaseRates!B121</f>
        <v>7</v>
      </c>
    </row>
    <row r="18" customFormat="false" ht="15" hidden="false" customHeight="false" outlineLevel="0" collapsed="false">
      <c r="A18" s="0" t="s">
        <v>40</v>
      </c>
      <c r="B18" s="7" t="n">
        <f aca="false">Outlook_Conservative!B122</f>
        <v>0.4</v>
      </c>
      <c r="C18" s="7" t="n">
        <f aca="false">Outlook_Base!B122</f>
        <v>0.3</v>
      </c>
      <c r="D18" s="7" t="n">
        <f aca="false">Outlook_Aggressive!B122</f>
        <v>0.25</v>
      </c>
      <c r="E18" s="7" t="n">
        <f aca="false">Plan10L_BaseRates!B122</f>
        <v>0.4</v>
      </c>
      <c r="F18" s="7" t="n">
        <f aca="false">Plan50L_BaseRates!B122</f>
        <v>0.25</v>
      </c>
    </row>
    <row r="19" customFormat="false" ht="15" hidden="false" customHeight="false" outlineLevel="0" collapsed="false">
      <c r="A19" s="0" t="s">
        <v>41</v>
      </c>
      <c r="B19" s="8" t="n">
        <f aca="false">Outlook_Conservative!B123</f>
        <v>1.5</v>
      </c>
      <c r="C19" s="8" t="n">
        <f aca="false">Outlook_Base!B123</f>
        <v>3</v>
      </c>
      <c r="D19" s="8" t="n">
        <f aca="false">Outlook_Aggressive!B123</f>
        <v>4</v>
      </c>
      <c r="E19" s="8" t="n">
        <f aca="false">Plan10L_BaseRates!B123</f>
        <v>1.5</v>
      </c>
      <c r="F19" s="8" t="n">
        <f aca="false">Plan50L_BaseRates!B123</f>
        <v>4</v>
      </c>
    </row>
    <row r="20" customFormat="false" ht="15" hidden="false" customHeight="false" outlineLevel="0" collapsed="false">
      <c r="A20" s="0" t="s">
        <v>42</v>
      </c>
      <c r="B20" s="9" t="n">
        <f aca="false">Outlook_Conservative!B124</f>
        <v>34929.9645127119</v>
      </c>
      <c r="C20" s="9" t="n">
        <f aca="false">Outlook_Base!B124</f>
        <v>50195.5817372881</v>
      </c>
      <c r="D20" s="9" t="n">
        <f aca="false">Outlook_Aggressive!B124</f>
        <v>68504.5547756493</v>
      </c>
      <c r="E20" s="9" t="n">
        <f aca="false">Plan10L_BaseRates!B124</f>
        <v>50420.5817372881</v>
      </c>
      <c r="F20" s="9" t="n">
        <f aca="false">Plan50L_BaseRates!B124</f>
        <v>50033.2413354957</v>
      </c>
    </row>
    <row r="21" customFormat="false" ht="15" hidden="false" customHeight="false" outlineLevel="0" collapsed="false">
      <c r="A21" s="0" t="s">
        <v>43</v>
      </c>
      <c r="B21" s="6" t="n">
        <f aca="false">Outlook_Conservative!B127</f>
        <v>4.35557670730471</v>
      </c>
      <c r="C21" s="6" t="n">
        <f aca="false">Outlook_Base!B127</f>
        <v>5.47965738818625</v>
      </c>
      <c r="D21" s="6" t="n">
        <f aca="false">Outlook_Aggressive!B127</f>
        <v>4.85758084776037</v>
      </c>
      <c r="E21" s="6" t="n">
        <f aca="false">Plan10L_BaseRates!B127</f>
        <v>1.04011471693827</v>
      </c>
      <c r="F21" s="6" t="n">
        <f aca="false">Plan50L_BaseRates!B127</f>
        <v>10.7411226096748</v>
      </c>
    </row>
    <row r="22" customFormat="false" ht="15" hidden="false" customHeight="false" outlineLevel="0" collapsed="false">
      <c r="A22" s="0" t="s">
        <v>44</v>
      </c>
      <c r="B22" s="8" t="n">
        <f aca="false">Outlook_Conservative!B128</f>
        <v>52.2669204876565</v>
      </c>
      <c r="C22" s="8" t="n">
        <f aca="false">Outlook_Base!B128</f>
        <v>65.755888658235</v>
      </c>
      <c r="D22" s="8" t="n">
        <f aca="false">Outlook_Aggressive!B128</f>
        <v>58.2909701731245</v>
      </c>
      <c r="E22" s="8" t="n">
        <f aca="false">Plan10L_BaseRates!B128</f>
        <v>12.4813766032592</v>
      </c>
      <c r="F22" s="8" t="n">
        <f aca="false">Plan50L_BaseRates!B128</f>
        <v>128.893471316098</v>
      </c>
    </row>
    <row r="23" customFormat="false" ht="15" hidden="false" customHeight="false" outlineLevel="0" collapsed="false">
      <c r="A23" s="0" t="s">
        <v>45</v>
      </c>
      <c r="B23" s="9" t="n">
        <f aca="false">Outlook_Conservative!B129</f>
        <v>12834.946935475</v>
      </c>
      <c r="C23" s="9" t="n">
        <f aca="false">Outlook_Base!B129</f>
        <v>10750.0889073143</v>
      </c>
      <c r="D23" s="9" t="n">
        <f aca="false">Outlook_Aggressive!B129</f>
        <v>16976.6269101408</v>
      </c>
      <c r="E23" s="9" t="n">
        <f aca="false">Plan10L_BaseRates!B129</f>
        <v>8588.47294329233</v>
      </c>
      <c r="F23" s="9" t="n">
        <f aca="false">Plan50L_BaseRates!B129</f>
        <v>15778.471054576</v>
      </c>
    </row>
    <row r="24" customFormat="false" ht="15" hidden="false" customHeight="false" outlineLevel="0" collapsed="false">
      <c r="A24" s="0" t="s">
        <v>46</v>
      </c>
      <c r="B24" s="7" t="n">
        <f aca="false">Outlook_Conservative!B130</f>
        <v>0.233003652059393</v>
      </c>
      <c r="C24" s="7" t="n">
        <f aca="false">Outlook_Base!B130</f>
        <v>0.158563811382886</v>
      </c>
      <c r="D24" s="7" t="n">
        <f aca="false">Outlook_Aggressive!B130</f>
        <v>0.200324197539662</v>
      </c>
      <c r="E24" s="7" t="n">
        <f aca="false">Plan10L_BaseRates!B130</f>
        <v>0.126679975913562</v>
      </c>
      <c r="F24" s="7" t="n">
        <f aca="false">Plan50L_BaseRates!B130</f>
        <v>0.232732448054996</v>
      </c>
    </row>
    <row r="25" customFormat="false" ht="15" hidden="false" customHeight="false" outlineLevel="0" collapsed="false">
      <c r="A25" s="0" t="s">
        <v>47</v>
      </c>
      <c r="B25" s="7" t="n">
        <f aca="false">Outlook_Conservative!B131</f>
        <v>0.650892629520058</v>
      </c>
      <c r="C25" s="7" t="n">
        <f aca="false">Outlook_Base!B131</f>
        <v>0.422430277393934</v>
      </c>
      <c r="D25" s="7" t="n">
        <f aca="false">Outlook_Aggressive!B131</f>
        <v>0.444693198711574</v>
      </c>
      <c r="E25" s="7" t="n">
        <f aca="false">Plan10L_BaseRates!B131</f>
        <v>0.27821829190042</v>
      </c>
      <c r="F25" s="7" t="n">
        <f aca="false">Plan50L_BaseRates!B131</f>
        <v>0.550947161894197</v>
      </c>
    </row>
    <row r="26" customFormat="false" ht="15" hidden="false" customHeight="false" outlineLevel="0" collapsed="false">
      <c r="A26" s="0" t="s">
        <v>48</v>
      </c>
      <c r="B26" s="6" t="n">
        <f aca="false">Outlook_Conservative!B132</f>
        <v>7.52884009442716</v>
      </c>
      <c r="C26" s="6" t="n">
        <f aca="false">Outlook_Base!B132</f>
        <v>17.5428834734527</v>
      </c>
      <c r="D26" s="6" t="n">
        <f aca="false">Outlook_Aggressive!B132</f>
        <v>23.9529504580762</v>
      </c>
      <c r="E26" s="6" t="n">
        <f aca="false">Plan10L_BaseRates!B132</f>
        <v>5.66843735781582</v>
      </c>
      <c r="F26" s="6" t="n">
        <f aca="false">Plan50L_BaseRates!B132</f>
        <v>31.306627252182</v>
      </c>
    </row>
    <row r="27" customFormat="false" ht="15" hidden="false" customHeight="false" outlineLevel="0" collapsed="false">
      <c r="A27" s="0" t="s">
        <v>49</v>
      </c>
      <c r="B27" s="6" t="n">
        <f aca="false">Outlook_Conservative!B133/100000</f>
        <v>-1.32441771834039</v>
      </c>
      <c r="C27" s="6" t="n">
        <f aca="false">Outlook_Base!B133/100000</f>
        <v>6.67938244448122</v>
      </c>
      <c r="D27" s="6" t="n">
        <f aca="false">Outlook_Aggressive!B133/100000</f>
        <v>18.3875798106906</v>
      </c>
      <c r="E27" s="6" t="n">
        <f aca="false">Plan10L_BaseRates!B133/100000</f>
        <v>5.70549447005767</v>
      </c>
      <c r="F27" s="6" t="n">
        <f aca="false">Plan50L_BaseRates!B133/100000</f>
        <v>5.58473475260141</v>
      </c>
    </row>
    <row r="28" customFormat="false" ht="15" hidden="false" customHeight="false" outlineLevel="0" collapsed="false">
      <c r="A28" s="0" t="s">
        <v>50</v>
      </c>
      <c r="B28" s="0" t="str">
        <f aca="false">Outlook_Conservative!B134</f>
        <v>not in Y1</v>
      </c>
      <c r="C28" s="0" t="n">
        <f aca="false">Outlook_Base!B134</f>
        <v>7</v>
      </c>
      <c r="D28" s="0" t="n">
        <f aca="false">Outlook_Aggressive!B134</f>
        <v>5</v>
      </c>
      <c r="E28" s="0" t="n">
        <f aca="false">Plan10L_BaseRates!B134</f>
        <v>5</v>
      </c>
      <c r="F28" s="0" t="n">
        <f aca="false">Plan50L_BaseRates!B134</f>
        <v>7</v>
      </c>
    </row>
    <row r="29" customFormat="false" ht="15" hidden="false" customHeight="false" outlineLevel="0" collapsed="false">
      <c r="A29" s="0" t="s">
        <v>51</v>
      </c>
      <c r="B29" s="6" t="n">
        <f aca="false">Outlook_Conservative!B135/100000</f>
        <v>-15.4432169386837</v>
      </c>
      <c r="C29" s="6" t="n">
        <f aca="false">Outlook_Base!B135/100000</f>
        <v>-17.129607610183</v>
      </c>
      <c r="D29" s="6" t="n">
        <f aca="false">Outlook_Aggressive!B135/100000</f>
        <v>8.02647765463154</v>
      </c>
      <c r="E29" s="6" t="n">
        <f aca="false">Plan10L_BaseRates!B135/100000</f>
        <v>7.64554830909224</v>
      </c>
      <c r="F29" s="6" t="n">
        <f aca="false">Plan50L_BaseRates!B135/100000</f>
        <v>-35.5281155109706</v>
      </c>
    </row>
    <row r="31" customFormat="false" ht="15" hidden="false" customHeight="false" outlineLevel="0" collapsed="false">
      <c r="A31" s="10" t="s">
        <v>52</v>
      </c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5" t="s">
        <v>53</v>
      </c>
      <c r="B32" s="5" t="s">
        <v>54</v>
      </c>
      <c r="C32" s="5" t="s">
        <v>55</v>
      </c>
      <c r="D32" s="5" t="s">
        <v>56</v>
      </c>
      <c r="E32" s="5" t="s">
        <v>57</v>
      </c>
      <c r="F32" s="5" t="s">
        <v>58</v>
      </c>
      <c r="G32" s="5" t="s">
        <v>59</v>
      </c>
      <c r="H32" s="12" t="s">
        <v>60</v>
      </c>
      <c r="I32" s="12" t="s">
        <v>61</v>
      </c>
      <c r="J32" s="12" t="s">
        <v>62</v>
      </c>
    </row>
    <row r="33" customFormat="false" ht="15" hidden="false" customHeight="false" outlineLevel="0" collapsed="false">
      <c r="A33" s="0" t="s">
        <v>63</v>
      </c>
      <c r="B33" s="6" t="n">
        <f aca="false">3yr_Scenarios!B38</f>
        <v>16.7143963559344</v>
      </c>
      <c r="C33" s="6" t="n">
        <f aca="false">3yr_Scenarios!C38</f>
        <v>26.6317590733118</v>
      </c>
      <c r="D33" s="6" t="n">
        <f aca="false">3yr_Scenarios!D38</f>
        <v>36.6572985432959</v>
      </c>
      <c r="E33" s="6" t="n">
        <f aca="false">3yr_Scenarios!E38</f>
        <v>71.143532773677</v>
      </c>
      <c r="F33" s="6" t="n">
        <f aca="false">3yr_Scenarios!F38</f>
        <v>120.014928239282</v>
      </c>
      <c r="G33" s="6" t="n">
        <f aca="false">3yr_Scenarios!G38</f>
        <v>166.931164652823</v>
      </c>
      <c r="H33" s="6" t="n">
        <f aca="false">3yr_Scenarios!H38</f>
        <v>134.554282864859</v>
      </c>
      <c r="I33" s="6" t="n">
        <f aca="false">3yr_Scenarios!I38</f>
        <v>235.658210991043</v>
      </c>
      <c r="J33" s="6" t="n">
        <f aca="false">3yr_Scenarios!J38</f>
        <v>334.642000607154</v>
      </c>
    </row>
    <row r="34" customFormat="false" ht="15" hidden="false" customHeight="false" outlineLevel="0" collapsed="false">
      <c r="A34" s="0" t="s">
        <v>64</v>
      </c>
      <c r="B34" s="6" t="n">
        <f aca="false">3yr_Scenarios!B49</f>
        <v>-13.554457132969</v>
      </c>
      <c r="C34" s="6" t="n">
        <f aca="false">3yr_Scenarios!C49</f>
        <v>-7.21015237380403</v>
      </c>
      <c r="D34" s="6" t="n">
        <f aca="false">3yr_Scenarios!D49</f>
        <v>-9.64064183343418</v>
      </c>
      <c r="E34" s="6" t="n">
        <f aca="false">3yr_Scenarios!E49</f>
        <v>5.5146551016814</v>
      </c>
      <c r="F34" s="6" t="n">
        <f aca="false">3yr_Scenarios!F49</f>
        <v>17.5520533623628</v>
      </c>
      <c r="G34" s="6" t="n">
        <f aca="false">3yr_Scenarios!G49</f>
        <v>44.8369010460919</v>
      </c>
      <c r="H34" s="6" t="n">
        <f aca="false">3yr_Scenarios!H49</f>
        <v>35.0664776546316</v>
      </c>
      <c r="I34" s="6" t="n">
        <f aca="false">3yr_Scenarios!I49</f>
        <v>96.3664258375332</v>
      </c>
      <c r="J34" s="6" t="n">
        <f aca="false">3yr_Scenarios!J49</f>
        <v>162.74302052359</v>
      </c>
    </row>
    <row r="35" customFormat="false" ht="15" hidden="false" customHeight="false" outlineLevel="0" collapsed="false">
      <c r="A35" s="0" t="s">
        <v>65</v>
      </c>
      <c r="B35" s="7" t="n">
        <f aca="false">3yr_Scenarios!B50</f>
        <v>-0.810945058638418</v>
      </c>
      <c r="C35" s="7" t="n">
        <f aca="false">3yr_Scenarios!C50</f>
        <v>-0.270735115692356</v>
      </c>
      <c r="D35" s="7" t="n">
        <f aca="false">3yr_Scenarios!D50</f>
        <v>-0.262993788864382</v>
      </c>
      <c r="E35" s="7" t="n">
        <f aca="false">3yr_Scenarios!E50</f>
        <v>0.0775144962118301</v>
      </c>
      <c r="F35" s="7" t="n">
        <f aca="false">3yr_Scenarios!F50</f>
        <v>0.14624891769604</v>
      </c>
      <c r="G35" s="7" t="n">
        <f aca="false">3yr_Scenarios!G50</f>
        <v>0.268595149020509</v>
      </c>
      <c r="H35" s="7" t="n">
        <f aca="false">3yr_Scenarios!H50</f>
        <v>0.26061212551555</v>
      </c>
      <c r="I35" s="7" t="n">
        <f aca="false">3yr_Scenarios!I50</f>
        <v>0.408924541318851</v>
      </c>
      <c r="J35" s="7" t="n">
        <f aca="false">3yr_Scenarios!J50</f>
        <v>0.486319769270799</v>
      </c>
    </row>
    <row r="36" customFormat="false" ht="15" hidden="false" customHeight="false" outlineLevel="0" collapsed="false">
      <c r="A36" s="0" t="s">
        <v>66</v>
      </c>
      <c r="B36" s="8" t="n">
        <f aca="false">3yr_Scenarios!B17</f>
        <v>30.3764009892086</v>
      </c>
      <c r="C36" s="8" t="n">
        <f aca="false">3yr_Scenarios!C17</f>
        <v>38.9892949640288</v>
      </c>
      <c r="D36" s="8" t="n">
        <f aca="false">3yr_Scenarios!D17</f>
        <v>40.9387597122302</v>
      </c>
      <c r="E36" s="8" t="n">
        <f aca="false">3yr_Scenarios!E17</f>
        <v>89.4501840794568</v>
      </c>
      <c r="F36" s="8" t="n">
        <f aca="false">3yr_Scenarios!F17</f>
        <v>121.918833339191</v>
      </c>
      <c r="G36" s="8" t="n">
        <f aca="false">3yr_Scenarios!G17</f>
        <v>134.11071667311</v>
      </c>
      <c r="H36" s="8" t="n">
        <f aca="false">3yr_Scenarios!H17</f>
        <v>123.229923104723</v>
      </c>
      <c r="I36" s="8" t="n">
        <f aca="false">3yr_Scenarios!I17</f>
        <v>160.763301368008</v>
      </c>
      <c r="J36" s="8" t="n">
        <f aca="false">3yr_Scenarios!J17</f>
        <v>162.466079710404</v>
      </c>
    </row>
    <row r="37" customFormat="false" ht="15" hidden="false" customHeight="false" outlineLevel="0" collapsed="false">
      <c r="A37" s="0" t="s">
        <v>67</v>
      </c>
      <c r="B37" s="6" t="n">
        <f aca="false">3yr_Scenarios!B54</f>
        <v>15.4432169386837</v>
      </c>
      <c r="C37" s="6" t="n">
        <f aca="false">3yr_Scenarios!C54</f>
        <v>25.6533693124878</v>
      </c>
      <c r="D37" s="6" t="n">
        <f aca="false">3yr_Scenarios!D54</f>
        <v>37.9940111459219</v>
      </c>
      <c r="E37" s="6" t="n">
        <f aca="false">3yr_Scenarios!E54</f>
        <v>26.1422351919159</v>
      </c>
      <c r="F37" s="6" t="n">
        <f aca="false">3yr_Scenarios!F54</f>
        <v>26.1422351919159</v>
      </c>
      <c r="G37" s="6" t="n">
        <f aca="false">3yr_Scenarios!G54</f>
        <v>26.1422351919159</v>
      </c>
      <c r="H37" s="6" t="n">
        <f aca="false">3yr_Scenarios!H54</f>
        <v>28.8070601613908</v>
      </c>
      <c r="I37" s="6" t="n">
        <f aca="false">3yr_Scenarios!I54</f>
        <v>28.8070601613908</v>
      </c>
      <c r="J37" s="6" t="n">
        <f aca="false">3yr_Scenarios!J54</f>
        <v>28.8070601613908</v>
      </c>
    </row>
    <row r="39" customFormat="false" ht="15" hidden="false" customHeight="false" outlineLevel="0" collapsed="false">
      <c r="A39" s="10" t="s">
        <v>68</v>
      </c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0" t="str">
        <f aca="false">Sensitivity!A6</f>
        <v>Conversion (all routes; low = founder step-back ÷1.25)</v>
      </c>
      <c r="B40" s="6" t="n">
        <f aca="false">Sensitivity!F6/100000</f>
        <v>13.93974603516</v>
      </c>
      <c r="C40" s="13" t="n">
        <f aca="false">Sensitivity!G6</f>
        <v>2</v>
      </c>
      <c r="D40" s="0" t="str">
        <f aca="false">Sensitivity!L6</f>
        <v>██████████████████</v>
      </c>
    </row>
    <row r="41" customFormat="false" ht="15" hidden="false" customHeight="false" outlineLevel="0" collapsed="false">
      <c r="A41" s="0" t="str">
        <f aca="false">Sensitivity!A7</f>
        <v>Fees (all products)</v>
      </c>
      <c r="B41" s="6" t="n">
        <f aca="false">Sensitivity!F7/100000</f>
        <v>23.0956184456828</v>
      </c>
      <c r="C41" s="13" t="n">
        <f aca="false">Sensitivity!G7</f>
        <v>1</v>
      </c>
      <c r="D41" s="0" t="str">
        <f aca="false">Sensitivity!L7</f>
        <v>██████████████████████████████</v>
      </c>
    </row>
    <row r="42" customFormat="false" ht="15" hidden="false" customHeight="false" outlineLevel="0" collapsed="false">
      <c r="A42" s="0" t="str">
        <f aca="false">Sensitivity!A8</f>
        <v>Cohort fill (students per batch 8 vs 12)</v>
      </c>
      <c r="B42" s="6" t="n">
        <f aca="false">Sensitivity!F8/100000</f>
        <v>2.08</v>
      </c>
      <c r="C42" s="13" t="n">
        <f aca="false">Sensitivity!G8</f>
        <v>7</v>
      </c>
      <c r="D42" s="0" t="str">
        <f aca="false">Sensitivity!L8</f>
        <v>███</v>
      </c>
    </row>
    <row r="43" customFormat="false" ht="15" hidden="false" customHeight="false" outlineLevel="0" collapsed="false">
      <c r="A43" s="0" t="str">
        <f aca="false">Sensitivity!A9</f>
        <v>CPL / CAC (paid routes)</v>
      </c>
      <c r="B43" s="6" t="n">
        <f aca="false">Sensitivity!F9/100000</f>
        <v>3.03163487377277</v>
      </c>
      <c r="C43" s="13" t="n">
        <f aca="false">Sensitivity!G9</f>
        <v>6</v>
      </c>
      <c r="D43" s="0" t="str">
        <f aca="false">Sensitivity!L9</f>
        <v>████</v>
      </c>
    </row>
    <row r="44" customFormat="false" ht="15" hidden="false" customHeight="false" outlineLevel="0" collapsed="false">
      <c r="A44" s="0" t="str">
        <f aca="false">Sensitivity!A10</f>
        <v>Variable delivery cost (kit, consumables)</v>
      </c>
      <c r="B44" s="6" t="n">
        <f aca="false">Sensitivity!F10/100000</f>
        <v>4.33703136168873</v>
      </c>
      <c r="C44" s="13" t="n">
        <f aca="false">Sensitivity!G10</f>
        <v>5</v>
      </c>
      <c r="D44" s="0" t="str">
        <f aca="false">Sensitivity!L10</f>
        <v>██████</v>
      </c>
    </row>
    <row r="45" customFormat="false" ht="15" hidden="false" customHeight="false" outlineLevel="0" collapsed="false">
      <c r="A45" s="0" t="str">
        <f aca="false">Sensitivity!A11</f>
        <v>Rent (₹130 vs ₹47 per sq ft vs ₹80)</v>
      </c>
      <c r="B45" s="6" t="n">
        <f aca="false">Sensitivity!F11/100000</f>
        <v>8.65275</v>
      </c>
      <c r="C45" s="13" t="n">
        <f aca="false">Sensitivity!G11</f>
        <v>4</v>
      </c>
      <c r="D45" s="0" t="str">
        <f aca="false">Sensitivity!L11</f>
        <v>███████████</v>
      </c>
    </row>
    <row r="46" customFormat="false" ht="15" hidden="false" customHeight="false" outlineLevel="0" collapsed="false">
      <c r="A46" s="0" t="str">
        <f aca="false">Sensitivity!A12</f>
        <v>Paid-media budget (holding the target)</v>
      </c>
      <c r="B46" s="6" t="n">
        <f aca="false">Sensitivity!F12/100000</f>
        <v>1.46514523976711</v>
      </c>
      <c r="C46" s="13" t="n">
        <f aca="false">Sensitivity!G12</f>
        <v>8</v>
      </c>
      <c r="D46" s="0" t="str">
        <f aca="false">Sensitivity!L12</f>
        <v>██</v>
      </c>
    </row>
    <row r="47" customFormat="false" ht="15" hidden="false" customHeight="false" outlineLevel="0" collapsed="false">
      <c r="A47" s="0" t="str">
        <f aca="false">Sensitivity!A13</f>
        <v>GST charged on top of list fees (vs absorbed in quoted fee)</v>
      </c>
      <c r="B47" s="6" t="n">
        <f aca="false">Sensitivity!F13/100000</f>
        <v>12.7396741394725</v>
      </c>
      <c r="C47" s="13" t="n">
        <f aca="false">Sensitivity!G13</f>
        <v>3</v>
      </c>
      <c r="D47" s="0" t="str">
        <f aca="false">Sensitivity!L13</f>
        <v>█████████████████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5" min="3" style="0" width="13"/>
    <col collapsed="false" customWidth="true" hidden="false" outlineLevel="0" max="6" min="6" style="0" width="12"/>
    <col collapsed="false" customWidth="true" hidden="false" outlineLevel="0" max="7" min="7" style="0" width="70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0" min="10" style="0" width="8"/>
  </cols>
  <sheetData>
    <row r="1" customFormat="false" ht="17.35" hidden="false" customHeight="false" outlineLevel="0" collapsed="false">
      <c r="A1" s="1" t="s">
        <v>69</v>
      </c>
    </row>
    <row r="2" customFormat="false" ht="15" hidden="false" customHeight="false" outlineLevel="0" collapsed="false">
      <c r="A2" s="2" t="s">
        <v>70</v>
      </c>
    </row>
    <row r="3" customFormat="false" ht="15" hidden="false" customHeight="false" outlineLevel="0" collapsed="false">
      <c r="A3" s="3" t="s">
        <v>71</v>
      </c>
      <c r="C3" s="14" t="s">
        <v>22</v>
      </c>
      <c r="D3" s="2" t="s">
        <v>72</v>
      </c>
    </row>
    <row r="4" customFormat="false" ht="15" hidden="false" customHeight="false" outlineLevel="0" collapsed="false">
      <c r="A4" s="0" t="s">
        <v>73</v>
      </c>
      <c r="C4" s="3" t="n">
        <f aca="false">MATCH($C$3,$K$4:$M$4,0)</f>
        <v>2</v>
      </c>
      <c r="K4" s="2" t="s">
        <v>21</v>
      </c>
      <c r="L4" s="2" t="s">
        <v>22</v>
      </c>
      <c r="M4" s="2" t="s">
        <v>23</v>
      </c>
    </row>
    <row r="6" customFormat="false" ht="15" hidden="false" customHeight="false" outlineLevel="0" collapsed="false">
      <c r="A6" s="5" t="s">
        <v>74</v>
      </c>
      <c r="B6" s="5" t="s">
        <v>75</v>
      </c>
      <c r="C6" s="5" t="s">
        <v>21</v>
      </c>
      <c r="D6" s="5" t="s">
        <v>22</v>
      </c>
      <c r="E6" s="5" t="s">
        <v>23</v>
      </c>
      <c r="F6" s="5" t="s">
        <v>76</v>
      </c>
      <c r="G6" s="5" t="s">
        <v>77</v>
      </c>
      <c r="H6" s="5" t="s">
        <v>78</v>
      </c>
      <c r="I6" s="5" t="s">
        <v>79</v>
      </c>
      <c r="J6" s="12" t="s">
        <v>80</v>
      </c>
    </row>
    <row r="8" customFormat="false" ht="15" hidden="false" customHeight="false" outlineLevel="0" collapsed="false">
      <c r="A8" s="10" t="s">
        <v>81</v>
      </c>
      <c r="B8" s="11"/>
      <c r="C8" s="11"/>
      <c r="D8" s="11"/>
      <c r="E8" s="11"/>
      <c r="F8" s="11"/>
      <c r="G8" s="11"/>
      <c r="H8" s="11"/>
      <c r="I8" s="11"/>
    </row>
    <row r="9" customFormat="false" ht="15" hidden="false" customHeight="false" outlineLevel="0" collapsed="false">
      <c r="A9" s="3" t="s">
        <v>82</v>
      </c>
      <c r="B9" s="4" t="s">
        <v>83</v>
      </c>
      <c r="C9" s="15" t="n">
        <v>30</v>
      </c>
      <c r="D9" s="15" t="n">
        <v>50</v>
      </c>
      <c r="E9" s="15" t="n">
        <v>60</v>
      </c>
      <c r="F9" s="13" t="s">
        <v>84</v>
      </c>
      <c r="G9" s="4" t="s">
        <v>85</v>
      </c>
      <c r="H9" s="13" t="s">
        <v>86</v>
      </c>
      <c r="I9" s="16" t="n">
        <f aca="false">INDEX(C9:E9,$C$4)</f>
        <v>50</v>
      </c>
      <c r="J9" s="13" t="s">
        <v>87</v>
      </c>
    </row>
    <row r="10" customFormat="false" ht="15" hidden="false" customHeight="false" outlineLevel="0" collapsed="false">
      <c r="A10" s="3" t="s">
        <v>88</v>
      </c>
      <c r="B10" s="4" t="s">
        <v>89</v>
      </c>
      <c r="C10" s="17" t="n">
        <v>40000</v>
      </c>
      <c r="D10" s="17" t="n">
        <v>60000</v>
      </c>
      <c r="E10" s="17" t="n">
        <v>75000</v>
      </c>
      <c r="F10" s="13" t="s">
        <v>90</v>
      </c>
      <c r="G10" s="4" t="s">
        <v>91</v>
      </c>
      <c r="H10" s="13" t="s">
        <v>92</v>
      </c>
      <c r="I10" s="18" t="n">
        <f aca="false">INDEX(C10:E10,$C$4)</f>
        <v>60000</v>
      </c>
      <c r="J10" s="13" t="s">
        <v>87</v>
      </c>
    </row>
    <row r="11" customFormat="false" ht="15" hidden="false" customHeight="false" outlineLevel="0" collapsed="false">
      <c r="A11" s="3" t="s">
        <v>93</v>
      </c>
      <c r="B11" s="4" t="s">
        <v>94</v>
      </c>
      <c r="C11" s="17" t="n">
        <v>1000000</v>
      </c>
      <c r="D11" s="17" t="n">
        <v>3000000</v>
      </c>
      <c r="E11" s="17" t="n">
        <v>5000000</v>
      </c>
      <c r="F11" s="13" t="s">
        <v>90</v>
      </c>
      <c r="G11" s="4" t="s">
        <v>95</v>
      </c>
      <c r="H11" s="13" t="s">
        <v>86</v>
      </c>
      <c r="I11" s="18" t="n">
        <f aca="false">INDEX(C11:E11,$C$4)</f>
        <v>3000000</v>
      </c>
      <c r="J11" s="13" t="s">
        <v>96</v>
      </c>
    </row>
    <row r="12" customFormat="false" ht="15" hidden="false" customHeight="false" outlineLevel="0" collapsed="false">
      <c r="A12" s="3" t="s">
        <v>97</v>
      </c>
      <c r="B12" s="4" t="s">
        <v>98</v>
      </c>
      <c r="C12" s="19" t="n">
        <v>0.6</v>
      </c>
      <c r="D12" s="19" t="n">
        <v>0.6</v>
      </c>
      <c r="E12" s="19" t="n">
        <v>0.6</v>
      </c>
      <c r="F12" s="13" t="s">
        <v>99</v>
      </c>
      <c r="G12" s="4" t="s">
        <v>100</v>
      </c>
      <c r="H12" s="13" t="s">
        <v>92</v>
      </c>
      <c r="I12" s="20" t="n">
        <f aca="false">INDEX(C12:E12,$C$4)</f>
        <v>0.6</v>
      </c>
      <c r="J12" s="13" t="s">
        <v>87</v>
      </c>
    </row>
    <row r="13" customFormat="false" ht="15" hidden="false" customHeight="false" outlineLevel="0" collapsed="false">
      <c r="A13" s="3" t="s">
        <v>101</v>
      </c>
      <c r="B13" s="4" t="s">
        <v>102</v>
      </c>
      <c r="C13" s="17" t="n">
        <v>6000</v>
      </c>
      <c r="D13" s="17" t="n">
        <v>8000</v>
      </c>
      <c r="E13" s="17" t="n">
        <v>10000</v>
      </c>
      <c r="F13" s="13" t="s">
        <v>90</v>
      </c>
      <c r="G13" s="4" t="s">
        <v>103</v>
      </c>
      <c r="H13" s="13" t="s">
        <v>92</v>
      </c>
      <c r="I13" s="18" t="n">
        <f aca="false">INDEX(C13:E13,$C$4)</f>
        <v>8000</v>
      </c>
      <c r="J13" s="13" t="s">
        <v>87</v>
      </c>
    </row>
    <row r="14" customFormat="false" ht="28.35" hidden="false" customHeight="false" outlineLevel="0" collapsed="false">
      <c r="A14" s="3" t="s">
        <v>104</v>
      </c>
      <c r="B14" s="4" t="s">
        <v>105</v>
      </c>
      <c r="C14" s="17" t="n">
        <v>15000</v>
      </c>
      <c r="D14" s="17" t="n">
        <v>12000</v>
      </c>
      <c r="E14" s="17" t="n">
        <v>10000</v>
      </c>
      <c r="F14" s="13" t="s">
        <v>106</v>
      </c>
      <c r="G14" s="4" t="s">
        <v>107</v>
      </c>
      <c r="H14" s="13" t="s">
        <v>92</v>
      </c>
      <c r="I14" s="18" t="n">
        <f aca="false">INDEX(C14:E14,$C$4)</f>
        <v>12000</v>
      </c>
      <c r="J14" s="13" t="s">
        <v>87</v>
      </c>
    </row>
    <row r="15" customFormat="false" ht="55.2" hidden="false" customHeight="false" outlineLevel="0" collapsed="false">
      <c r="A15" s="3" t="s">
        <v>108</v>
      </c>
      <c r="B15" s="4" t="s">
        <v>109</v>
      </c>
      <c r="C15" s="19" t="n">
        <v>0.18</v>
      </c>
      <c r="D15" s="19" t="n">
        <v>0.18</v>
      </c>
      <c r="E15" s="19" t="n">
        <v>0.18</v>
      </c>
      <c r="F15" s="13" t="s">
        <v>99</v>
      </c>
      <c r="G15" s="4" t="s">
        <v>110</v>
      </c>
      <c r="H15" s="13" t="s">
        <v>111</v>
      </c>
      <c r="I15" s="20" t="n">
        <f aca="false">INDEX(C15:E15,$C$4)</f>
        <v>0.18</v>
      </c>
      <c r="J15" s="13" t="s">
        <v>87</v>
      </c>
    </row>
    <row r="16" customFormat="false" ht="28.35" hidden="false" customHeight="false" outlineLevel="0" collapsed="false">
      <c r="A16" s="3" t="s">
        <v>112</v>
      </c>
      <c r="B16" s="4" t="s">
        <v>113</v>
      </c>
      <c r="C16" s="21" t="n">
        <v>1</v>
      </c>
      <c r="D16" s="21" t="n">
        <v>1</v>
      </c>
      <c r="E16" s="21" t="n">
        <v>1</v>
      </c>
      <c r="F16" s="13" t="s">
        <v>114</v>
      </c>
      <c r="G16" s="4" t="s">
        <v>115</v>
      </c>
      <c r="H16" s="13" t="s">
        <v>92</v>
      </c>
      <c r="I16" s="22" t="n">
        <f aca="false">INDEX(C16:E16,$C$4)</f>
        <v>1</v>
      </c>
      <c r="J16" s="13" t="s">
        <v>87</v>
      </c>
    </row>
    <row r="17" customFormat="false" ht="15" hidden="false" customHeight="false" outlineLevel="0" collapsed="false">
      <c r="A17" s="3" t="s">
        <v>116</v>
      </c>
      <c r="B17" s="4" t="s">
        <v>117</v>
      </c>
      <c r="C17" s="17" t="n">
        <v>999</v>
      </c>
      <c r="D17" s="17" t="n">
        <v>999</v>
      </c>
      <c r="E17" s="17" t="n">
        <v>999</v>
      </c>
      <c r="F17" s="13" t="s">
        <v>90</v>
      </c>
      <c r="G17" s="4" t="s">
        <v>118</v>
      </c>
      <c r="H17" s="13" t="s">
        <v>92</v>
      </c>
      <c r="I17" s="18" t="n">
        <f aca="false">INDEX(C17:E17,$C$4)</f>
        <v>999</v>
      </c>
      <c r="J17" s="13" t="s">
        <v>87</v>
      </c>
    </row>
    <row r="18" customFormat="false" ht="15" hidden="false" customHeight="false" outlineLevel="0" collapsed="false">
      <c r="A18" s="3" t="s">
        <v>119</v>
      </c>
      <c r="B18" s="4" t="s">
        <v>120</v>
      </c>
      <c r="C18" s="17" t="n">
        <v>30000</v>
      </c>
      <c r="D18" s="17" t="n">
        <v>39900</v>
      </c>
      <c r="E18" s="17" t="n">
        <v>45000</v>
      </c>
      <c r="F18" s="13" t="s">
        <v>90</v>
      </c>
      <c r="G18" s="4" t="s">
        <v>121</v>
      </c>
      <c r="H18" s="13" t="s">
        <v>92</v>
      </c>
      <c r="I18" s="18" t="n">
        <f aca="false">INDEX(C18:E18,$C$4)</f>
        <v>39900</v>
      </c>
      <c r="J18" s="13" t="s">
        <v>87</v>
      </c>
    </row>
    <row r="19" customFormat="false" ht="28.35" hidden="false" customHeight="false" outlineLevel="0" collapsed="false">
      <c r="A19" s="3" t="s">
        <v>122</v>
      </c>
      <c r="B19" s="4" t="s">
        <v>123</v>
      </c>
      <c r="C19" s="17" t="n">
        <v>75000</v>
      </c>
      <c r="D19" s="17" t="n">
        <v>90000</v>
      </c>
      <c r="E19" s="17" t="n">
        <v>120000</v>
      </c>
      <c r="F19" s="13" t="s">
        <v>90</v>
      </c>
      <c r="G19" s="4" t="s">
        <v>122</v>
      </c>
      <c r="H19" s="13" t="s">
        <v>92</v>
      </c>
      <c r="I19" s="18" t="n">
        <f aca="false">INDEX(C19:E19,$C$4)</f>
        <v>90000</v>
      </c>
      <c r="J19" s="13" t="s">
        <v>87</v>
      </c>
    </row>
    <row r="20" customFormat="false" ht="15" hidden="false" customHeight="false" outlineLevel="0" collapsed="false">
      <c r="A20" s="3" t="s">
        <v>124</v>
      </c>
      <c r="B20" s="4" t="s">
        <v>125</v>
      </c>
      <c r="C20" s="17" t="n">
        <v>65000</v>
      </c>
      <c r="D20" s="17" t="n">
        <v>80000</v>
      </c>
      <c r="E20" s="17" t="n">
        <v>100000</v>
      </c>
      <c r="F20" s="13" t="s">
        <v>90</v>
      </c>
      <c r="G20" s="4" t="s">
        <v>126</v>
      </c>
      <c r="H20" s="13" t="s">
        <v>92</v>
      </c>
      <c r="I20" s="18" t="n">
        <f aca="false">INDEX(C20:E20,$C$4)</f>
        <v>80000</v>
      </c>
      <c r="J20" s="13" t="s">
        <v>87</v>
      </c>
    </row>
    <row r="21" customFormat="false" ht="15" hidden="false" customHeight="false" outlineLevel="0" collapsed="false">
      <c r="A21" s="3" t="s">
        <v>127</v>
      </c>
      <c r="B21" s="4" t="s">
        <v>128</v>
      </c>
      <c r="C21" s="17" t="n">
        <v>5000</v>
      </c>
      <c r="D21" s="17" t="n">
        <v>10000</v>
      </c>
      <c r="E21" s="17" t="n">
        <v>14000</v>
      </c>
      <c r="F21" s="13" t="s">
        <v>90</v>
      </c>
      <c r="G21" s="4" t="s">
        <v>129</v>
      </c>
      <c r="H21" s="13" t="s">
        <v>92</v>
      </c>
      <c r="I21" s="18" t="n">
        <f aca="false">INDEX(C21:E21,$C$4)</f>
        <v>10000</v>
      </c>
      <c r="J21" s="13" t="s">
        <v>87</v>
      </c>
    </row>
    <row r="22" customFormat="false" ht="15" hidden="false" customHeight="false" outlineLevel="0" collapsed="false">
      <c r="A22" s="3" t="s">
        <v>130</v>
      </c>
      <c r="B22" s="4" t="s">
        <v>131</v>
      </c>
      <c r="C22" s="17" t="n">
        <v>3000</v>
      </c>
      <c r="D22" s="17" t="n">
        <v>4999</v>
      </c>
      <c r="E22" s="17" t="n">
        <v>6500</v>
      </c>
      <c r="F22" s="13" t="s">
        <v>90</v>
      </c>
      <c r="G22" s="4" t="s">
        <v>132</v>
      </c>
      <c r="H22" s="13" t="s">
        <v>92</v>
      </c>
      <c r="I22" s="18" t="n">
        <f aca="false">INDEX(C22:E22,$C$4)</f>
        <v>4999</v>
      </c>
      <c r="J22" s="13" t="s">
        <v>87</v>
      </c>
    </row>
    <row r="23" customFormat="false" ht="15" hidden="false" customHeight="false" outlineLevel="0" collapsed="false">
      <c r="A23" s="3" t="s">
        <v>133</v>
      </c>
      <c r="B23" s="4" t="s">
        <v>134</v>
      </c>
      <c r="C23" s="17" t="n">
        <v>4999</v>
      </c>
      <c r="D23" s="17" t="n">
        <v>9999</v>
      </c>
      <c r="E23" s="17" t="n">
        <v>12499</v>
      </c>
      <c r="F23" s="13" t="s">
        <v>135</v>
      </c>
      <c r="G23" s="4" t="s">
        <v>136</v>
      </c>
      <c r="H23" s="13" t="s">
        <v>92</v>
      </c>
      <c r="I23" s="18" t="n">
        <f aca="false">INDEX(C23:E23,$C$4)</f>
        <v>9999</v>
      </c>
      <c r="J23" s="13" t="s">
        <v>87</v>
      </c>
    </row>
    <row r="24" customFormat="false" ht="28.35" hidden="false" customHeight="false" outlineLevel="0" collapsed="false">
      <c r="A24" s="3" t="s">
        <v>137</v>
      </c>
      <c r="B24" s="4" t="s">
        <v>138</v>
      </c>
      <c r="C24" s="17" t="n">
        <v>65000</v>
      </c>
      <c r="D24" s="17" t="n">
        <v>80000</v>
      </c>
      <c r="E24" s="17" t="n">
        <v>100000</v>
      </c>
      <c r="F24" s="13" t="s">
        <v>90</v>
      </c>
      <c r="G24" s="4" t="s">
        <v>139</v>
      </c>
      <c r="H24" s="13" t="s">
        <v>92</v>
      </c>
      <c r="I24" s="18" t="n">
        <f aca="false">INDEX(C24:E24,$C$4)</f>
        <v>80000</v>
      </c>
      <c r="J24" s="13" t="s">
        <v>87</v>
      </c>
    </row>
    <row r="25" customFormat="false" ht="28.35" hidden="false" customHeight="false" outlineLevel="0" collapsed="false">
      <c r="A25" s="3" t="s">
        <v>140</v>
      </c>
      <c r="B25" s="4" t="s">
        <v>141</v>
      </c>
      <c r="C25" s="23" t="n">
        <v>6</v>
      </c>
      <c r="D25" s="23" t="n">
        <v>10</v>
      </c>
      <c r="E25" s="23" t="n">
        <v>15</v>
      </c>
      <c r="F25" s="13" t="s">
        <v>142</v>
      </c>
      <c r="G25" s="4" t="s">
        <v>140</v>
      </c>
      <c r="H25" s="13" t="s">
        <v>92</v>
      </c>
      <c r="I25" s="24" t="n">
        <f aca="false">INDEX(C25:E25,$C$4)</f>
        <v>10</v>
      </c>
      <c r="J25" s="13" t="s">
        <v>96</v>
      </c>
    </row>
    <row r="26" customFormat="false" ht="15" hidden="false" customHeight="false" outlineLevel="0" collapsed="false">
      <c r="A26" s="3" t="s">
        <v>143</v>
      </c>
      <c r="B26" s="4" t="s">
        <v>144</v>
      </c>
      <c r="C26" s="19" t="n">
        <v>0.5</v>
      </c>
      <c r="D26" s="19" t="n">
        <v>0.6</v>
      </c>
      <c r="E26" s="19" t="n">
        <v>0.7</v>
      </c>
      <c r="F26" s="13" t="s">
        <v>99</v>
      </c>
      <c r="G26" s="4" t="s">
        <v>143</v>
      </c>
      <c r="H26" s="13" t="s">
        <v>92</v>
      </c>
      <c r="I26" s="20" t="n">
        <f aca="false">INDEX(C26:E26,$C$4)</f>
        <v>0.6</v>
      </c>
      <c r="J26" s="13" t="s">
        <v>87</v>
      </c>
    </row>
    <row r="27" customFormat="false" ht="15" hidden="false" customHeight="false" outlineLevel="0" collapsed="false">
      <c r="A27" s="3" t="s">
        <v>145</v>
      </c>
      <c r="B27" s="4" t="s">
        <v>146</v>
      </c>
      <c r="C27" s="19" t="n">
        <v>0.3</v>
      </c>
      <c r="D27" s="19" t="n">
        <v>0.3</v>
      </c>
      <c r="E27" s="19" t="n">
        <v>0.3</v>
      </c>
      <c r="F27" s="13" t="s">
        <v>99</v>
      </c>
      <c r="G27" s="4" t="s">
        <v>147</v>
      </c>
      <c r="H27" s="13" t="s">
        <v>92</v>
      </c>
      <c r="I27" s="20" t="n">
        <f aca="false">INDEX(C27:E27,$C$4)</f>
        <v>0.3</v>
      </c>
      <c r="J27" s="13" t="s">
        <v>87</v>
      </c>
    </row>
    <row r="28" customFormat="false" ht="15" hidden="false" customHeight="false" outlineLevel="0" collapsed="false">
      <c r="A28" s="3" t="s">
        <v>148</v>
      </c>
      <c r="B28" s="4" t="s">
        <v>149</v>
      </c>
      <c r="C28" s="19" t="n">
        <v>0.2</v>
      </c>
      <c r="D28" s="19" t="n">
        <v>0.2</v>
      </c>
      <c r="E28" s="19" t="n">
        <v>0.2</v>
      </c>
      <c r="F28" s="13" t="s">
        <v>99</v>
      </c>
      <c r="G28" s="4" t="s">
        <v>147</v>
      </c>
      <c r="H28" s="13" t="s">
        <v>92</v>
      </c>
      <c r="I28" s="20" t="n">
        <f aca="false">INDEX(C28:E28,$C$4)</f>
        <v>0.2</v>
      </c>
      <c r="J28" s="13" t="s">
        <v>87</v>
      </c>
    </row>
    <row r="29" customFormat="false" ht="15" hidden="false" customHeight="false" outlineLevel="0" collapsed="false">
      <c r="A29" s="3" t="s">
        <v>150</v>
      </c>
      <c r="B29" s="4" t="s">
        <v>151</v>
      </c>
      <c r="C29" s="19" t="n">
        <v>0.2</v>
      </c>
      <c r="D29" s="19" t="n">
        <v>0.2</v>
      </c>
      <c r="E29" s="19" t="n">
        <v>0.2</v>
      </c>
      <c r="F29" s="13" t="s">
        <v>99</v>
      </c>
      <c r="G29" s="4" t="s">
        <v>147</v>
      </c>
      <c r="H29" s="13" t="s">
        <v>92</v>
      </c>
      <c r="I29" s="20" t="n">
        <f aca="false">INDEX(C29:E29,$C$4)</f>
        <v>0.2</v>
      </c>
      <c r="J29" s="13" t="s">
        <v>87</v>
      </c>
    </row>
    <row r="30" customFormat="false" ht="15" hidden="false" customHeight="false" outlineLevel="0" collapsed="false">
      <c r="A30" s="3" t="s">
        <v>152</v>
      </c>
      <c r="B30" s="4" t="s">
        <v>153</v>
      </c>
      <c r="C30" s="19" t="n">
        <v>0.2</v>
      </c>
      <c r="D30" s="19" t="n">
        <v>0.2</v>
      </c>
      <c r="E30" s="19" t="n">
        <v>0.2</v>
      </c>
      <c r="F30" s="13" t="s">
        <v>99</v>
      </c>
      <c r="G30" s="4" t="s">
        <v>147</v>
      </c>
      <c r="H30" s="13" t="s">
        <v>92</v>
      </c>
      <c r="I30" s="20" t="n">
        <f aca="false">INDEX(C30:E30,$C$4)</f>
        <v>0.2</v>
      </c>
      <c r="J30" s="13" t="s">
        <v>87</v>
      </c>
    </row>
    <row r="31" customFormat="false" ht="15" hidden="false" customHeight="false" outlineLevel="0" collapsed="false">
      <c r="A31" s="3" t="s">
        <v>154</v>
      </c>
      <c r="B31" s="4" t="s">
        <v>155</v>
      </c>
      <c r="C31" s="19" t="n">
        <v>0.1</v>
      </c>
      <c r="D31" s="19" t="n">
        <v>0.1</v>
      </c>
      <c r="E31" s="19" t="n">
        <v>0.1</v>
      </c>
      <c r="F31" s="13" t="s">
        <v>99</v>
      </c>
      <c r="G31" s="4" t="s">
        <v>147</v>
      </c>
      <c r="H31" s="13" t="s">
        <v>92</v>
      </c>
      <c r="I31" s="20" t="n">
        <f aca="false">INDEX(C31:E31,$C$4)</f>
        <v>0.1</v>
      </c>
      <c r="J31" s="13" t="s">
        <v>87</v>
      </c>
    </row>
    <row r="32" customFormat="false" ht="15" hidden="false" customHeight="false" outlineLevel="0" collapsed="false">
      <c r="A32" s="3" t="s">
        <v>156</v>
      </c>
      <c r="B32" s="4" t="s">
        <v>157</v>
      </c>
      <c r="C32" s="17" t="n">
        <v>600</v>
      </c>
      <c r="D32" s="17" t="n">
        <v>300</v>
      </c>
      <c r="E32" s="17" t="n">
        <v>150</v>
      </c>
      <c r="F32" s="13" t="s">
        <v>158</v>
      </c>
      <c r="G32" s="4" t="s">
        <v>159</v>
      </c>
      <c r="H32" s="13" t="s">
        <v>92</v>
      </c>
      <c r="I32" s="18" t="n">
        <f aca="false">INDEX(C32:E32,$C$4)</f>
        <v>300</v>
      </c>
      <c r="J32" s="13" t="s">
        <v>87</v>
      </c>
    </row>
    <row r="33" customFormat="false" ht="15" hidden="false" customHeight="false" outlineLevel="0" collapsed="false">
      <c r="A33" s="3" t="s">
        <v>160</v>
      </c>
      <c r="B33" s="4" t="s">
        <v>161</v>
      </c>
      <c r="C33" s="17" t="n">
        <v>500</v>
      </c>
      <c r="D33" s="17" t="n">
        <v>250</v>
      </c>
      <c r="E33" s="17" t="n">
        <v>120</v>
      </c>
      <c r="F33" s="13" t="s">
        <v>158</v>
      </c>
      <c r="G33" s="4" t="s">
        <v>160</v>
      </c>
      <c r="H33" s="13" t="s">
        <v>92</v>
      </c>
      <c r="I33" s="18" t="n">
        <f aca="false">INDEX(C33:E33,$C$4)</f>
        <v>250</v>
      </c>
      <c r="J33" s="13" t="s">
        <v>87</v>
      </c>
    </row>
    <row r="34" customFormat="false" ht="15" hidden="false" customHeight="false" outlineLevel="0" collapsed="false">
      <c r="A34" s="3" t="s">
        <v>162</v>
      </c>
      <c r="B34" s="4" t="s">
        <v>163</v>
      </c>
      <c r="C34" s="17" t="n">
        <v>800</v>
      </c>
      <c r="D34" s="17" t="n">
        <v>500</v>
      </c>
      <c r="E34" s="17" t="n">
        <v>300</v>
      </c>
      <c r="F34" s="13" t="s">
        <v>158</v>
      </c>
      <c r="G34" s="4" t="s">
        <v>162</v>
      </c>
      <c r="H34" s="13" t="s">
        <v>92</v>
      </c>
      <c r="I34" s="18" t="n">
        <f aca="false">INDEX(C34:E34,$C$4)</f>
        <v>500</v>
      </c>
      <c r="J34" s="13" t="s">
        <v>87</v>
      </c>
    </row>
    <row r="35" customFormat="false" ht="15" hidden="false" customHeight="false" outlineLevel="0" collapsed="false">
      <c r="A35" s="3" t="s">
        <v>164</v>
      </c>
      <c r="B35" s="4" t="s">
        <v>165</v>
      </c>
      <c r="C35" s="17" t="n">
        <v>700</v>
      </c>
      <c r="D35" s="17" t="n">
        <v>400</v>
      </c>
      <c r="E35" s="17" t="n">
        <v>200</v>
      </c>
      <c r="F35" s="13" t="s">
        <v>166</v>
      </c>
      <c r="G35" s="4" t="s">
        <v>164</v>
      </c>
      <c r="H35" s="13" t="s">
        <v>92</v>
      </c>
      <c r="I35" s="18" t="n">
        <f aca="false">INDEX(C35:E35,$C$4)</f>
        <v>400</v>
      </c>
      <c r="J35" s="13" t="s">
        <v>87</v>
      </c>
    </row>
    <row r="36" customFormat="false" ht="15" hidden="false" customHeight="false" outlineLevel="0" collapsed="false">
      <c r="A36" s="3" t="s">
        <v>167</v>
      </c>
      <c r="B36" s="4" t="s">
        <v>168</v>
      </c>
      <c r="C36" s="17" t="n">
        <v>300</v>
      </c>
      <c r="D36" s="17" t="n">
        <v>150</v>
      </c>
      <c r="E36" s="17" t="n">
        <v>50</v>
      </c>
      <c r="F36" s="13" t="s">
        <v>158</v>
      </c>
      <c r="G36" s="4" t="s">
        <v>167</v>
      </c>
      <c r="H36" s="13" t="s">
        <v>92</v>
      </c>
      <c r="I36" s="18" t="n">
        <f aca="false">INDEX(C36:E36,$C$4)</f>
        <v>150</v>
      </c>
      <c r="J36" s="13" t="s">
        <v>87</v>
      </c>
    </row>
    <row r="37" customFormat="false" ht="15" hidden="false" customHeight="false" outlineLevel="0" collapsed="false">
      <c r="A37" s="3" t="s">
        <v>169</v>
      </c>
      <c r="B37" s="4" t="s">
        <v>170</v>
      </c>
      <c r="C37" s="17" t="n">
        <v>400</v>
      </c>
      <c r="D37" s="17" t="n">
        <v>200</v>
      </c>
      <c r="E37" s="17" t="n">
        <v>100</v>
      </c>
      <c r="F37" s="13" t="s">
        <v>158</v>
      </c>
      <c r="G37" s="4" t="s">
        <v>169</v>
      </c>
      <c r="H37" s="13" t="s">
        <v>92</v>
      </c>
      <c r="I37" s="18" t="n">
        <f aca="false">INDEX(C37:E37,$C$4)</f>
        <v>200</v>
      </c>
      <c r="J37" s="13" t="s">
        <v>87</v>
      </c>
    </row>
    <row r="38" customFormat="false" ht="15" hidden="false" customHeight="false" outlineLevel="0" collapsed="false">
      <c r="A38" s="3" t="s">
        <v>171</v>
      </c>
      <c r="B38" s="4" t="s">
        <v>172</v>
      </c>
      <c r="C38" s="19" t="n">
        <v>0.7</v>
      </c>
      <c r="D38" s="19" t="n">
        <v>0.5</v>
      </c>
      <c r="E38" s="19" t="n">
        <v>0.3</v>
      </c>
      <c r="F38" s="13" t="s">
        <v>99</v>
      </c>
      <c r="G38" s="4" t="s">
        <v>173</v>
      </c>
      <c r="H38" s="13" t="s">
        <v>92</v>
      </c>
      <c r="I38" s="20" t="n">
        <f aca="false">INDEX(C38:E38,$C$4)</f>
        <v>0.5</v>
      </c>
      <c r="J38" s="13" t="s">
        <v>87</v>
      </c>
    </row>
    <row r="39" customFormat="false" ht="15" hidden="false" customHeight="false" outlineLevel="0" collapsed="false">
      <c r="A39" s="3" t="s">
        <v>174</v>
      </c>
      <c r="B39" s="4" t="s">
        <v>175</v>
      </c>
      <c r="C39" s="19" t="n">
        <v>0.8</v>
      </c>
      <c r="D39" s="19" t="n">
        <v>0.6</v>
      </c>
      <c r="E39" s="19" t="n">
        <v>0.4</v>
      </c>
      <c r="F39" s="13" t="s">
        <v>99</v>
      </c>
      <c r="G39" s="4" t="s">
        <v>176</v>
      </c>
      <c r="H39" s="13" t="s">
        <v>92</v>
      </c>
      <c r="I39" s="20" t="n">
        <f aca="false">INDEX(C39:E39,$C$4)</f>
        <v>0.6</v>
      </c>
      <c r="J39" s="13" t="s">
        <v>87</v>
      </c>
    </row>
    <row r="40" customFormat="false" ht="15" hidden="false" customHeight="false" outlineLevel="0" collapsed="false">
      <c r="A40" s="3" t="s">
        <v>177</v>
      </c>
      <c r="B40" s="4" t="s">
        <v>178</v>
      </c>
      <c r="C40" s="19" t="n">
        <v>0.35</v>
      </c>
      <c r="D40" s="19" t="n">
        <v>0.4</v>
      </c>
      <c r="E40" s="19" t="n">
        <v>0.45</v>
      </c>
      <c r="F40" s="13" t="s">
        <v>99</v>
      </c>
      <c r="G40" s="4" t="s">
        <v>179</v>
      </c>
      <c r="H40" s="13" t="s">
        <v>92</v>
      </c>
      <c r="I40" s="20" t="n">
        <f aca="false">INDEX(C40:E40,$C$4)</f>
        <v>0.4</v>
      </c>
      <c r="J40" s="13" t="s">
        <v>87</v>
      </c>
    </row>
    <row r="41" customFormat="false" ht="15" hidden="false" customHeight="false" outlineLevel="0" collapsed="false">
      <c r="A41" s="3" t="s">
        <v>176</v>
      </c>
      <c r="B41" s="4" t="s">
        <v>180</v>
      </c>
      <c r="C41" s="19" t="n">
        <v>0.45</v>
      </c>
      <c r="D41" s="19" t="n">
        <v>0.55</v>
      </c>
      <c r="E41" s="19" t="n">
        <v>0.65</v>
      </c>
      <c r="F41" s="13" t="s">
        <v>99</v>
      </c>
      <c r="G41" s="4" t="s">
        <v>179</v>
      </c>
      <c r="H41" s="13" t="s">
        <v>92</v>
      </c>
      <c r="I41" s="20" t="n">
        <f aca="false">INDEX(C41:E41,$C$4)</f>
        <v>0.55</v>
      </c>
      <c r="J41" s="13" t="s">
        <v>87</v>
      </c>
    </row>
    <row r="42" customFormat="false" ht="15" hidden="false" customHeight="false" outlineLevel="0" collapsed="false">
      <c r="A42" s="3" t="s">
        <v>181</v>
      </c>
      <c r="B42" s="4" t="s">
        <v>182</v>
      </c>
      <c r="C42" s="19" t="n">
        <v>0.25</v>
      </c>
      <c r="D42" s="19" t="n">
        <v>0.3</v>
      </c>
      <c r="E42" s="19" t="n">
        <v>0.35</v>
      </c>
      <c r="F42" s="13" t="s">
        <v>99</v>
      </c>
      <c r="G42" s="4" t="s">
        <v>179</v>
      </c>
      <c r="H42" s="13" t="s">
        <v>92</v>
      </c>
      <c r="I42" s="20" t="n">
        <f aca="false">INDEX(C42:E42,$C$4)</f>
        <v>0.3</v>
      </c>
      <c r="J42" s="13" t="s">
        <v>87</v>
      </c>
    </row>
    <row r="43" customFormat="false" ht="15" hidden="false" customHeight="false" outlineLevel="0" collapsed="false">
      <c r="A43" s="3" t="s">
        <v>183</v>
      </c>
      <c r="B43" s="4" t="s">
        <v>184</v>
      </c>
      <c r="C43" s="19" t="n">
        <v>0.75</v>
      </c>
      <c r="D43" s="19" t="n">
        <v>0.8</v>
      </c>
      <c r="E43" s="19" t="n">
        <v>0.85</v>
      </c>
      <c r="F43" s="13" t="s">
        <v>99</v>
      </c>
      <c r="G43" s="4" t="s">
        <v>179</v>
      </c>
      <c r="H43" s="13" t="s">
        <v>92</v>
      </c>
      <c r="I43" s="20" t="n">
        <f aca="false">INDEX(C43:E43,$C$4)</f>
        <v>0.8</v>
      </c>
      <c r="J43" s="13" t="s">
        <v>87</v>
      </c>
    </row>
    <row r="44" customFormat="false" ht="15" hidden="false" customHeight="false" outlineLevel="0" collapsed="false">
      <c r="A44" s="3" t="s">
        <v>185</v>
      </c>
      <c r="B44" s="4" t="s">
        <v>186</v>
      </c>
      <c r="C44" s="19" t="n">
        <v>0.4</v>
      </c>
      <c r="D44" s="19" t="n">
        <v>0.45</v>
      </c>
      <c r="E44" s="19" t="n">
        <v>0.5</v>
      </c>
      <c r="F44" s="13" t="s">
        <v>99</v>
      </c>
      <c r="G44" s="4" t="s">
        <v>187</v>
      </c>
      <c r="H44" s="13" t="s">
        <v>92</v>
      </c>
      <c r="I44" s="20" t="n">
        <f aca="false">INDEX(C44:E44,$C$4)</f>
        <v>0.45</v>
      </c>
      <c r="J44" s="13" t="s">
        <v>87</v>
      </c>
    </row>
    <row r="45" customFormat="false" ht="15" hidden="false" customHeight="false" outlineLevel="0" collapsed="false">
      <c r="A45" s="3" t="s">
        <v>188</v>
      </c>
      <c r="B45" s="4" t="s">
        <v>189</v>
      </c>
      <c r="C45" s="19" t="n">
        <v>0.5</v>
      </c>
      <c r="D45" s="19" t="n">
        <v>0.6</v>
      </c>
      <c r="E45" s="19" t="n">
        <v>0.65</v>
      </c>
      <c r="F45" s="13" t="s">
        <v>99</v>
      </c>
      <c r="G45" s="4" t="s">
        <v>187</v>
      </c>
      <c r="H45" s="13" t="s">
        <v>92</v>
      </c>
      <c r="I45" s="20" t="n">
        <f aca="false">INDEX(C45:E45,$C$4)</f>
        <v>0.6</v>
      </c>
      <c r="J45" s="13" t="s">
        <v>87</v>
      </c>
    </row>
    <row r="46" customFormat="false" ht="15" hidden="false" customHeight="false" outlineLevel="0" collapsed="false">
      <c r="A46" s="3" t="s">
        <v>190</v>
      </c>
      <c r="B46" s="4" t="s">
        <v>191</v>
      </c>
      <c r="C46" s="19" t="n">
        <v>0.28</v>
      </c>
      <c r="D46" s="19" t="n">
        <v>0.32</v>
      </c>
      <c r="E46" s="19" t="n">
        <v>0.35</v>
      </c>
      <c r="F46" s="13" t="s">
        <v>99</v>
      </c>
      <c r="G46" s="4" t="s">
        <v>187</v>
      </c>
      <c r="H46" s="13" t="s">
        <v>92</v>
      </c>
      <c r="I46" s="20" t="n">
        <f aca="false">INDEX(C46:E46,$C$4)</f>
        <v>0.32</v>
      </c>
      <c r="J46" s="13" t="s">
        <v>87</v>
      </c>
    </row>
    <row r="47" customFormat="false" ht="15" hidden="false" customHeight="false" outlineLevel="0" collapsed="false">
      <c r="A47" s="3" t="s">
        <v>192</v>
      </c>
      <c r="B47" s="4" t="s">
        <v>193</v>
      </c>
      <c r="C47" s="19" t="n">
        <v>0.75</v>
      </c>
      <c r="D47" s="19" t="n">
        <v>0.8</v>
      </c>
      <c r="E47" s="19" t="n">
        <v>0.85</v>
      </c>
      <c r="F47" s="13" t="s">
        <v>99</v>
      </c>
      <c r="G47" s="4" t="s">
        <v>187</v>
      </c>
      <c r="H47" s="13" t="s">
        <v>92</v>
      </c>
      <c r="I47" s="20" t="n">
        <f aca="false">INDEX(C47:E47,$C$4)</f>
        <v>0.8</v>
      </c>
      <c r="J47" s="13" t="s">
        <v>87</v>
      </c>
    </row>
    <row r="48" customFormat="false" ht="15" hidden="false" customHeight="false" outlineLevel="0" collapsed="false">
      <c r="A48" s="3" t="s">
        <v>194</v>
      </c>
      <c r="B48" s="4" t="s">
        <v>195</v>
      </c>
      <c r="C48" s="19" t="n">
        <v>0.3</v>
      </c>
      <c r="D48" s="19" t="n">
        <v>0.38</v>
      </c>
      <c r="E48" s="19" t="n">
        <v>0.45</v>
      </c>
      <c r="F48" s="13" t="s">
        <v>99</v>
      </c>
      <c r="G48" s="4" t="s">
        <v>196</v>
      </c>
      <c r="H48" s="13" t="s">
        <v>92</v>
      </c>
      <c r="I48" s="20" t="n">
        <f aca="false">INDEX(C48:E48,$C$4)</f>
        <v>0.38</v>
      </c>
      <c r="J48" s="13" t="s">
        <v>87</v>
      </c>
    </row>
    <row r="49" customFormat="false" ht="15" hidden="false" customHeight="false" outlineLevel="0" collapsed="false">
      <c r="A49" s="3" t="s">
        <v>197</v>
      </c>
      <c r="B49" s="4" t="s">
        <v>198</v>
      </c>
      <c r="C49" s="19" t="n">
        <v>0.45</v>
      </c>
      <c r="D49" s="19" t="n">
        <v>0.55</v>
      </c>
      <c r="E49" s="19" t="n">
        <v>0.65</v>
      </c>
      <c r="F49" s="13" t="s">
        <v>99</v>
      </c>
      <c r="G49" s="4" t="s">
        <v>196</v>
      </c>
      <c r="H49" s="13" t="s">
        <v>92</v>
      </c>
      <c r="I49" s="20" t="n">
        <f aca="false">INDEX(C49:E49,$C$4)</f>
        <v>0.55</v>
      </c>
      <c r="J49" s="13" t="s">
        <v>87</v>
      </c>
    </row>
    <row r="50" customFormat="false" ht="15" hidden="false" customHeight="false" outlineLevel="0" collapsed="false">
      <c r="A50" s="3" t="s">
        <v>199</v>
      </c>
      <c r="B50" s="4" t="s">
        <v>200</v>
      </c>
      <c r="C50" s="19" t="n">
        <v>0.25</v>
      </c>
      <c r="D50" s="19" t="n">
        <v>0.3</v>
      </c>
      <c r="E50" s="19" t="n">
        <v>0.35</v>
      </c>
      <c r="F50" s="13" t="s">
        <v>99</v>
      </c>
      <c r="G50" s="4" t="s">
        <v>196</v>
      </c>
      <c r="H50" s="13" t="s">
        <v>92</v>
      </c>
      <c r="I50" s="20" t="n">
        <f aca="false">INDEX(C50:E50,$C$4)</f>
        <v>0.3</v>
      </c>
      <c r="J50" s="13" t="s">
        <v>87</v>
      </c>
    </row>
    <row r="51" customFormat="false" ht="15" hidden="false" customHeight="false" outlineLevel="0" collapsed="false">
      <c r="A51" s="3" t="s">
        <v>201</v>
      </c>
      <c r="B51" s="4" t="s">
        <v>202</v>
      </c>
      <c r="C51" s="19" t="n">
        <v>0.75</v>
      </c>
      <c r="D51" s="19" t="n">
        <v>0.8</v>
      </c>
      <c r="E51" s="19" t="n">
        <v>0.85</v>
      </c>
      <c r="F51" s="13" t="s">
        <v>99</v>
      </c>
      <c r="G51" s="4" t="s">
        <v>196</v>
      </c>
      <c r="H51" s="13" t="s">
        <v>92</v>
      </c>
      <c r="I51" s="20" t="n">
        <f aca="false">INDEX(C51:E51,$C$4)</f>
        <v>0.8</v>
      </c>
      <c r="J51" s="13" t="s">
        <v>87</v>
      </c>
    </row>
    <row r="52" customFormat="false" ht="15" hidden="false" customHeight="false" outlineLevel="0" collapsed="false">
      <c r="A52" s="3" t="s">
        <v>203</v>
      </c>
      <c r="B52" s="4" t="s">
        <v>204</v>
      </c>
      <c r="C52" s="19" t="n">
        <v>0.6</v>
      </c>
      <c r="D52" s="19" t="n">
        <v>0.7</v>
      </c>
      <c r="E52" s="19" t="n">
        <v>0.8</v>
      </c>
      <c r="F52" s="13" t="s">
        <v>99</v>
      </c>
      <c r="G52" s="4" t="s">
        <v>205</v>
      </c>
      <c r="H52" s="13" t="s">
        <v>92</v>
      </c>
      <c r="I52" s="20" t="n">
        <f aca="false">INDEX(C52:E52,$C$4)</f>
        <v>0.7</v>
      </c>
      <c r="J52" s="13" t="s">
        <v>87</v>
      </c>
    </row>
    <row r="53" customFormat="false" ht="15" hidden="false" customHeight="false" outlineLevel="0" collapsed="false">
      <c r="A53" s="3" t="s">
        <v>206</v>
      </c>
      <c r="B53" s="4" t="s">
        <v>207</v>
      </c>
      <c r="C53" s="19" t="n">
        <v>0.7</v>
      </c>
      <c r="D53" s="19" t="n">
        <v>0.75</v>
      </c>
      <c r="E53" s="19" t="n">
        <v>0.8</v>
      </c>
      <c r="F53" s="13" t="s">
        <v>99</v>
      </c>
      <c r="G53" s="4" t="s">
        <v>205</v>
      </c>
      <c r="H53" s="13" t="s">
        <v>92</v>
      </c>
      <c r="I53" s="20" t="n">
        <f aca="false">INDEX(C53:E53,$C$4)</f>
        <v>0.75</v>
      </c>
      <c r="J53" s="13" t="s">
        <v>87</v>
      </c>
    </row>
    <row r="54" customFormat="false" ht="15" hidden="false" customHeight="false" outlineLevel="0" collapsed="false">
      <c r="A54" s="3" t="s">
        <v>208</v>
      </c>
      <c r="B54" s="4" t="s">
        <v>209</v>
      </c>
      <c r="C54" s="19" t="n">
        <v>0.5</v>
      </c>
      <c r="D54" s="19" t="n">
        <v>0.55</v>
      </c>
      <c r="E54" s="19" t="n">
        <v>0.6</v>
      </c>
      <c r="F54" s="13" t="s">
        <v>99</v>
      </c>
      <c r="G54" s="4" t="s">
        <v>205</v>
      </c>
      <c r="H54" s="13" t="s">
        <v>92</v>
      </c>
      <c r="I54" s="20" t="n">
        <f aca="false">INDEX(C54:E54,$C$4)</f>
        <v>0.55</v>
      </c>
      <c r="J54" s="13" t="s">
        <v>87</v>
      </c>
    </row>
    <row r="55" customFormat="false" ht="15" hidden="false" customHeight="false" outlineLevel="0" collapsed="false">
      <c r="A55" s="3" t="s">
        <v>210</v>
      </c>
      <c r="B55" s="4" t="s">
        <v>211</v>
      </c>
      <c r="C55" s="19" t="n">
        <v>0.8</v>
      </c>
      <c r="D55" s="19" t="n">
        <v>0.87</v>
      </c>
      <c r="E55" s="19" t="n">
        <v>0.92</v>
      </c>
      <c r="F55" s="13" t="s">
        <v>99</v>
      </c>
      <c r="G55" s="4" t="s">
        <v>205</v>
      </c>
      <c r="H55" s="13" t="s">
        <v>92</v>
      </c>
      <c r="I55" s="20" t="n">
        <f aca="false">INDEX(C55:E55,$C$4)</f>
        <v>0.87</v>
      </c>
      <c r="J55" s="13" t="s">
        <v>87</v>
      </c>
    </row>
    <row r="56" customFormat="false" ht="15" hidden="false" customHeight="false" outlineLevel="0" collapsed="false">
      <c r="A56" s="3" t="s">
        <v>212</v>
      </c>
      <c r="B56" s="4" t="s">
        <v>213</v>
      </c>
      <c r="C56" s="19" t="n">
        <v>0.75</v>
      </c>
      <c r="D56" s="19" t="n">
        <v>0.82</v>
      </c>
      <c r="E56" s="19" t="n">
        <v>0.9</v>
      </c>
      <c r="F56" s="13" t="s">
        <v>99</v>
      </c>
      <c r="G56" s="4" t="s">
        <v>214</v>
      </c>
      <c r="H56" s="13" t="s">
        <v>92</v>
      </c>
      <c r="I56" s="20" t="n">
        <f aca="false">INDEX(C56:E56,$C$4)</f>
        <v>0.82</v>
      </c>
      <c r="J56" s="13" t="s">
        <v>87</v>
      </c>
    </row>
    <row r="57" customFormat="false" ht="15" hidden="false" customHeight="false" outlineLevel="0" collapsed="false">
      <c r="A57" s="3" t="s">
        <v>215</v>
      </c>
      <c r="B57" s="4" t="s">
        <v>216</v>
      </c>
      <c r="C57" s="19" t="n">
        <v>0.5</v>
      </c>
      <c r="D57" s="19" t="n">
        <v>0.65</v>
      </c>
      <c r="E57" s="19" t="n">
        <v>0.8</v>
      </c>
      <c r="F57" s="13" t="s">
        <v>99</v>
      </c>
      <c r="G57" s="4" t="s">
        <v>214</v>
      </c>
      <c r="H57" s="13" t="s">
        <v>92</v>
      </c>
      <c r="I57" s="20" t="n">
        <f aca="false">INDEX(C57:E57,$C$4)</f>
        <v>0.65</v>
      </c>
      <c r="J57" s="13" t="s">
        <v>87</v>
      </c>
    </row>
    <row r="58" customFormat="false" ht="15" hidden="false" customHeight="false" outlineLevel="0" collapsed="false">
      <c r="A58" s="3" t="s">
        <v>217</v>
      </c>
      <c r="B58" s="4" t="s">
        <v>218</v>
      </c>
      <c r="C58" s="19" t="n">
        <v>0.16</v>
      </c>
      <c r="D58" s="19" t="n">
        <v>0.2</v>
      </c>
      <c r="E58" s="19" t="n">
        <v>0.25</v>
      </c>
      <c r="F58" s="13" t="s">
        <v>99</v>
      </c>
      <c r="G58" s="4" t="s">
        <v>214</v>
      </c>
      <c r="H58" s="13" t="s">
        <v>92</v>
      </c>
      <c r="I58" s="20" t="n">
        <f aca="false">INDEX(C58:E58,$C$4)</f>
        <v>0.2</v>
      </c>
      <c r="J58" s="13" t="s">
        <v>87</v>
      </c>
    </row>
    <row r="59" customFormat="false" ht="28.35" hidden="false" customHeight="false" outlineLevel="0" collapsed="false">
      <c r="A59" s="3" t="s">
        <v>219</v>
      </c>
      <c r="B59" s="4" t="s">
        <v>220</v>
      </c>
      <c r="C59" s="25" t="n">
        <v>0.5</v>
      </c>
      <c r="D59" s="25" t="n">
        <v>0.67</v>
      </c>
      <c r="E59" s="25" t="n">
        <v>0.77</v>
      </c>
      <c r="F59" s="13" t="s">
        <v>221</v>
      </c>
      <c r="G59" s="4" t="s">
        <v>222</v>
      </c>
      <c r="H59" s="13" t="s">
        <v>92</v>
      </c>
      <c r="I59" s="26" t="n">
        <f aca="false">INDEX(C59:E59,$C$4)</f>
        <v>0.67</v>
      </c>
      <c r="J59" s="13" t="s">
        <v>87</v>
      </c>
    </row>
    <row r="60" customFormat="false" ht="28.35" hidden="false" customHeight="false" outlineLevel="0" collapsed="false">
      <c r="A60" s="3" t="s">
        <v>223</v>
      </c>
      <c r="B60" s="4" t="s">
        <v>224</v>
      </c>
      <c r="C60" s="25" t="n">
        <v>1.5</v>
      </c>
      <c r="D60" s="25" t="n">
        <v>1.25</v>
      </c>
      <c r="E60" s="25" t="n">
        <v>1</v>
      </c>
      <c r="F60" s="13" t="s">
        <v>221</v>
      </c>
      <c r="G60" s="4" t="s">
        <v>225</v>
      </c>
      <c r="H60" s="13" t="s">
        <v>92</v>
      </c>
      <c r="I60" s="26" t="n">
        <f aca="false">INDEX(C60:E60,$C$4)</f>
        <v>1.25</v>
      </c>
      <c r="J60" s="13" t="s">
        <v>87</v>
      </c>
    </row>
    <row r="61" customFormat="false" ht="15" hidden="false" customHeight="false" outlineLevel="0" collapsed="false">
      <c r="A61" s="3" t="s">
        <v>226</v>
      </c>
      <c r="B61" s="4" t="s">
        <v>227</v>
      </c>
      <c r="C61" s="19" t="n">
        <v>0.25</v>
      </c>
      <c r="D61" s="19" t="n">
        <v>0.35</v>
      </c>
      <c r="E61" s="19" t="n">
        <v>0.45</v>
      </c>
      <c r="F61" s="13" t="s">
        <v>99</v>
      </c>
      <c r="G61" s="4" t="s">
        <v>228</v>
      </c>
      <c r="H61" s="13" t="s">
        <v>92</v>
      </c>
      <c r="I61" s="20" t="n">
        <f aca="false">INDEX(C61:E61,$C$4)</f>
        <v>0.35</v>
      </c>
      <c r="J61" s="13" t="s">
        <v>87</v>
      </c>
    </row>
    <row r="62" customFormat="false" ht="15" hidden="false" customHeight="false" outlineLevel="0" collapsed="false">
      <c r="A62" s="3" t="s">
        <v>229</v>
      </c>
      <c r="B62" s="4" t="s">
        <v>230</v>
      </c>
      <c r="C62" s="19" t="n">
        <v>0.2</v>
      </c>
      <c r="D62" s="19" t="n">
        <v>0.3</v>
      </c>
      <c r="E62" s="19" t="n">
        <v>0.4</v>
      </c>
      <c r="F62" s="13" t="s">
        <v>99</v>
      </c>
      <c r="G62" s="4" t="s">
        <v>228</v>
      </c>
      <c r="H62" s="13" t="s">
        <v>92</v>
      </c>
      <c r="I62" s="20" t="n">
        <f aca="false">INDEX(C62:E62,$C$4)</f>
        <v>0.3</v>
      </c>
      <c r="J62" s="13" t="s">
        <v>87</v>
      </c>
    </row>
    <row r="63" customFormat="false" ht="15" hidden="false" customHeight="false" outlineLevel="0" collapsed="false">
      <c r="A63" s="3" t="s">
        <v>231</v>
      </c>
      <c r="B63" s="4" t="s">
        <v>232</v>
      </c>
      <c r="C63" s="19" t="n">
        <v>0.15</v>
      </c>
      <c r="D63" s="19" t="n">
        <v>0.25</v>
      </c>
      <c r="E63" s="19" t="n">
        <v>0.35</v>
      </c>
      <c r="F63" s="13" t="s">
        <v>99</v>
      </c>
      <c r="G63" s="4" t="s">
        <v>231</v>
      </c>
      <c r="H63" s="13" t="s">
        <v>92</v>
      </c>
      <c r="I63" s="20" t="n">
        <f aca="false">INDEX(C63:E63,$C$4)</f>
        <v>0.25</v>
      </c>
      <c r="J63" s="13" t="s">
        <v>87</v>
      </c>
    </row>
    <row r="64" customFormat="false" ht="15" hidden="false" customHeight="false" outlineLevel="0" collapsed="false">
      <c r="A64" s="3" t="s">
        <v>233</v>
      </c>
      <c r="B64" s="4" t="s">
        <v>234</v>
      </c>
      <c r="C64" s="19" t="n">
        <v>0.1</v>
      </c>
      <c r="D64" s="19" t="n">
        <v>0.17</v>
      </c>
      <c r="E64" s="19" t="n">
        <v>0.25</v>
      </c>
      <c r="F64" s="13" t="s">
        <v>99</v>
      </c>
      <c r="G64" s="4" t="s">
        <v>233</v>
      </c>
      <c r="H64" s="13" t="s">
        <v>92</v>
      </c>
      <c r="I64" s="20" t="n">
        <f aca="false">INDEX(C64:E64,$C$4)</f>
        <v>0.17</v>
      </c>
      <c r="J64" s="13" t="s">
        <v>87</v>
      </c>
    </row>
    <row r="65" customFormat="false" ht="15" hidden="false" customHeight="false" outlineLevel="0" collapsed="false">
      <c r="A65" s="3" t="s">
        <v>235</v>
      </c>
      <c r="B65" s="4" t="s">
        <v>236</v>
      </c>
      <c r="C65" s="19" t="n">
        <v>0.25</v>
      </c>
      <c r="D65" s="19" t="n">
        <v>0.3</v>
      </c>
      <c r="E65" s="19" t="n">
        <v>0.4</v>
      </c>
      <c r="F65" s="13" t="s">
        <v>99</v>
      </c>
      <c r="G65" s="4" t="s">
        <v>235</v>
      </c>
      <c r="H65" s="13" t="s">
        <v>92</v>
      </c>
      <c r="I65" s="20" t="n">
        <f aca="false">INDEX(C65:E65,$C$4)</f>
        <v>0.3</v>
      </c>
      <c r="J65" s="13" t="s">
        <v>87</v>
      </c>
    </row>
    <row r="66" customFormat="false" ht="15" hidden="false" customHeight="false" outlineLevel="0" collapsed="false">
      <c r="A66" s="3" t="s">
        <v>237</v>
      </c>
      <c r="B66" s="4" t="s">
        <v>238</v>
      </c>
      <c r="C66" s="19" t="n">
        <v>0.01</v>
      </c>
      <c r="D66" s="19" t="n">
        <v>0.03</v>
      </c>
      <c r="E66" s="19" t="n">
        <v>0.05</v>
      </c>
      <c r="F66" s="13" t="s">
        <v>99</v>
      </c>
      <c r="G66" s="4" t="s">
        <v>237</v>
      </c>
      <c r="H66" s="13" t="s">
        <v>92</v>
      </c>
      <c r="I66" s="20" t="n">
        <f aca="false">INDEX(C66:E66,$C$4)</f>
        <v>0.03</v>
      </c>
      <c r="J66" s="13" t="s">
        <v>87</v>
      </c>
    </row>
    <row r="67" customFormat="false" ht="15" hidden="false" customHeight="false" outlineLevel="0" collapsed="false">
      <c r="A67" s="3" t="s">
        <v>239</v>
      </c>
      <c r="B67" s="4" t="s">
        <v>240</v>
      </c>
      <c r="C67" s="19" t="n">
        <v>0.85</v>
      </c>
      <c r="D67" s="19" t="n">
        <v>0.9</v>
      </c>
      <c r="E67" s="19" t="n">
        <v>0.95</v>
      </c>
      <c r="F67" s="13" t="s">
        <v>99</v>
      </c>
      <c r="G67" s="4" t="s">
        <v>239</v>
      </c>
      <c r="H67" s="13" t="s">
        <v>92</v>
      </c>
      <c r="I67" s="20" t="n">
        <f aca="false">INDEX(C67:E67,$C$4)</f>
        <v>0.9</v>
      </c>
      <c r="J67" s="13" t="s">
        <v>87</v>
      </c>
    </row>
    <row r="68" customFormat="false" ht="15" hidden="false" customHeight="false" outlineLevel="0" collapsed="false">
      <c r="A68" s="3" t="s">
        <v>241</v>
      </c>
      <c r="B68" s="4" t="s">
        <v>242</v>
      </c>
      <c r="C68" s="23" t="n">
        <v>0.2</v>
      </c>
      <c r="D68" s="23" t="n">
        <v>0.4</v>
      </c>
      <c r="E68" s="23" t="n">
        <v>0.6</v>
      </c>
      <c r="F68" s="13" t="s">
        <v>243</v>
      </c>
      <c r="G68" s="4" t="s">
        <v>241</v>
      </c>
      <c r="H68" s="13" t="s">
        <v>92</v>
      </c>
      <c r="I68" s="24" t="n">
        <f aca="false">INDEX(C68:E68,$C$4)</f>
        <v>0.4</v>
      </c>
      <c r="J68" s="13" t="s">
        <v>87</v>
      </c>
    </row>
    <row r="69" customFormat="false" ht="15" hidden="false" customHeight="false" outlineLevel="0" collapsed="false">
      <c r="A69" s="3" t="s">
        <v>244</v>
      </c>
      <c r="B69" s="4" t="s">
        <v>245</v>
      </c>
      <c r="C69" s="17" t="n">
        <v>5000</v>
      </c>
      <c r="D69" s="17" t="n">
        <v>3000</v>
      </c>
      <c r="E69" s="17" t="n">
        <v>2000</v>
      </c>
      <c r="F69" s="13" t="s">
        <v>90</v>
      </c>
      <c r="G69" s="4" t="s">
        <v>246</v>
      </c>
      <c r="H69" s="13" t="s">
        <v>92</v>
      </c>
      <c r="I69" s="18" t="n">
        <f aca="false">INDEX(C69:E69,$C$4)</f>
        <v>3000</v>
      </c>
      <c r="J69" s="13" t="s">
        <v>87</v>
      </c>
    </row>
    <row r="70" customFormat="false" ht="15" hidden="false" customHeight="false" outlineLevel="0" collapsed="false">
      <c r="A70" s="3" t="s">
        <v>247</v>
      </c>
      <c r="B70" s="4" t="s">
        <v>248</v>
      </c>
      <c r="C70" s="19" t="n">
        <v>0.5</v>
      </c>
      <c r="D70" s="19" t="n">
        <v>0.35</v>
      </c>
      <c r="E70" s="19" t="n">
        <v>0.2</v>
      </c>
      <c r="F70" s="13" t="s">
        <v>99</v>
      </c>
      <c r="G70" s="4" t="s">
        <v>249</v>
      </c>
      <c r="H70" s="13" t="s">
        <v>92</v>
      </c>
      <c r="I70" s="20" t="n">
        <f aca="false">INDEX(C70:E70,$C$4)</f>
        <v>0.35</v>
      </c>
      <c r="J70" s="13" t="s">
        <v>87</v>
      </c>
    </row>
    <row r="71" customFormat="false" ht="15" hidden="false" customHeight="false" outlineLevel="0" collapsed="false">
      <c r="A71" s="3" t="s">
        <v>250</v>
      </c>
      <c r="B71" s="4" t="s">
        <v>251</v>
      </c>
      <c r="C71" s="19" t="n">
        <v>0.07</v>
      </c>
      <c r="D71" s="19" t="n">
        <v>0.05</v>
      </c>
      <c r="E71" s="19" t="n">
        <v>0.03</v>
      </c>
      <c r="F71" s="13" t="s">
        <v>99</v>
      </c>
      <c r="G71" s="4" t="s">
        <v>250</v>
      </c>
      <c r="H71" s="13" t="s">
        <v>92</v>
      </c>
      <c r="I71" s="20" t="n">
        <f aca="false">INDEX(C71:E71,$C$4)</f>
        <v>0.05</v>
      </c>
      <c r="J71" s="13" t="s">
        <v>87</v>
      </c>
    </row>
    <row r="72" customFormat="false" ht="15" hidden="false" customHeight="false" outlineLevel="0" collapsed="false">
      <c r="A72" s="3" t="s">
        <v>252</v>
      </c>
      <c r="B72" s="4" t="s">
        <v>253</v>
      </c>
      <c r="C72" s="19" t="n">
        <v>0.2</v>
      </c>
      <c r="D72" s="19" t="n">
        <v>0.3</v>
      </c>
      <c r="E72" s="19" t="n">
        <v>0.45</v>
      </c>
      <c r="F72" s="13" t="s">
        <v>99</v>
      </c>
      <c r="G72" s="4" t="s">
        <v>252</v>
      </c>
      <c r="H72" s="13" t="s">
        <v>92</v>
      </c>
      <c r="I72" s="20" t="n">
        <f aca="false">INDEX(C72:E72,$C$4)</f>
        <v>0.3</v>
      </c>
      <c r="J72" s="13" t="s">
        <v>87</v>
      </c>
    </row>
    <row r="73" customFormat="false" ht="15" hidden="false" customHeight="false" outlineLevel="0" collapsed="false">
      <c r="A73" s="3" t="s">
        <v>254</v>
      </c>
      <c r="B73" s="4" t="s">
        <v>255</v>
      </c>
      <c r="C73" s="19" t="n">
        <v>0.05</v>
      </c>
      <c r="D73" s="19" t="n">
        <v>0.1</v>
      </c>
      <c r="E73" s="19" t="n">
        <v>0.2</v>
      </c>
      <c r="F73" s="13" t="s">
        <v>99</v>
      </c>
      <c r="G73" s="4" t="s">
        <v>252</v>
      </c>
      <c r="H73" s="13" t="s">
        <v>92</v>
      </c>
      <c r="I73" s="20" t="n">
        <f aca="false">INDEX(C73:E73,$C$4)</f>
        <v>0.1</v>
      </c>
      <c r="J73" s="13" t="s">
        <v>87</v>
      </c>
    </row>
    <row r="74" customFormat="false" ht="15" hidden="false" customHeight="false" outlineLevel="0" collapsed="false">
      <c r="A74" s="3" t="s">
        <v>256</v>
      </c>
      <c r="B74" s="4" t="s">
        <v>257</v>
      </c>
      <c r="C74" s="19" t="n">
        <v>0.15</v>
      </c>
      <c r="D74" s="19" t="n">
        <v>0.25</v>
      </c>
      <c r="E74" s="19" t="n">
        <v>0.35</v>
      </c>
      <c r="F74" s="13" t="s">
        <v>99</v>
      </c>
      <c r="G74" s="4" t="s">
        <v>258</v>
      </c>
      <c r="H74" s="13" t="s">
        <v>92</v>
      </c>
      <c r="I74" s="20" t="n">
        <f aca="false">INDEX(C74:E74,$C$4)</f>
        <v>0.25</v>
      </c>
      <c r="J74" s="13" t="s">
        <v>87</v>
      </c>
    </row>
    <row r="75" customFormat="false" ht="15" hidden="false" customHeight="false" outlineLevel="0" collapsed="false">
      <c r="A75" s="3" t="s">
        <v>259</v>
      </c>
      <c r="B75" s="4" t="s">
        <v>260</v>
      </c>
      <c r="C75" s="15" t="n">
        <v>25</v>
      </c>
      <c r="D75" s="15" t="n">
        <v>30</v>
      </c>
      <c r="E75" s="15" t="n">
        <v>40</v>
      </c>
      <c r="F75" s="13" t="s">
        <v>261</v>
      </c>
      <c r="G75" s="4" t="s">
        <v>259</v>
      </c>
      <c r="H75" s="13" t="s">
        <v>92</v>
      </c>
      <c r="I75" s="16" t="n">
        <f aca="false">INDEX(C75:E75,$C$4)</f>
        <v>30</v>
      </c>
      <c r="J75" s="13" t="s">
        <v>87</v>
      </c>
    </row>
    <row r="76" customFormat="false" ht="15" hidden="false" customHeight="false" outlineLevel="0" collapsed="false">
      <c r="A76" s="3" t="s">
        <v>262</v>
      </c>
      <c r="B76" s="4" t="s">
        <v>263</v>
      </c>
      <c r="C76" s="19" t="n">
        <v>0.024</v>
      </c>
      <c r="D76" s="19" t="n">
        <v>0.02</v>
      </c>
      <c r="E76" s="19" t="n">
        <v>0.018</v>
      </c>
      <c r="F76" s="13" t="s">
        <v>99</v>
      </c>
      <c r="G76" s="4" t="s">
        <v>264</v>
      </c>
      <c r="H76" s="13" t="s">
        <v>265</v>
      </c>
      <c r="I76" s="20" t="n">
        <f aca="false">INDEX(C76:E76,$C$4)</f>
        <v>0.02</v>
      </c>
      <c r="J76" s="13" t="s">
        <v>87</v>
      </c>
    </row>
    <row r="77" customFormat="false" ht="28.35" hidden="false" customHeight="false" outlineLevel="0" collapsed="false">
      <c r="A77" s="3" t="s">
        <v>266</v>
      </c>
      <c r="B77" s="4" t="s">
        <v>267</v>
      </c>
      <c r="C77" s="15" t="n">
        <v>25</v>
      </c>
      <c r="D77" s="15" t="n">
        <v>40</v>
      </c>
      <c r="E77" s="15" t="n">
        <v>60</v>
      </c>
      <c r="F77" s="13" t="s">
        <v>268</v>
      </c>
      <c r="G77" s="4" t="s">
        <v>269</v>
      </c>
      <c r="H77" s="13" t="s">
        <v>92</v>
      </c>
      <c r="I77" s="16" t="n">
        <f aca="false">INDEX(C77:E77,$C$4)</f>
        <v>40</v>
      </c>
      <c r="J77" s="13" t="s">
        <v>87</v>
      </c>
    </row>
    <row r="78" customFormat="false" ht="28.35" hidden="false" customHeight="false" outlineLevel="0" collapsed="false">
      <c r="A78" s="3" t="s">
        <v>270</v>
      </c>
      <c r="B78" s="4" t="s">
        <v>271</v>
      </c>
      <c r="C78" s="15" t="n">
        <v>5</v>
      </c>
      <c r="D78" s="15" t="n">
        <v>8</v>
      </c>
      <c r="E78" s="15" t="n">
        <v>12</v>
      </c>
      <c r="F78" s="13" t="s">
        <v>268</v>
      </c>
      <c r="G78" s="4" t="s">
        <v>270</v>
      </c>
      <c r="H78" s="13" t="s">
        <v>92</v>
      </c>
      <c r="I78" s="16" t="n">
        <f aca="false">INDEX(C78:E78,$C$4)</f>
        <v>8</v>
      </c>
      <c r="J78" s="13" t="s">
        <v>87</v>
      </c>
    </row>
    <row r="79" customFormat="false" ht="15" hidden="false" customHeight="false" outlineLevel="0" collapsed="false">
      <c r="A79" s="3" t="s">
        <v>272</v>
      </c>
      <c r="B79" s="4" t="s">
        <v>273</v>
      </c>
      <c r="C79" s="17" t="n">
        <v>150</v>
      </c>
      <c r="D79" s="17" t="n">
        <v>100</v>
      </c>
      <c r="E79" s="17" t="n">
        <v>60</v>
      </c>
      <c r="F79" s="13" t="s">
        <v>274</v>
      </c>
      <c r="G79" s="4" t="s">
        <v>275</v>
      </c>
      <c r="H79" s="13" t="s">
        <v>92</v>
      </c>
      <c r="I79" s="18" t="n">
        <f aca="false">INDEX(C79:E79,$C$4)</f>
        <v>100</v>
      </c>
      <c r="J79" s="13" t="s">
        <v>87</v>
      </c>
    </row>
    <row r="80" customFormat="false" ht="28.35" hidden="false" customHeight="false" outlineLevel="0" collapsed="false">
      <c r="A80" s="3" t="s">
        <v>276</v>
      </c>
      <c r="B80" s="4" t="s">
        <v>277</v>
      </c>
      <c r="C80" s="23" t="n">
        <v>1</v>
      </c>
      <c r="D80" s="23" t="n">
        <v>1</v>
      </c>
      <c r="E80" s="23" t="n">
        <v>1</v>
      </c>
      <c r="F80" s="13" t="s">
        <v>278</v>
      </c>
      <c r="G80" s="4" t="s">
        <v>279</v>
      </c>
      <c r="H80" s="13" t="s">
        <v>92</v>
      </c>
      <c r="I80" s="24" t="n">
        <f aca="false">INDEX(C80:E80,$C$4)</f>
        <v>1</v>
      </c>
      <c r="J80" s="13" t="s">
        <v>87</v>
      </c>
    </row>
    <row r="81" customFormat="false" ht="15" hidden="false" customHeight="false" outlineLevel="0" collapsed="false">
      <c r="A81" s="3" t="s">
        <v>280</v>
      </c>
      <c r="B81" s="4" t="s">
        <v>281</v>
      </c>
      <c r="C81" s="15" t="n">
        <v>30</v>
      </c>
      <c r="D81" s="15" t="n">
        <v>30</v>
      </c>
      <c r="E81" s="15" t="n">
        <v>40</v>
      </c>
      <c r="F81" s="13" t="s">
        <v>282</v>
      </c>
      <c r="G81" s="4" t="s">
        <v>283</v>
      </c>
      <c r="H81" s="13" t="s">
        <v>92</v>
      </c>
      <c r="I81" s="16" t="n">
        <f aca="false">INDEX(C81:E81,$C$4)</f>
        <v>30</v>
      </c>
      <c r="J81" s="13" t="s">
        <v>87</v>
      </c>
    </row>
    <row r="82" customFormat="false" ht="15" hidden="false" customHeight="false" outlineLevel="0" collapsed="false">
      <c r="A82" s="3" t="s">
        <v>284</v>
      </c>
      <c r="B82" s="4" t="s">
        <v>285</v>
      </c>
      <c r="C82" s="15" t="n">
        <v>25</v>
      </c>
      <c r="D82" s="15" t="n">
        <v>32</v>
      </c>
      <c r="E82" s="15" t="n">
        <v>40</v>
      </c>
      <c r="F82" s="13" t="s">
        <v>286</v>
      </c>
      <c r="G82" s="4" t="s">
        <v>287</v>
      </c>
      <c r="H82" s="13" t="s">
        <v>92</v>
      </c>
      <c r="I82" s="16" t="n">
        <f aca="false">INDEX(C82:E82,$C$4)</f>
        <v>32</v>
      </c>
      <c r="J82" s="13" t="s">
        <v>87</v>
      </c>
    </row>
    <row r="83" customFormat="false" ht="15" hidden="false" customHeight="false" outlineLevel="0" collapsed="false">
      <c r="A83" s="3" t="s">
        <v>288</v>
      </c>
      <c r="B83" s="4" t="s">
        <v>289</v>
      </c>
      <c r="C83" s="17" t="n">
        <v>999</v>
      </c>
      <c r="D83" s="17" t="n">
        <v>1499</v>
      </c>
      <c r="E83" s="17" t="n">
        <v>1499</v>
      </c>
      <c r="F83" s="13" t="s">
        <v>90</v>
      </c>
      <c r="G83" s="4" t="s">
        <v>290</v>
      </c>
      <c r="H83" s="13" t="s">
        <v>92</v>
      </c>
      <c r="I83" s="18" t="n">
        <f aca="false">INDEX(C83:E83,$C$4)</f>
        <v>1499</v>
      </c>
      <c r="J83" s="13" t="s">
        <v>87</v>
      </c>
    </row>
    <row r="84" customFormat="false" ht="15" hidden="false" customHeight="false" outlineLevel="0" collapsed="false">
      <c r="A84" s="3" t="s">
        <v>291</v>
      </c>
      <c r="B84" s="4" t="s">
        <v>292</v>
      </c>
      <c r="C84" s="17" t="n">
        <v>60000</v>
      </c>
      <c r="D84" s="17" t="n">
        <v>52000</v>
      </c>
      <c r="E84" s="17" t="n">
        <v>45000</v>
      </c>
      <c r="F84" s="13" t="s">
        <v>293</v>
      </c>
      <c r="G84" s="4" t="s">
        <v>294</v>
      </c>
      <c r="H84" s="13" t="s">
        <v>92</v>
      </c>
      <c r="I84" s="18" t="n">
        <f aca="false">INDEX(C84:E84,$C$4)</f>
        <v>52000</v>
      </c>
      <c r="J84" s="13" t="s">
        <v>87</v>
      </c>
    </row>
    <row r="85" customFormat="false" ht="15" hidden="false" customHeight="false" outlineLevel="0" collapsed="false">
      <c r="A85" s="3" t="s">
        <v>295</v>
      </c>
      <c r="B85" s="4" t="s">
        <v>296</v>
      </c>
      <c r="C85" s="19" t="n">
        <v>0.08</v>
      </c>
      <c r="D85" s="19" t="n">
        <v>0.11</v>
      </c>
      <c r="E85" s="19" t="n">
        <v>0.15</v>
      </c>
      <c r="F85" s="13" t="s">
        <v>99</v>
      </c>
      <c r="G85" s="4" t="s">
        <v>297</v>
      </c>
      <c r="H85" s="13" t="s">
        <v>92</v>
      </c>
      <c r="I85" s="20" t="n">
        <f aca="false">INDEX(C85:E85,$C$4)</f>
        <v>0.11</v>
      </c>
      <c r="J85" s="13" t="s">
        <v>87</v>
      </c>
    </row>
    <row r="86" customFormat="false" ht="28.35" hidden="false" customHeight="false" outlineLevel="0" collapsed="false">
      <c r="A86" s="3" t="s">
        <v>298</v>
      </c>
      <c r="B86" s="4" t="s">
        <v>299</v>
      </c>
      <c r="C86" s="25" t="n">
        <v>0</v>
      </c>
      <c r="D86" s="25" t="n">
        <v>0.5</v>
      </c>
      <c r="E86" s="25" t="n">
        <v>1</v>
      </c>
      <c r="F86" s="13" t="s">
        <v>300</v>
      </c>
      <c r="G86" s="4" t="s">
        <v>301</v>
      </c>
      <c r="H86" s="13" t="s">
        <v>92</v>
      </c>
      <c r="I86" s="26" t="n">
        <f aca="false">INDEX(C86:E86,$C$4)</f>
        <v>0.5</v>
      </c>
      <c r="J86" s="13" t="s">
        <v>96</v>
      </c>
    </row>
    <row r="87" customFormat="false" ht="28.35" hidden="false" customHeight="false" outlineLevel="0" collapsed="false">
      <c r="A87" s="3" t="s">
        <v>302</v>
      </c>
      <c r="B87" s="4" t="s">
        <v>303</v>
      </c>
      <c r="C87" s="15" t="n">
        <v>3</v>
      </c>
      <c r="D87" s="15" t="n">
        <v>2</v>
      </c>
      <c r="E87" s="15" t="n">
        <v>1</v>
      </c>
      <c r="F87" s="13" t="s">
        <v>304</v>
      </c>
      <c r="G87" s="4" t="s">
        <v>305</v>
      </c>
      <c r="H87" s="13" t="s">
        <v>92</v>
      </c>
      <c r="I87" s="16" t="n">
        <f aca="false">INDEX(C87:E87,$C$4)</f>
        <v>2</v>
      </c>
      <c r="J87" s="13" t="s">
        <v>87</v>
      </c>
    </row>
    <row r="88" customFormat="false" ht="15" hidden="false" customHeight="false" outlineLevel="0" collapsed="false">
      <c r="A88" s="3" t="s">
        <v>306</v>
      </c>
      <c r="B88" s="4" t="s">
        <v>307</v>
      </c>
      <c r="C88" s="23" t="n">
        <v>0.3</v>
      </c>
      <c r="D88" s="23" t="n">
        <v>0.5</v>
      </c>
      <c r="E88" s="23" t="n">
        <v>0.8</v>
      </c>
      <c r="F88" s="13" t="s">
        <v>308</v>
      </c>
      <c r="G88" s="4" t="s">
        <v>309</v>
      </c>
      <c r="H88" s="13" t="s">
        <v>92</v>
      </c>
      <c r="I88" s="24" t="n">
        <f aca="false">INDEX(C88:E88,$C$4)</f>
        <v>0.5</v>
      </c>
      <c r="J88" s="13" t="s">
        <v>87</v>
      </c>
    </row>
    <row r="89" customFormat="false" ht="15" hidden="false" customHeight="false" outlineLevel="0" collapsed="false">
      <c r="A89" s="3" t="s">
        <v>310</v>
      </c>
      <c r="B89" s="4" t="s">
        <v>311</v>
      </c>
      <c r="C89" s="19" t="n">
        <v>0.25</v>
      </c>
      <c r="D89" s="19" t="n">
        <v>0.3</v>
      </c>
      <c r="E89" s="19" t="n">
        <v>0.4</v>
      </c>
      <c r="F89" s="13" t="s">
        <v>99</v>
      </c>
      <c r="G89" s="4" t="s">
        <v>312</v>
      </c>
      <c r="H89" s="13" t="s">
        <v>92</v>
      </c>
      <c r="I89" s="20" t="n">
        <f aca="false">INDEX(C89:E89,$C$4)</f>
        <v>0.3</v>
      </c>
      <c r="J89" s="13" t="s">
        <v>87</v>
      </c>
    </row>
    <row r="90" customFormat="false" ht="28.35" hidden="false" customHeight="false" outlineLevel="0" collapsed="false">
      <c r="A90" s="3" t="s">
        <v>313</v>
      </c>
      <c r="B90" s="4" t="s">
        <v>314</v>
      </c>
      <c r="C90" s="17" t="n">
        <v>600</v>
      </c>
      <c r="D90" s="17" t="n">
        <v>960</v>
      </c>
      <c r="E90" s="17" t="n">
        <v>1400</v>
      </c>
      <c r="F90" s="13" t="s">
        <v>315</v>
      </c>
      <c r="G90" s="4" t="s">
        <v>316</v>
      </c>
      <c r="H90" s="13" t="s">
        <v>92</v>
      </c>
      <c r="I90" s="18" t="n">
        <f aca="false">INDEX(C90:E90,$C$4)</f>
        <v>960</v>
      </c>
      <c r="J90" s="13" t="s">
        <v>87</v>
      </c>
    </row>
    <row r="91" customFormat="false" ht="15" hidden="false" customHeight="false" outlineLevel="0" collapsed="false">
      <c r="A91" s="3" t="s">
        <v>317</v>
      </c>
      <c r="B91" s="4" t="s">
        <v>318</v>
      </c>
      <c r="C91" s="17" t="n">
        <v>7000</v>
      </c>
      <c r="D91" s="17" t="n">
        <v>6000</v>
      </c>
      <c r="E91" s="17" t="n">
        <v>5000</v>
      </c>
      <c r="F91" s="13" t="s">
        <v>106</v>
      </c>
      <c r="G91" s="4" t="s">
        <v>319</v>
      </c>
      <c r="H91" s="13" t="s">
        <v>92</v>
      </c>
      <c r="I91" s="18" t="n">
        <f aca="false">INDEX(C91:E91,$C$4)</f>
        <v>6000</v>
      </c>
      <c r="J91" s="13" t="s">
        <v>87</v>
      </c>
    </row>
    <row r="92" customFormat="false" ht="15" hidden="false" customHeight="false" outlineLevel="0" collapsed="false">
      <c r="A92" s="3" t="s">
        <v>320</v>
      </c>
      <c r="B92" s="4" t="s">
        <v>321</v>
      </c>
      <c r="C92" s="17" t="n">
        <v>2500</v>
      </c>
      <c r="D92" s="17" t="n">
        <v>2000</v>
      </c>
      <c r="E92" s="17" t="n">
        <v>1500</v>
      </c>
      <c r="F92" s="13" t="s">
        <v>106</v>
      </c>
      <c r="G92" s="4" t="s">
        <v>322</v>
      </c>
      <c r="H92" s="13" t="s">
        <v>92</v>
      </c>
      <c r="I92" s="18" t="n">
        <f aca="false">INDEX(C92:E92,$C$4)</f>
        <v>2000</v>
      </c>
      <c r="J92" s="13" t="s">
        <v>87</v>
      </c>
    </row>
    <row r="93" customFormat="false" ht="28.35" hidden="false" customHeight="false" outlineLevel="0" collapsed="false">
      <c r="A93" s="3" t="s">
        <v>323</v>
      </c>
      <c r="B93" s="4" t="s">
        <v>324</v>
      </c>
      <c r="C93" s="17" t="n">
        <v>9000</v>
      </c>
      <c r="D93" s="17" t="n">
        <v>7500</v>
      </c>
      <c r="E93" s="17" t="n">
        <v>6000</v>
      </c>
      <c r="F93" s="13" t="s">
        <v>106</v>
      </c>
      <c r="G93" s="4" t="s">
        <v>325</v>
      </c>
      <c r="H93" s="13" t="s">
        <v>92</v>
      </c>
      <c r="I93" s="18" t="n">
        <f aca="false">INDEX(C93:E93,$C$4)</f>
        <v>7500</v>
      </c>
      <c r="J93" s="13" t="s">
        <v>87</v>
      </c>
    </row>
    <row r="94" customFormat="false" ht="15" hidden="false" customHeight="false" outlineLevel="0" collapsed="false">
      <c r="A94" s="3" t="s">
        <v>326</v>
      </c>
      <c r="B94" s="4" t="s">
        <v>327</v>
      </c>
      <c r="C94" s="17" t="n">
        <v>1200</v>
      </c>
      <c r="D94" s="17" t="n">
        <v>1000</v>
      </c>
      <c r="E94" s="17" t="n">
        <v>800</v>
      </c>
      <c r="F94" s="13" t="s">
        <v>328</v>
      </c>
      <c r="G94" s="4" t="s">
        <v>329</v>
      </c>
      <c r="H94" s="13" t="s">
        <v>92</v>
      </c>
      <c r="I94" s="18" t="n">
        <f aca="false">INDEX(C94:E94,$C$4)</f>
        <v>1000</v>
      </c>
      <c r="J94" s="13" t="s">
        <v>87</v>
      </c>
    </row>
    <row r="95" customFormat="false" ht="15" hidden="false" customHeight="false" outlineLevel="0" collapsed="false">
      <c r="A95" s="3" t="s">
        <v>330</v>
      </c>
      <c r="B95" s="4" t="s">
        <v>331</v>
      </c>
      <c r="C95" s="17" t="n">
        <v>500</v>
      </c>
      <c r="D95" s="17" t="n">
        <v>400</v>
      </c>
      <c r="E95" s="17" t="n">
        <v>300</v>
      </c>
      <c r="F95" s="13" t="s">
        <v>328</v>
      </c>
      <c r="G95" s="4" t="s">
        <v>329</v>
      </c>
      <c r="H95" s="13" t="s">
        <v>92</v>
      </c>
      <c r="I95" s="18" t="n">
        <f aca="false">INDEX(C95:E95,$C$4)</f>
        <v>400</v>
      </c>
      <c r="J95" s="13" t="s">
        <v>87</v>
      </c>
    </row>
    <row r="96" customFormat="false" ht="28.35" hidden="false" customHeight="false" outlineLevel="0" collapsed="false">
      <c r="A96" s="3" t="s">
        <v>332</v>
      </c>
      <c r="B96" s="4" t="s">
        <v>333</v>
      </c>
      <c r="C96" s="17" t="n">
        <v>300</v>
      </c>
      <c r="D96" s="17" t="n">
        <v>250</v>
      </c>
      <c r="E96" s="17" t="n">
        <v>200</v>
      </c>
      <c r="F96" s="13" t="s">
        <v>166</v>
      </c>
      <c r="G96" s="4" t="s">
        <v>329</v>
      </c>
      <c r="H96" s="13" t="s">
        <v>92</v>
      </c>
      <c r="I96" s="18" t="n">
        <f aca="false">INDEX(C96:E96,$C$4)</f>
        <v>250</v>
      </c>
      <c r="J96" s="13" t="s">
        <v>87</v>
      </c>
    </row>
    <row r="97" customFormat="false" ht="15" hidden="false" customHeight="false" outlineLevel="0" collapsed="false">
      <c r="A97" s="3" t="s">
        <v>334</v>
      </c>
      <c r="B97" s="4" t="s">
        <v>335</v>
      </c>
      <c r="C97" s="17" t="n">
        <v>2500</v>
      </c>
      <c r="D97" s="17" t="n">
        <v>2000</v>
      </c>
      <c r="E97" s="17" t="n">
        <v>1500</v>
      </c>
      <c r="F97" s="13" t="s">
        <v>336</v>
      </c>
      <c r="G97" s="4" t="s">
        <v>337</v>
      </c>
      <c r="H97" s="13" t="s">
        <v>92</v>
      </c>
      <c r="I97" s="18" t="n">
        <f aca="false">INDEX(C97:E97,$C$4)</f>
        <v>2000</v>
      </c>
      <c r="J97" s="13" t="s">
        <v>87</v>
      </c>
    </row>
    <row r="98" customFormat="false" ht="15" hidden="false" customHeight="false" outlineLevel="0" collapsed="false">
      <c r="A98" s="3" t="s">
        <v>338</v>
      </c>
      <c r="B98" s="4" t="s">
        <v>339</v>
      </c>
      <c r="C98" s="17" t="n">
        <v>75000</v>
      </c>
      <c r="D98" s="17" t="n">
        <v>60000</v>
      </c>
      <c r="E98" s="17" t="n">
        <v>55000</v>
      </c>
      <c r="F98" s="13" t="s">
        <v>340</v>
      </c>
      <c r="G98" s="4" t="s">
        <v>341</v>
      </c>
      <c r="H98" s="13" t="s">
        <v>92</v>
      </c>
      <c r="I98" s="18" t="n">
        <f aca="false">INDEX(C98:E98,$C$4)</f>
        <v>60000</v>
      </c>
      <c r="J98" s="13" t="s">
        <v>87</v>
      </c>
    </row>
    <row r="99" customFormat="false" ht="15" hidden="false" customHeight="false" outlineLevel="0" collapsed="false">
      <c r="A99" s="3" t="s">
        <v>342</v>
      </c>
      <c r="B99" s="4" t="s">
        <v>343</v>
      </c>
      <c r="C99" s="17" t="n">
        <v>45000</v>
      </c>
      <c r="D99" s="17" t="n">
        <v>38000</v>
      </c>
      <c r="E99" s="17" t="n">
        <v>32000</v>
      </c>
      <c r="F99" s="13" t="s">
        <v>340</v>
      </c>
      <c r="G99" s="4" t="s">
        <v>344</v>
      </c>
      <c r="H99" s="13" t="s">
        <v>92</v>
      </c>
      <c r="I99" s="18" t="n">
        <f aca="false">INDEX(C99:E99,$C$4)</f>
        <v>38000</v>
      </c>
      <c r="J99" s="13" t="s">
        <v>87</v>
      </c>
    </row>
    <row r="100" customFormat="false" ht="15" hidden="false" customHeight="false" outlineLevel="0" collapsed="false">
      <c r="A100" s="3" t="s">
        <v>345</v>
      </c>
      <c r="B100" s="4" t="s">
        <v>346</v>
      </c>
      <c r="C100" s="17" t="n">
        <v>20000</v>
      </c>
      <c r="D100" s="17" t="n">
        <v>18000</v>
      </c>
      <c r="E100" s="17" t="n">
        <v>16000</v>
      </c>
      <c r="F100" s="13" t="s">
        <v>340</v>
      </c>
      <c r="G100" s="4" t="s">
        <v>347</v>
      </c>
      <c r="H100" s="13" t="s">
        <v>92</v>
      </c>
      <c r="I100" s="18" t="n">
        <f aca="false">INDEX(C100:E100,$C$4)</f>
        <v>18000</v>
      </c>
      <c r="J100" s="13" t="s">
        <v>87</v>
      </c>
    </row>
    <row r="101" customFormat="false" ht="15" hidden="false" customHeight="false" outlineLevel="0" collapsed="false">
      <c r="A101" s="3" t="s">
        <v>348</v>
      </c>
      <c r="B101" s="4" t="s">
        <v>349</v>
      </c>
      <c r="C101" s="15" t="n">
        <v>2</v>
      </c>
      <c r="D101" s="15" t="n">
        <v>2</v>
      </c>
      <c r="E101" s="15" t="n">
        <v>2</v>
      </c>
      <c r="F101" s="13" t="s">
        <v>350</v>
      </c>
      <c r="G101" s="4" t="s">
        <v>329</v>
      </c>
      <c r="H101" s="13" t="s">
        <v>92</v>
      </c>
      <c r="I101" s="16" t="n">
        <f aca="false">INDEX(C101:E101,$C$4)</f>
        <v>2</v>
      </c>
      <c r="J101" s="13" t="s">
        <v>87</v>
      </c>
    </row>
    <row r="102" customFormat="false" ht="28.35" hidden="false" customHeight="false" outlineLevel="0" collapsed="false">
      <c r="A102" s="3" t="s">
        <v>351</v>
      </c>
      <c r="B102" s="4" t="s">
        <v>352</v>
      </c>
      <c r="C102" s="23" t="n">
        <v>8</v>
      </c>
      <c r="D102" s="23" t="n">
        <v>10</v>
      </c>
      <c r="E102" s="23" t="n">
        <v>11</v>
      </c>
      <c r="F102" s="13" t="s">
        <v>353</v>
      </c>
      <c r="G102" s="4" t="s">
        <v>354</v>
      </c>
      <c r="H102" s="13" t="s">
        <v>92</v>
      </c>
      <c r="I102" s="24" t="n">
        <f aca="false">INDEX(C102:E102,$C$4)</f>
        <v>10</v>
      </c>
      <c r="J102" s="13" t="s">
        <v>87</v>
      </c>
    </row>
    <row r="103" customFormat="false" ht="15" hidden="false" customHeight="false" outlineLevel="0" collapsed="false">
      <c r="A103" s="3" t="s">
        <v>355</v>
      </c>
      <c r="B103" s="4" t="s">
        <v>356</v>
      </c>
      <c r="C103" s="23" t="n">
        <v>3</v>
      </c>
      <c r="D103" s="23" t="n">
        <v>3</v>
      </c>
      <c r="E103" s="23" t="n">
        <v>3</v>
      </c>
      <c r="F103" s="13" t="s">
        <v>357</v>
      </c>
      <c r="G103" s="4" t="s">
        <v>358</v>
      </c>
      <c r="H103" s="13" t="s">
        <v>359</v>
      </c>
      <c r="I103" s="24" t="n">
        <f aca="false">INDEX(C103:E103,$C$4)</f>
        <v>3</v>
      </c>
      <c r="J103" s="13" t="s">
        <v>87</v>
      </c>
    </row>
    <row r="104" customFormat="false" ht="28.35" hidden="false" customHeight="false" outlineLevel="0" collapsed="false">
      <c r="A104" s="3" t="s">
        <v>360</v>
      </c>
      <c r="B104" s="4" t="s">
        <v>361</v>
      </c>
      <c r="C104" s="23" t="n">
        <v>2.5</v>
      </c>
      <c r="D104" s="23" t="n">
        <v>2.5</v>
      </c>
      <c r="E104" s="23" t="n">
        <v>2.5</v>
      </c>
      <c r="F104" s="13" t="s">
        <v>357</v>
      </c>
      <c r="G104" s="4" t="s">
        <v>362</v>
      </c>
      <c r="H104" s="13" t="s">
        <v>359</v>
      </c>
      <c r="I104" s="24" t="n">
        <f aca="false">INDEX(C104:E104,$C$4)</f>
        <v>2.5</v>
      </c>
      <c r="J104" s="13" t="s">
        <v>87</v>
      </c>
    </row>
    <row r="105" customFormat="false" ht="28.35" hidden="false" customHeight="false" outlineLevel="0" collapsed="false">
      <c r="A105" s="3" t="s">
        <v>363</v>
      </c>
      <c r="B105" s="4" t="s">
        <v>364</v>
      </c>
      <c r="C105" s="15" t="n">
        <v>10</v>
      </c>
      <c r="D105" s="15" t="n">
        <v>7</v>
      </c>
      <c r="E105" s="15" t="n">
        <v>5</v>
      </c>
      <c r="F105" s="13" t="s">
        <v>365</v>
      </c>
      <c r="G105" s="4" t="s">
        <v>366</v>
      </c>
      <c r="H105" s="13" t="s">
        <v>92</v>
      </c>
      <c r="I105" s="16" t="n">
        <f aca="false">INDEX(C105:E105,$C$4)</f>
        <v>7</v>
      </c>
      <c r="J105" s="13" t="s">
        <v>87</v>
      </c>
    </row>
    <row r="106" customFormat="false" ht="28.35" hidden="false" customHeight="false" outlineLevel="0" collapsed="false">
      <c r="A106" s="3" t="s">
        <v>367</v>
      </c>
      <c r="B106" s="4" t="s">
        <v>368</v>
      </c>
      <c r="C106" s="15" t="n">
        <v>4</v>
      </c>
      <c r="D106" s="15" t="n">
        <v>3</v>
      </c>
      <c r="E106" s="15" t="n">
        <v>2</v>
      </c>
      <c r="F106" s="13" t="s">
        <v>365</v>
      </c>
      <c r="G106" s="4" t="s">
        <v>369</v>
      </c>
      <c r="H106" s="13" t="s">
        <v>92</v>
      </c>
      <c r="I106" s="16" t="n">
        <f aca="false">INDEX(C106:E106,$C$4)</f>
        <v>3</v>
      </c>
      <c r="J106" s="13" t="s">
        <v>96</v>
      </c>
    </row>
    <row r="107" customFormat="false" ht="15" hidden="false" customHeight="false" outlineLevel="0" collapsed="false">
      <c r="A107" s="3" t="s">
        <v>370</v>
      </c>
      <c r="B107" s="4" t="s">
        <v>371</v>
      </c>
      <c r="C107" s="17" t="n">
        <v>8000</v>
      </c>
      <c r="D107" s="17" t="n">
        <v>18000</v>
      </c>
      <c r="E107" s="17" t="n">
        <v>30000</v>
      </c>
      <c r="F107" s="13" t="s">
        <v>340</v>
      </c>
      <c r="G107" s="4" t="s">
        <v>372</v>
      </c>
      <c r="H107" s="13" t="s">
        <v>359</v>
      </c>
      <c r="I107" s="18" t="n">
        <f aca="false">INDEX(C107:E107,$C$4)</f>
        <v>18000</v>
      </c>
      <c r="J107" s="13" t="s">
        <v>96</v>
      </c>
    </row>
    <row r="108" customFormat="false" ht="15" hidden="false" customHeight="false" outlineLevel="0" collapsed="false">
      <c r="A108" s="3" t="s">
        <v>373</v>
      </c>
      <c r="B108" s="4" t="s">
        <v>374</v>
      </c>
      <c r="C108" s="17" t="n">
        <v>20000</v>
      </c>
      <c r="D108" s="17" t="n">
        <v>25000</v>
      </c>
      <c r="E108" s="17" t="n">
        <v>25000</v>
      </c>
      <c r="F108" s="13" t="s">
        <v>340</v>
      </c>
      <c r="G108" s="4" t="s">
        <v>375</v>
      </c>
      <c r="H108" s="13" t="s">
        <v>359</v>
      </c>
      <c r="I108" s="18" t="n">
        <f aca="false">INDEX(C108:E108,$C$4)</f>
        <v>25000</v>
      </c>
      <c r="J108" s="13" t="s">
        <v>96</v>
      </c>
    </row>
    <row r="109" customFormat="false" ht="28.35" hidden="false" customHeight="false" outlineLevel="0" collapsed="false">
      <c r="A109" s="3" t="s">
        <v>376</v>
      </c>
      <c r="B109" s="4" t="s">
        <v>377</v>
      </c>
      <c r="C109" s="17" t="n">
        <v>0</v>
      </c>
      <c r="D109" s="17" t="n">
        <v>35000</v>
      </c>
      <c r="E109" s="17" t="n">
        <v>75000</v>
      </c>
      <c r="F109" s="13" t="s">
        <v>340</v>
      </c>
      <c r="G109" s="4" t="s">
        <v>378</v>
      </c>
      <c r="H109" s="13" t="s">
        <v>359</v>
      </c>
      <c r="I109" s="18" t="n">
        <f aca="false">INDEX(C109:E109,$C$4)</f>
        <v>35000</v>
      </c>
      <c r="J109" s="13" t="s">
        <v>96</v>
      </c>
    </row>
    <row r="110" customFormat="false" ht="15" hidden="false" customHeight="false" outlineLevel="0" collapsed="false">
      <c r="A110" s="3" t="s">
        <v>379</v>
      </c>
      <c r="B110" s="4" t="s">
        <v>380</v>
      </c>
      <c r="C110" s="17" t="n">
        <v>12000</v>
      </c>
      <c r="D110" s="17" t="n">
        <v>20000</v>
      </c>
      <c r="E110" s="17" t="n">
        <v>25000</v>
      </c>
      <c r="F110" s="13" t="s">
        <v>340</v>
      </c>
      <c r="G110" s="4" t="s">
        <v>378</v>
      </c>
      <c r="H110" s="13" t="s">
        <v>359</v>
      </c>
      <c r="I110" s="18" t="n">
        <f aca="false">INDEX(C110:E110,$C$4)</f>
        <v>20000</v>
      </c>
      <c r="J110" s="13" t="s">
        <v>96</v>
      </c>
    </row>
    <row r="111" customFormat="false" ht="15" hidden="false" customHeight="false" outlineLevel="0" collapsed="false">
      <c r="A111" s="3" t="s">
        <v>381</v>
      </c>
      <c r="B111" s="4" t="s">
        <v>382</v>
      </c>
      <c r="C111" s="17" t="n">
        <v>0</v>
      </c>
      <c r="D111" s="17" t="n">
        <v>20000</v>
      </c>
      <c r="E111" s="17" t="n">
        <v>35000</v>
      </c>
      <c r="F111" s="13" t="s">
        <v>340</v>
      </c>
      <c r="G111" s="4" t="s">
        <v>378</v>
      </c>
      <c r="H111" s="13" t="s">
        <v>359</v>
      </c>
      <c r="I111" s="18" t="n">
        <f aca="false">INDEX(C111:E111,$C$4)</f>
        <v>20000</v>
      </c>
      <c r="J111" s="13" t="s">
        <v>96</v>
      </c>
    </row>
    <row r="112" customFormat="false" ht="15" hidden="false" customHeight="false" outlineLevel="0" collapsed="false">
      <c r="A112" s="3" t="s">
        <v>383</v>
      </c>
      <c r="B112" s="4" t="s">
        <v>384</v>
      </c>
      <c r="C112" s="17" t="n">
        <v>50000</v>
      </c>
      <c r="D112" s="17" t="n">
        <v>120000</v>
      </c>
      <c r="E112" s="17" t="n">
        <v>250000</v>
      </c>
      <c r="F112" s="13" t="s">
        <v>90</v>
      </c>
      <c r="G112" s="4" t="s">
        <v>378</v>
      </c>
      <c r="H112" s="13" t="s">
        <v>359</v>
      </c>
      <c r="I112" s="18" t="n">
        <f aca="false">INDEX(C112:E112,$C$4)</f>
        <v>120000</v>
      </c>
      <c r="J112" s="13" t="s">
        <v>96</v>
      </c>
    </row>
    <row r="113" customFormat="false" ht="15" hidden="false" customHeight="false" outlineLevel="0" collapsed="false">
      <c r="A113" s="3" t="s">
        <v>385</v>
      </c>
      <c r="B113" s="4" t="s">
        <v>386</v>
      </c>
      <c r="C113" s="17" t="n">
        <v>0</v>
      </c>
      <c r="D113" s="17" t="n">
        <v>15000</v>
      </c>
      <c r="E113" s="17" t="n">
        <v>25000</v>
      </c>
      <c r="F113" s="13" t="s">
        <v>340</v>
      </c>
      <c r="G113" s="4" t="s">
        <v>378</v>
      </c>
      <c r="H113" s="13" t="s">
        <v>359</v>
      </c>
      <c r="I113" s="18" t="n">
        <f aca="false">INDEX(C113:E113,$C$4)</f>
        <v>15000</v>
      </c>
      <c r="J113" s="13" t="s">
        <v>96</v>
      </c>
    </row>
    <row r="114" customFormat="false" ht="15" hidden="false" customHeight="false" outlineLevel="0" collapsed="false">
      <c r="A114" s="10" t="s">
        <v>387</v>
      </c>
      <c r="B114" s="11"/>
      <c r="C114" s="11"/>
      <c r="D114" s="11"/>
      <c r="E114" s="11"/>
      <c r="F114" s="11"/>
      <c r="G114" s="11"/>
      <c r="H114" s="11"/>
      <c r="I114" s="11"/>
    </row>
    <row r="115" customFormat="false" ht="28.35" hidden="false" customHeight="false" outlineLevel="0" collapsed="false">
      <c r="A115" s="3" t="s">
        <v>388</v>
      </c>
      <c r="B115" s="4" t="s">
        <v>389</v>
      </c>
      <c r="C115" s="17" t="n">
        <v>16680</v>
      </c>
      <c r="D115" s="17" t="n">
        <v>4826</v>
      </c>
      <c r="E115" s="17" t="n">
        <v>1422</v>
      </c>
      <c r="F115" s="13" t="s">
        <v>390</v>
      </c>
      <c r="G115" s="4" t="s">
        <v>391</v>
      </c>
      <c r="H115" s="13" t="s">
        <v>392</v>
      </c>
      <c r="I115" s="18" t="n">
        <f aca="false">INDEX(C115:E115,$C$4)</f>
        <v>4826</v>
      </c>
      <c r="J115" s="13" t="s">
        <v>87</v>
      </c>
    </row>
    <row r="116" customFormat="false" ht="28.35" hidden="false" customHeight="false" outlineLevel="0" collapsed="false">
      <c r="A116" s="3" t="s">
        <v>393</v>
      </c>
      <c r="B116" s="4" t="s">
        <v>394</v>
      </c>
      <c r="C116" s="17" t="n">
        <v>64548</v>
      </c>
      <c r="D116" s="17" t="n">
        <v>37633</v>
      </c>
      <c r="E116" s="17" t="n">
        <v>9387</v>
      </c>
      <c r="F116" s="13" t="s">
        <v>340</v>
      </c>
      <c r="G116" s="4" t="s">
        <v>395</v>
      </c>
      <c r="H116" s="13" t="s">
        <v>392</v>
      </c>
      <c r="I116" s="18" t="n">
        <f aca="false">INDEX(C116:E116,$C$4)</f>
        <v>37633</v>
      </c>
      <c r="J116" s="13" t="s">
        <v>87</v>
      </c>
    </row>
    <row r="117" customFormat="false" ht="28.35" hidden="false" customHeight="false" outlineLevel="0" collapsed="false">
      <c r="A117" s="3" t="s">
        <v>396</v>
      </c>
      <c r="B117" s="4" t="s">
        <v>397</v>
      </c>
      <c r="C117" s="17" t="n">
        <v>1400</v>
      </c>
      <c r="D117" s="17" t="n">
        <v>300</v>
      </c>
      <c r="E117" s="17" t="n">
        <v>43</v>
      </c>
      <c r="F117" s="13" t="s">
        <v>328</v>
      </c>
      <c r="G117" s="4" t="s">
        <v>398</v>
      </c>
      <c r="H117" s="13" t="s">
        <v>392</v>
      </c>
      <c r="I117" s="18" t="n">
        <f aca="false">INDEX(C117:E117,$C$4)</f>
        <v>300</v>
      </c>
      <c r="J117" s="13" t="s">
        <v>87</v>
      </c>
    </row>
    <row r="118" customFormat="false" ht="28.35" hidden="false" customHeight="false" outlineLevel="0" collapsed="false">
      <c r="A118" s="3" t="s">
        <v>399</v>
      </c>
      <c r="B118" s="4" t="s">
        <v>400</v>
      </c>
      <c r="C118" s="17" t="n">
        <v>3200</v>
      </c>
      <c r="D118" s="17" t="n">
        <v>706</v>
      </c>
      <c r="E118" s="17" t="n">
        <v>160</v>
      </c>
      <c r="F118" s="13" t="s">
        <v>328</v>
      </c>
      <c r="G118" s="4" t="s">
        <v>398</v>
      </c>
      <c r="H118" s="13" t="s">
        <v>392</v>
      </c>
      <c r="I118" s="18" t="n">
        <f aca="false">INDEX(C118:E118,$C$4)</f>
        <v>706</v>
      </c>
      <c r="J118" s="13" t="s">
        <v>87</v>
      </c>
    </row>
    <row r="119" customFormat="false" ht="28.35" hidden="false" customHeight="false" outlineLevel="0" collapsed="false">
      <c r="A119" s="3" t="s">
        <v>401</v>
      </c>
      <c r="B119" s="4" t="s">
        <v>402</v>
      </c>
      <c r="C119" s="19" t="n">
        <v>0.7</v>
      </c>
      <c r="D119" s="19" t="n">
        <v>0.7</v>
      </c>
      <c r="E119" s="19" t="n">
        <v>0.7</v>
      </c>
      <c r="F119" s="13" t="s">
        <v>99</v>
      </c>
      <c r="G119" s="4" t="s">
        <v>403</v>
      </c>
      <c r="H119" s="13" t="s">
        <v>359</v>
      </c>
      <c r="I119" s="20" t="n">
        <f aca="false">INDEX(C119:E119,$C$4)</f>
        <v>0.7</v>
      </c>
      <c r="J119" s="13" t="s">
        <v>87</v>
      </c>
    </row>
    <row r="120" customFormat="false" ht="41.75" hidden="false" customHeight="false" outlineLevel="0" collapsed="false">
      <c r="A120" s="3" t="s">
        <v>404</v>
      </c>
      <c r="B120" s="4" t="s">
        <v>405</v>
      </c>
      <c r="C120" s="27" t="n">
        <f aca="false">Assumptions!$D$119*Assumptions!$D$132/(Assumptions!$D$25*(Assumptions!$D$27+Assumptions!$D$28+Assumptions!$D$31)*Assumptions!$D$115)</f>
        <v>2.41746097527283</v>
      </c>
      <c r="D120" s="27" t="n">
        <f aca="false">Assumptions!$D$119*Assumptions!$D$132/(Assumptions!$D$25*(Assumptions!$D$27+Assumptions!$D$28+Assumptions!$D$31)*Assumptions!$D$115)</f>
        <v>2.41746097527283</v>
      </c>
      <c r="E120" s="27" t="n">
        <f aca="false">Assumptions!$D$119*Assumptions!$D$132/(Assumptions!$D$25*(Assumptions!$D$27+Assumptions!$D$28+Assumptions!$D$31)*Assumptions!$D$115)</f>
        <v>2.41746097527283</v>
      </c>
      <c r="F120" s="13" t="s">
        <v>221</v>
      </c>
      <c r="G120" s="4" t="s">
        <v>406</v>
      </c>
      <c r="H120" s="13" t="s">
        <v>407</v>
      </c>
      <c r="I120" s="26" t="n">
        <f aca="false">INDEX(C120:E120,$C$4)</f>
        <v>2.41746097527283</v>
      </c>
      <c r="J120" s="13" t="s">
        <v>87</v>
      </c>
    </row>
    <row r="121" customFormat="false" ht="28.35" hidden="false" customHeight="false" outlineLevel="0" collapsed="false">
      <c r="A121" s="3" t="s">
        <v>408</v>
      </c>
      <c r="B121" s="4" t="s">
        <v>409</v>
      </c>
      <c r="C121" s="17" t="n">
        <v>10000</v>
      </c>
      <c r="D121" s="17" t="n">
        <v>15000</v>
      </c>
      <c r="E121" s="17" t="n">
        <v>15000</v>
      </c>
      <c r="F121" s="13" t="s">
        <v>90</v>
      </c>
      <c r="G121" s="4" t="s">
        <v>410</v>
      </c>
      <c r="H121" s="13" t="s">
        <v>359</v>
      </c>
      <c r="I121" s="18" t="n">
        <f aca="false">INDEX(C121:E121,$C$4)</f>
        <v>15000</v>
      </c>
      <c r="J121" s="13" t="s">
        <v>96</v>
      </c>
    </row>
    <row r="122" customFormat="false" ht="28.35" hidden="false" customHeight="false" outlineLevel="0" collapsed="false">
      <c r="A122" s="3" t="s">
        <v>411</v>
      </c>
      <c r="B122" s="4" t="s">
        <v>412</v>
      </c>
      <c r="C122" s="17" t="n">
        <v>25000</v>
      </c>
      <c r="D122" s="17" t="n">
        <v>40000</v>
      </c>
      <c r="E122" s="17" t="n">
        <v>50000</v>
      </c>
      <c r="F122" s="13" t="s">
        <v>90</v>
      </c>
      <c r="G122" s="4" t="s">
        <v>410</v>
      </c>
      <c r="H122" s="13" t="s">
        <v>359</v>
      </c>
      <c r="I122" s="18" t="n">
        <f aca="false">INDEX(C122:E122,$C$4)</f>
        <v>40000</v>
      </c>
      <c r="J122" s="13" t="s">
        <v>96</v>
      </c>
    </row>
    <row r="123" customFormat="false" ht="28.35" hidden="false" customHeight="false" outlineLevel="0" collapsed="false">
      <c r="A123" s="3" t="s">
        <v>413</v>
      </c>
      <c r="B123" s="4" t="s">
        <v>414</v>
      </c>
      <c r="C123" s="17" t="n">
        <v>30000</v>
      </c>
      <c r="D123" s="17" t="n">
        <v>50000</v>
      </c>
      <c r="E123" s="17" t="n">
        <v>60000</v>
      </c>
      <c r="F123" s="13" t="s">
        <v>90</v>
      </c>
      <c r="G123" s="4" t="s">
        <v>410</v>
      </c>
      <c r="H123" s="13" t="s">
        <v>359</v>
      </c>
      <c r="I123" s="18" t="n">
        <f aca="false">INDEX(C123:E123,$C$4)</f>
        <v>50000</v>
      </c>
      <c r="J123" s="13" t="s">
        <v>96</v>
      </c>
    </row>
    <row r="124" customFormat="false" ht="28.35" hidden="false" customHeight="false" outlineLevel="0" collapsed="false">
      <c r="A124" s="3" t="s">
        <v>415</v>
      </c>
      <c r="B124" s="4" t="s">
        <v>416</v>
      </c>
      <c r="C124" s="17" t="n">
        <v>35000</v>
      </c>
      <c r="D124" s="17" t="n">
        <v>60000</v>
      </c>
      <c r="E124" s="17" t="n">
        <v>70000</v>
      </c>
      <c r="F124" s="13" t="s">
        <v>90</v>
      </c>
      <c r="G124" s="4" t="s">
        <v>410</v>
      </c>
      <c r="H124" s="13" t="s">
        <v>359</v>
      </c>
      <c r="I124" s="18" t="n">
        <f aca="false">INDEX(C124:E124,$C$4)</f>
        <v>60000</v>
      </c>
      <c r="J124" s="13" t="s">
        <v>96</v>
      </c>
    </row>
    <row r="125" customFormat="false" ht="28.35" hidden="false" customHeight="false" outlineLevel="0" collapsed="false">
      <c r="A125" s="3" t="s">
        <v>417</v>
      </c>
      <c r="B125" s="4" t="s">
        <v>418</v>
      </c>
      <c r="C125" s="17" t="n">
        <v>40000</v>
      </c>
      <c r="D125" s="17" t="n">
        <v>80000</v>
      </c>
      <c r="E125" s="17" t="n">
        <v>120000</v>
      </c>
      <c r="F125" s="13" t="s">
        <v>90</v>
      </c>
      <c r="G125" s="4" t="s">
        <v>410</v>
      </c>
      <c r="H125" s="13" t="s">
        <v>359</v>
      </c>
      <c r="I125" s="18" t="n">
        <f aca="false">INDEX(C125:E125,$C$4)</f>
        <v>80000</v>
      </c>
      <c r="J125" s="13" t="s">
        <v>96</v>
      </c>
    </row>
    <row r="126" customFormat="false" ht="28.35" hidden="false" customHeight="false" outlineLevel="0" collapsed="false">
      <c r="A126" s="3" t="s">
        <v>419</v>
      </c>
      <c r="B126" s="4" t="s">
        <v>420</v>
      </c>
      <c r="C126" s="17" t="n">
        <v>40000</v>
      </c>
      <c r="D126" s="17" t="n">
        <v>90000</v>
      </c>
      <c r="E126" s="17" t="n">
        <v>170000</v>
      </c>
      <c r="F126" s="13" t="s">
        <v>90</v>
      </c>
      <c r="G126" s="4" t="s">
        <v>410</v>
      </c>
      <c r="H126" s="13" t="s">
        <v>359</v>
      </c>
      <c r="I126" s="18" t="n">
        <f aca="false">INDEX(C126:E126,$C$4)</f>
        <v>90000</v>
      </c>
      <c r="J126" s="13" t="s">
        <v>96</v>
      </c>
    </row>
    <row r="127" customFormat="false" ht="28.35" hidden="false" customHeight="false" outlineLevel="0" collapsed="false">
      <c r="A127" s="3" t="s">
        <v>421</v>
      </c>
      <c r="B127" s="4" t="s">
        <v>422</v>
      </c>
      <c r="C127" s="17" t="n">
        <v>40000</v>
      </c>
      <c r="D127" s="17" t="n">
        <v>100000</v>
      </c>
      <c r="E127" s="17" t="n">
        <v>200000</v>
      </c>
      <c r="F127" s="13" t="s">
        <v>90</v>
      </c>
      <c r="G127" s="4" t="s">
        <v>410</v>
      </c>
      <c r="H127" s="13" t="s">
        <v>359</v>
      </c>
      <c r="I127" s="18" t="n">
        <f aca="false">INDEX(C127:E127,$C$4)</f>
        <v>100000</v>
      </c>
      <c r="J127" s="13" t="s">
        <v>96</v>
      </c>
    </row>
    <row r="128" customFormat="false" ht="28.35" hidden="false" customHeight="false" outlineLevel="0" collapsed="false">
      <c r="A128" s="3" t="s">
        <v>423</v>
      </c>
      <c r="B128" s="4" t="s">
        <v>424</v>
      </c>
      <c r="C128" s="17" t="n">
        <v>40000</v>
      </c>
      <c r="D128" s="17" t="n">
        <v>100000</v>
      </c>
      <c r="E128" s="17" t="n">
        <v>200000</v>
      </c>
      <c r="F128" s="13" t="s">
        <v>90</v>
      </c>
      <c r="G128" s="4" t="s">
        <v>410</v>
      </c>
      <c r="H128" s="13" t="s">
        <v>359</v>
      </c>
      <c r="I128" s="18" t="n">
        <f aca="false">INDEX(C128:E128,$C$4)</f>
        <v>100000</v>
      </c>
      <c r="J128" s="13" t="s">
        <v>96</v>
      </c>
    </row>
    <row r="129" customFormat="false" ht="28.35" hidden="false" customHeight="false" outlineLevel="0" collapsed="false">
      <c r="A129" s="3" t="s">
        <v>425</v>
      </c>
      <c r="B129" s="4" t="s">
        <v>426</v>
      </c>
      <c r="C129" s="17" t="n">
        <v>40000</v>
      </c>
      <c r="D129" s="17" t="n">
        <v>100000</v>
      </c>
      <c r="E129" s="17" t="n">
        <v>200000</v>
      </c>
      <c r="F129" s="13" t="s">
        <v>90</v>
      </c>
      <c r="G129" s="4" t="s">
        <v>410</v>
      </c>
      <c r="H129" s="13" t="s">
        <v>359</v>
      </c>
      <c r="I129" s="18" t="n">
        <f aca="false">INDEX(C129:E129,$C$4)</f>
        <v>100000</v>
      </c>
      <c r="J129" s="13" t="s">
        <v>96</v>
      </c>
    </row>
    <row r="130" customFormat="false" ht="28.35" hidden="false" customHeight="false" outlineLevel="0" collapsed="false">
      <c r="A130" s="3" t="s">
        <v>427</v>
      </c>
      <c r="B130" s="4" t="s">
        <v>428</v>
      </c>
      <c r="C130" s="17" t="n">
        <v>40000</v>
      </c>
      <c r="D130" s="17" t="n">
        <v>100000</v>
      </c>
      <c r="E130" s="17" t="n">
        <v>200000</v>
      </c>
      <c r="F130" s="13" t="s">
        <v>90</v>
      </c>
      <c r="G130" s="4" t="s">
        <v>410</v>
      </c>
      <c r="H130" s="13" t="s">
        <v>359</v>
      </c>
      <c r="I130" s="18" t="n">
        <f aca="false">INDEX(C130:E130,$C$4)</f>
        <v>100000</v>
      </c>
      <c r="J130" s="13" t="s">
        <v>96</v>
      </c>
    </row>
    <row r="131" customFormat="false" ht="28.35" hidden="false" customHeight="false" outlineLevel="0" collapsed="false">
      <c r="A131" s="3" t="s">
        <v>429</v>
      </c>
      <c r="B131" s="4" t="s">
        <v>430</v>
      </c>
      <c r="C131" s="17" t="n">
        <v>40000</v>
      </c>
      <c r="D131" s="17" t="n">
        <v>100000</v>
      </c>
      <c r="E131" s="17" t="n">
        <v>200000</v>
      </c>
      <c r="F131" s="13" t="s">
        <v>90</v>
      </c>
      <c r="G131" s="4" t="s">
        <v>410</v>
      </c>
      <c r="H131" s="13" t="s">
        <v>359</v>
      </c>
      <c r="I131" s="18" t="n">
        <f aca="false">INDEX(C131:E131,$C$4)</f>
        <v>100000</v>
      </c>
      <c r="J131" s="13" t="s">
        <v>96</v>
      </c>
    </row>
    <row r="132" customFormat="false" ht="28.35" hidden="false" customHeight="false" outlineLevel="0" collapsed="false">
      <c r="A132" s="3" t="s">
        <v>431</v>
      </c>
      <c r="B132" s="4" t="s">
        <v>432</v>
      </c>
      <c r="C132" s="17" t="n">
        <v>40000</v>
      </c>
      <c r="D132" s="17" t="n">
        <v>100000</v>
      </c>
      <c r="E132" s="17" t="n">
        <v>200000</v>
      </c>
      <c r="F132" s="13" t="s">
        <v>90</v>
      </c>
      <c r="G132" s="4" t="s">
        <v>410</v>
      </c>
      <c r="H132" s="13" t="s">
        <v>359</v>
      </c>
      <c r="I132" s="18" t="n">
        <f aca="false">INDEX(C132:E132,$C$4)</f>
        <v>100000</v>
      </c>
      <c r="J132" s="13" t="s">
        <v>96</v>
      </c>
    </row>
    <row r="133" customFormat="false" ht="15" hidden="false" customHeight="false" outlineLevel="0" collapsed="false">
      <c r="A133" s="3" t="s">
        <v>433</v>
      </c>
      <c r="B133" s="4" t="s">
        <v>434</v>
      </c>
      <c r="C133" s="25" t="n">
        <v>0.7</v>
      </c>
      <c r="D133" s="25" t="n">
        <v>0.7</v>
      </c>
      <c r="E133" s="25" t="n">
        <v>0.7</v>
      </c>
      <c r="F133" s="13" t="s">
        <v>435</v>
      </c>
      <c r="G133" s="4" t="s">
        <v>436</v>
      </c>
      <c r="H133" s="13" t="s">
        <v>92</v>
      </c>
      <c r="I133" s="26" t="n">
        <f aca="false">INDEX(C133:E133,$C$4)</f>
        <v>0.7</v>
      </c>
      <c r="J133" s="13" t="s">
        <v>87</v>
      </c>
    </row>
    <row r="134" customFormat="false" ht="15" hidden="false" customHeight="false" outlineLevel="0" collapsed="false">
      <c r="A134" s="3" t="s">
        <v>437</v>
      </c>
      <c r="B134" s="4" t="s">
        <v>438</v>
      </c>
      <c r="C134" s="25" t="n">
        <v>0.8</v>
      </c>
      <c r="D134" s="25" t="n">
        <v>0.8</v>
      </c>
      <c r="E134" s="25" t="n">
        <v>0.8</v>
      </c>
      <c r="F134" s="13" t="s">
        <v>435</v>
      </c>
      <c r="G134" s="4" t="s">
        <v>436</v>
      </c>
      <c r="H134" s="13" t="s">
        <v>92</v>
      </c>
      <c r="I134" s="26" t="n">
        <f aca="false">INDEX(C134:E134,$C$4)</f>
        <v>0.8</v>
      </c>
      <c r="J134" s="13" t="s">
        <v>87</v>
      </c>
    </row>
    <row r="135" customFormat="false" ht="15" hidden="false" customHeight="false" outlineLevel="0" collapsed="false">
      <c r="A135" s="3" t="s">
        <v>439</v>
      </c>
      <c r="B135" s="4" t="s">
        <v>440</v>
      </c>
      <c r="C135" s="25" t="n">
        <v>0.9</v>
      </c>
      <c r="D135" s="25" t="n">
        <v>0.9</v>
      </c>
      <c r="E135" s="25" t="n">
        <v>0.9</v>
      </c>
      <c r="F135" s="13" t="s">
        <v>435</v>
      </c>
      <c r="G135" s="4" t="s">
        <v>436</v>
      </c>
      <c r="H135" s="13" t="s">
        <v>92</v>
      </c>
      <c r="I135" s="26" t="n">
        <f aca="false">INDEX(C135:E135,$C$4)</f>
        <v>0.9</v>
      </c>
      <c r="J135" s="13" t="s">
        <v>87</v>
      </c>
    </row>
    <row r="136" customFormat="false" ht="15" hidden="false" customHeight="false" outlineLevel="0" collapsed="false">
      <c r="A136" s="3" t="s">
        <v>441</v>
      </c>
      <c r="B136" s="4" t="s">
        <v>442</v>
      </c>
      <c r="C136" s="25" t="n">
        <v>1</v>
      </c>
      <c r="D136" s="25" t="n">
        <v>1</v>
      </c>
      <c r="E136" s="25" t="n">
        <v>1</v>
      </c>
      <c r="F136" s="13" t="s">
        <v>435</v>
      </c>
      <c r="G136" s="4" t="s">
        <v>436</v>
      </c>
      <c r="H136" s="13" t="s">
        <v>92</v>
      </c>
      <c r="I136" s="26" t="n">
        <f aca="false">INDEX(C136:E136,$C$4)</f>
        <v>1</v>
      </c>
      <c r="J136" s="13" t="s">
        <v>87</v>
      </c>
    </row>
    <row r="137" customFormat="false" ht="15" hidden="false" customHeight="false" outlineLevel="0" collapsed="false">
      <c r="A137" s="3" t="s">
        <v>443</v>
      </c>
      <c r="B137" s="4" t="s">
        <v>444</v>
      </c>
      <c r="C137" s="25" t="n">
        <v>1.3</v>
      </c>
      <c r="D137" s="25" t="n">
        <v>1.3</v>
      </c>
      <c r="E137" s="25" t="n">
        <v>1.3</v>
      </c>
      <c r="F137" s="13" t="s">
        <v>435</v>
      </c>
      <c r="G137" s="4" t="s">
        <v>436</v>
      </c>
      <c r="H137" s="13" t="s">
        <v>92</v>
      </c>
      <c r="I137" s="26" t="n">
        <f aca="false">INDEX(C137:E137,$C$4)</f>
        <v>1.3</v>
      </c>
      <c r="J137" s="13" t="s">
        <v>87</v>
      </c>
    </row>
    <row r="138" customFormat="false" ht="15" hidden="false" customHeight="false" outlineLevel="0" collapsed="false">
      <c r="A138" s="3" t="s">
        <v>445</v>
      </c>
      <c r="B138" s="4" t="s">
        <v>446</v>
      </c>
      <c r="C138" s="25" t="n">
        <v>1.35</v>
      </c>
      <c r="D138" s="25" t="n">
        <v>1.35</v>
      </c>
      <c r="E138" s="25" t="n">
        <v>1.35</v>
      </c>
      <c r="F138" s="13" t="s">
        <v>435</v>
      </c>
      <c r="G138" s="4" t="s">
        <v>436</v>
      </c>
      <c r="H138" s="13" t="s">
        <v>92</v>
      </c>
      <c r="I138" s="26" t="n">
        <f aca="false">INDEX(C138:E138,$C$4)</f>
        <v>1.35</v>
      </c>
      <c r="J138" s="13" t="s">
        <v>87</v>
      </c>
    </row>
    <row r="139" customFormat="false" ht="15" hidden="false" customHeight="false" outlineLevel="0" collapsed="false">
      <c r="A139" s="3" t="s">
        <v>447</v>
      </c>
      <c r="B139" s="4" t="s">
        <v>448</v>
      </c>
      <c r="C139" s="25" t="n">
        <v>1.25</v>
      </c>
      <c r="D139" s="25" t="n">
        <v>1.25</v>
      </c>
      <c r="E139" s="25" t="n">
        <v>1.25</v>
      </c>
      <c r="F139" s="13" t="s">
        <v>435</v>
      </c>
      <c r="G139" s="4" t="s">
        <v>436</v>
      </c>
      <c r="H139" s="13" t="s">
        <v>92</v>
      </c>
      <c r="I139" s="26" t="n">
        <f aca="false">INDEX(C139:E139,$C$4)</f>
        <v>1.25</v>
      </c>
      <c r="J139" s="13" t="s">
        <v>87</v>
      </c>
    </row>
    <row r="140" customFormat="false" ht="15" hidden="false" customHeight="false" outlineLevel="0" collapsed="false">
      <c r="A140" s="3" t="s">
        <v>449</v>
      </c>
      <c r="B140" s="4" t="s">
        <v>450</v>
      </c>
      <c r="C140" s="25" t="n">
        <v>1.1</v>
      </c>
      <c r="D140" s="25" t="n">
        <v>1.1</v>
      </c>
      <c r="E140" s="25" t="n">
        <v>1.1</v>
      </c>
      <c r="F140" s="13" t="s">
        <v>435</v>
      </c>
      <c r="G140" s="4" t="s">
        <v>436</v>
      </c>
      <c r="H140" s="13" t="s">
        <v>92</v>
      </c>
      <c r="I140" s="26" t="n">
        <f aca="false">INDEX(C140:E140,$C$4)</f>
        <v>1.1</v>
      </c>
      <c r="J140" s="13" t="s">
        <v>87</v>
      </c>
    </row>
    <row r="141" customFormat="false" ht="15" hidden="false" customHeight="false" outlineLevel="0" collapsed="false">
      <c r="A141" s="3" t="s">
        <v>451</v>
      </c>
      <c r="B141" s="4" t="s">
        <v>452</v>
      </c>
      <c r="C141" s="25" t="n">
        <v>1.05</v>
      </c>
      <c r="D141" s="25" t="n">
        <v>1.05</v>
      </c>
      <c r="E141" s="25" t="n">
        <v>1.05</v>
      </c>
      <c r="F141" s="13" t="s">
        <v>435</v>
      </c>
      <c r="G141" s="4" t="s">
        <v>436</v>
      </c>
      <c r="H141" s="13" t="s">
        <v>92</v>
      </c>
      <c r="I141" s="26" t="n">
        <f aca="false">INDEX(C141:E141,$C$4)</f>
        <v>1.05</v>
      </c>
      <c r="J141" s="13" t="s">
        <v>87</v>
      </c>
    </row>
    <row r="142" customFormat="false" ht="15" hidden="false" customHeight="false" outlineLevel="0" collapsed="false">
      <c r="A142" s="3" t="s">
        <v>453</v>
      </c>
      <c r="B142" s="4" t="s">
        <v>454</v>
      </c>
      <c r="C142" s="25" t="n">
        <v>1</v>
      </c>
      <c r="D142" s="25" t="n">
        <v>1</v>
      </c>
      <c r="E142" s="25" t="n">
        <v>1</v>
      </c>
      <c r="F142" s="13" t="s">
        <v>435</v>
      </c>
      <c r="G142" s="4" t="s">
        <v>436</v>
      </c>
      <c r="H142" s="13" t="s">
        <v>92</v>
      </c>
      <c r="I142" s="26" t="n">
        <f aca="false">INDEX(C142:E142,$C$4)</f>
        <v>1</v>
      </c>
      <c r="J142" s="13" t="s">
        <v>87</v>
      </c>
    </row>
    <row r="143" customFormat="false" ht="15" hidden="false" customHeight="false" outlineLevel="0" collapsed="false">
      <c r="A143" s="3" t="s">
        <v>455</v>
      </c>
      <c r="B143" s="4" t="s">
        <v>456</v>
      </c>
      <c r="C143" s="25" t="n">
        <v>0.8</v>
      </c>
      <c r="D143" s="25" t="n">
        <v>0.8</v>
      </c>
      <c r="E143" s="25" t="n">
        <v>0.8</v>
      </c>
      <c r="F143" s="13" t="s">
        <v>435</v>
      </c>
      <c r="G143" s="4" t="s">
        <v>436</v>
      </c>
      <c r="H143" s="13" t="s">
        <v>92</v>
      </c>
      <c r="I143" s="26" t="n">
        <f aca="false">INDEX(C143:E143,$C$4)</f>
        <v>0.8</v>
      </c>
      <c r="J143" s="13" t="s">
        <v>87</v>
      </c>
    </row>
    <row r="144" customFormat="false" ht="15" hidden="false" customHeight="false" outlineLevel="0" collapsed="false">
      <c r="A144" s="3" t="s">
        <v>457</v>
      </c>
      <c r="B144" s="4" t="s">
        <v>458</v>
      </c>
      <c r="C144" s="25" t="n">
        <v>0.75</v>
      </c>
      <c r="D144" s="25" t="n">
        <v>0.75</v>
      </c>
      <c r="E144" s="25" t="n">
        <v>0.75</v>
      </c>
      <c r="F144" s="13" t="s">
        <v>435</v>
      </c>
      <c r="G144" s="4" t="s">
        <v>436</v>
      </c>
      <c r="H144" s="13" t="s">
        <v>92</v>
      </c>
      <c r="I144" s="26" t="n">
        <f aca="false">INDEX(C144:E144,$C$4)</f>
        <v>0.75</v>
      </c>
      <c r="J144" s="13" t="s">
        <v>87</v>
      </c>
    </row>
    <row r="145" customFormat="false" ht="15" hidden="false" customHeight="false" outlineLevel="0" collapsed="false">
      <c r="A145" s="3" t="s">
        <v>459</v>
      </c>
      <c r="B145" s="4" t="s">
        <v>460</v>
      </c>
      <c r="C145" s="25" t="n">
        <v>1.2</v>
      </c>
      <c r="D145" s="25" t="n">
        <v>1.2</v>
      </c>
      <c r="E145" s="25" t="n">
        <v>1.2</v>
      </c>
      <c r="F145" s="13" t="s">
        <v>435</v>
      </c>
      <c r="G145" s="4" t="s">
        <v>461</v>
      </c>
      <c r="H145" s="13" t="s">
        <v>92</v>
      </c>
      <c r="I145" s="26" t="n">
        <f aca="false">INDEX(C145:E145,$C$4)</f>
        <v>1.2</v>
      </c>
      <c r="J145" s="13" t="s">
        <v>87</v>
      </c>
    </row>
    <row r="146" customFormat="false" ht="15" hidden="false" customHeight="false" outlineLevel="0" collapsed="false">
      <c r="A146" s="3" t="s">
        <v>462</v>
      </c>
      <c r="B146" s="4" t="s">
        <v>463</v>
      </c>
      <c r="C146" s="25" t="n">
        <v>1.3</v>
      </c>
      <c r="D146" s="25" t="n">
        <v>1.3</v>
      </c>
      <c r="E146" s="25" t="n">
        <v>1.3</v>
      </c>
      <c r="F146" s="13" t="s">
        <v>435</v>
      </c>
      <c r="G146" s="4" t="s">
        <v>461</v>
      </c>
      <c r="H146" s="13" t="s">
        <v>92</v>
      </c>
      <c r="I146" s="26" t="n">
        <f aca="false">INDEX(C146:E146,$C$4)</f>
        <v>1.3</v>
      </c>
      <c r="J146" s="13" t="s">
        <v>87</v>
      </c>
    </row>
    <row r="147" customFormat="false" ht="15" hidden="false" customHeight="false" outlineLevel="0" collapsed="false">
      <c r="A147" s="3" t="s">
        <v>464</v>
      </c>
      <c r="B147" s="4" t="s">
        <v>465</v>
      </c>
      <c r="C147" s="25" t="n">
        <v>0.9</v>
      </c>
      <c r="D147" s="25" t="n">
        <v>0.9</v>
      </c>
      <c r="E147" s="25" t="n">
        <v>0.9</v>
      </c>
      <c r="F147" s="13" t="s">
        <v>435</v>
      </c>
      <c r="G147" s="4" t="s">
        <v>461</v>
      </c>
      <c r="H147" s="13" t="s">
        <v>92</v>
      </c>
      <c r="I147" s="26" t="n">
        <f aca="false">INDEX(C147:E147,$C$4)</f>
        <v>0.9</v>
      </c>
      <c r="J147" s="13" t="s">
        <v>87</v>
      </c>
    </row>
    <row r="148" customFormat="false" ht="15" hidden="false" customHeight="false" outlineLevel="0" collapsed="false">
      <c r="A148" s="3" t="s">
        <v>466</v>
      </c>
      <c r="B148" s="4" t="s">
        <v>467</v>
      </c>
      <c r="C148" s="25" t="n">
        <v>0.8</v>
      </c>
      <c r="D148" s="25" t="n">
        <v>0.8</v>
      </c>
      <c r="E148" s="25" t="n">
        <v>0.8</v>
      </c>
      <c r="F148" s="13" t="s">
        <v>435</v>
      </c>
      <c r="G148" s="4" t="s">
        <v>461</v>
      </c>
      <c r="H148" s="13" t="s">
        <v>92</v>
      </c>
      <c r="I148" s="26" t="n">
        <f aca="false">INDEX(C148:E148,$C$4)</f>
        <v>0.8</v>
      </c>
      <c r="J148" s="13" t="s">
        <v>87</v>
      </c>
    </row>
    <row r="149" customFormat="false" ht="15" hidden="false" customHeight="false" outlineLevel="0" collapsed="false">
      <c r="A149" s="3" t="s">
        <v>468</v>
      </c>
      <c r="B149" s="4" t="s">
        <v>469</v>
      </c>
      <c r="C149" s="25" t="n">
        <v>0.7</v>
      </c>
      <c r="D149" s="25" t="n">
        <v>0.7</v>
      </c>
      <c r="E149" s="25" t="n">
        <v>0.7</v>
      </c>
      <c r="F149" s="13" t="s">
        <v>435</v>
      </c>
      <c r="G149" s="4" t="s">
        <v>461</v>
      </c>
      <c r="H149" s="13" t="s">
        <v>92</v>
      </c>
      <c r="I149" s="26" t="n">
        <f aca="false">INDEX(C149:E149,$C$4)</f>
        <v>0.7</v>
      </c>
      <c r="J149" s="13" t="s">
        <v>87</v>
      </c>
    </row>
    <row r="150" customFormat="false" ht="15" hidden="false" customHeight="false" outlineLevel="0" collapsed="false">
      <c r="A150" s="3" t="s">
        <v>470</v>
      </c>
      <c r="B150" s="4" t="s">
        <v>471</v>
      </c>
      <c r="C150" s="25" t="n">
        <v>0.6</v>
      </c>
      <c r="D150" s="25" t="n">
        <v>0.6</v>
      </c>
      <c r="E150" s="25" t="n">
        <v>0.6</v>
      </c>
      <c r="F150" s="13" t="s">
        <v>435</v>
      </c>
      <c r="G150" s="4" t="s">
        <v>461</v>
      </c>
      <c r="H150" s="13" t="s">
        <v>92</v>
      </c>
      <c r="I150" s="26" t="n">
        <f aca="false">INDEX(C150:E150,$C$4)</f>
        <v>0.6</v>
      </c>
      <c r="J150" s="13" t="s">
        <v>87</v>
      </c>
    </row>
    <row r="151" customFormat="false" ht="15" hidden="false" customHeight="false" outlineLevel="0" collapsed="false">
      <c r="A151" s="3" t="s">
        <v>472</v>
      </c>
      <c r="B151" s="4" t="s">
        <v>473</v>
      </c>
      <c r="C151" s="25" t="n">
        <v>0.6</v>
      </c>
      <c r="D151" s="25" t="n">
        <v>0.6</v>
      </c>
      <c r="E151" s="25" t="n">
        <v>0.6</v>
      </c>
      <c r="F151" s="13" t="s">
        <v>435</v>
      </c>
      <c r="G151" s="4" t="s">
        <v>461</v>
      </c>
      <c r="H151" s="13" t="s">
        <v>92</v>
      </c>
      <c r="I151" s="26" t="n">
        <f aca="false">INDEX(C151:E151,$C$4)</f>
        <v>0.6</v>
      </c>
      <c r="J151" s="13" t="s">
        <v>87</v>
      </c>
    </row>
    <row r="152" customFormat="false" ht="15" hidden="false" customHeight="false" outlineLevel="0" collapsed="false">
      <c r="A152" s="3" t="s">
        <v>474</v>
      </c>
      <c r="B152" s="4" t="s">
        <v>475</v>
      </c>
      <c r="C152" s="25" t="n">
        <v>0.8</v>
      </c>
      <c r="D152" s="25" t="n">
        <v>0.8</v>
      </c>
      <c r="E152" s="25" t="n">
        <v>0.8</v>
      </c>
      <c r="F152" s="13" t="s">
        <v>435</v>
      </c>
      <c r="G152" s="4" t="s">
        <v>461</v>
      </c>
      <c r="H152" s="13" t="s">
        <v>92</v>
      </c>
      <c r="I152" s="26" t="n">
        <f aca="false">INDEX(C152:E152,$C$4)</f>
        <v>0.8</v>
      </c>
      <c r="J152" s="13" t="s">
        <v>87</v>
      </c>
    </row>
    <row r="153" customFormat="false" ht="15" hidden="false" customHeight="false" outlineLevel="0" collapsed="false">
      <c r="A153" s="3" t="s">
        <v>476</v>
      </c>
      <c r="B153" s="4" t="s">
        <v>477</v>
      </c>
      <c r="C153" s="25" t="n">
        <v>1.1</v>
      </c>
      <c r="D153" s="25" t="n">
        <v>1.1</v>
      </c>
      <c r="E153" s="25" t="n">
        <v>1.1</v>
      </c>
      <c r="F153" s="13" t="s">
        <v>435</v>
      </c>
      <c r="G153" s="4" t="s">
        <v>461</v>
      </c>
      <c r="H153" s="13" t="s">
        <v>92</v>
      </c>
      <c r="I153" s="26" t="n">
        <f aca="false">INDEX(C153:E153,$C$4)</f>
        <v>1.1</v>
      </c>
      <c r="J153" s="13" t="s">
        <v>87</v>
      </c>
    </row>
    <row r="154" customFormat="false" ht="15" hidden="false" customHeight="false" outlineLevel="0" collapsed="false">
      <c r="A154" s="3" t="s">
        <v>478</v>
      </c>
      <c r="B154" s="4" t="s">
        <v>479</v>
      </c>
      <c r="C154" s="25" t="n">
        <v>1.4</v>
      </c>
      <c r="D154" s="25" t="n">
        <v>1.4</v>
      </c>
      <c r="E154" s="25" t="n">
        <v>1.4</v>
      </c>
      <c r="F154" s="13" t="s">
        <v>435</v>
      </c>
      <c r="G154" s="4" t="s">
        <v>461</v>
      </c>
      <c r="H154" s="13" t="s">
        <v>92</v>
      </c>
      <c r="I154" s="26" t="n">
        <f aca="false">INDEX(C154:E154,$C$4)</f>
        <v>1.4</v>
      </c>
      <c r="J154" s="13" t="s">
        <v>87</v>
      </c>
    </row>
    <row r="155" customFormat="false" ht="15" hidden="false" customHeight="false" outlineLevel="0" collapsed="false">
      <c r="A155" s="3" t="s">
        <v>480</v>
      </c>
      <c r="B155" s="4" t="s">
        <v>481</v>
      </c>
      <c r="C155" s="25" t="n">
        <v>1.4</v>
      </c>
      <c r="D155" s="25" t="n">
        <v>1.4</v>
      </c>
      <c r="E155" s="25" t="n">
        <v>1.4</v>
      </c>
      <c r="F155" s="13" t="s">
        <v>435</v>
      </c>
      <c r="G155" s="4" t="s">
        <v>461</v>
      </c>
      <c r="H155" s="13" t="s">
        <v>92</v>
      </c>
      <c r="I155" s="26" t="n">
        <f aca="false">INDEX(C155:E155,$C$4)</f>
        <v>1.4</v>
      </c>
      <c r="J155" s="13" t="s">
        <v>87</v>
      </c>
    </row>
    <row r="156" customFormat="false" ht="15" hidden="false" customHeight="false" outlineLevel="0" collapsed="false">
      <c r="A156" s="3" t="s">
        <v>482</v>
      </c>
      <c r="B156" s="4" t="s">
        <v>483</v>
      </c>
      <c r="C156" s="25" t="n">
        <v>1.2</v>
      </c>
      <c r="D156" s="25" t="n">
        <v>1.2</v>
      </c>
      <c r="E156" s="25" t="n">
        <v>1.2</v>
      </c>
      <c r="F156" s="13" t="s">
        <v>435</v>
      </c>
      <c r="G156" s="4" t="s">
        <v>461</v>
      </c>
      <c r="H156" s="13" t="s">
        <v>92</v>
      </c>
      <c r="I156" s="26" t="n">
        <f aca="false">INDEX(C156:E156,$C$4)</f>
        <v>1.2</v>
      </c>
      <c r="J156" s="13" t="s">
        <v>87</v>
      </c>
    </row>
    <row r="157" customFormat="false" ht="15" hidden="false" customHeight="false" outlineLevel="0" collapsed="false">
      <c r="A157" s="3" t="s">
        <v>484</v>
      </c>
      <c r="B157" s="4" t="s">
        <v>485</v>
      </c>
      <c r="C157" s="19" t="n">
        <v>0.6</v>
      </c>
      <c r="D157" s="19" t="n">
        <v>0.5</v>
      </c>
      <c r="E157" s="19" t="n">
        <v>0.45</v>
      </c>
      <c r="F157" s="13" t="s">
        <v>99</v>
      </c>
      <c r="G157" s="4" t="s">
        <v>486</v>
      </c>
      <c r="H157" s="13" t="s">
        <v>92</v>
      </c>
      <c r="I157" s="20" t="n">
        <f aca="false">INDEX(C157:E157,$C$4)</f>
        <v>0.5</v>
      </c>
      <c r="J157" s="13" t="s">
        <v>96</v>
      </c>
    </row>
    <row r="158" customFormat="false" ht="15" hidden="false" customHeight="false" outlineLevel="0" collapsed="false">
      <c r="A158" s="3" t="s">
        <v>487</v>
      </c>
      <c r="B158" s="4" t="s">
        <v>488</v>
      </c>
      <c r="C158" s="19" t="n">
        <v>0.4</v>
      </c>
      <c r="D158" s="19" t="n">
        <v>0.3</v>
      </c>
      <c r="E158" s="19" t="n">
        <v>0.25</v>
      </c>
      <c r="F158" s="13" t="s">
        <v>99</v>
      </c>
      <c r="G158" s="4" t="s">
        <v>489</v>
      </c>
      <c r="H158" s="13" t="s">
        <v>92</v>
      </c>
      <c r="I158" s="20" t="n">
        <f aca="false">INDEX(C158:E158,$C$4)</f>
        <v>0.3</v>
      </c>
      <c r="J158" s="13" t="s">
        <v>96</v>
      </c>
    </row>
    <row r="159" customFormat="false" ht="15" hidden="false" customHeight="false" outlineLevel="0" collapsed="false">
      <c r="A159" s="3" t="s">
        <v>490</v>
      </c>
      <c r="B159" s="4" t="s">
        <v>491</v>
      </c>
      <c r="C159" s="19" t="n">
        <v>0.2</v>
      </c>
      <c r="D159" s="19" t="n">
        <v>0.15</v>
      </c>
      <c r="E159" s="19" t="n">
        <v>0.12</v>
      </c>
      <c r="F159" s="13" t="s">
        <v>99</v>
      </c>
      <c r="G159" s="4" t="s">
        <v>492</v>
      </c>
      <c r="H159" s="13" t="s">
        <v>92</v>
      </c>
      <c r="I159" s="20" t="n">
        <f aca="false">INDEX(C159:E159,$C$4)</f>
        <v>0.15</v>
      </c>
      <c r="J159" s="13" t="s">
        <v>96</v>
      </c>
    </row>
    <row r="160" customFormat="false" ht="15" hidden="false" customHeight="false" outlineLevel="0" collapsed="false">
      <c r="A160" s="3" t="s">
        <v>493</v>
      </c>
      <c r="B160" s="4" t="s">
        <v>494</v>
      </c>
      <c r="C160" s="19" t="n">
        <v>0.12</v>
      </c>
      <c r="D160" s="19" t="n">
        <v>0.1</v>
      </c>
      <c r="E160" s="19" t="n">
        <v>0.08</v>
      </c>
      <c r="F160" s="13" t="s">
        <v>99</v>
      </c>
      <c r="G160" s="4" t="s">
        <v>495</v>
      </c>
      <c r="H160" s="13" t="s">
        <v>92</v>
      </c>
      <c r="I160" s="20" t="n">
        <f aca="false">INDEX(C160:E160,$C$4)</f>
        <v>0.1</v>
      </c>
      <c r="J160" s="13" t="s">
        <v>96</v>
      </c>
    </row>
    <row r="161" customFormat="false" ht="15" hidden="false" customHeight="false" outlineLevel="0" collapsed="false">
      <c r="A161" s="3" t="s">
        <v>496</v>
      </c>
      <c r="B161" s="4" t="s">
        <v>497</v>
      </c>
      <c r="C161" s="15" t="n">
        <v>3</v>
      </c>
      <c r="D161" s="15" t="n">
        <v>2</v>
      </c>
      <c r="E161" s="15" t="n">
        <v>1</v>
      </c>
      <c r="F161" s="13" t="s">
        <v>365</v>
      </c>
      <c r="G161" s="4" t="s">
        <v>498</v>
      </c>
      <c r="H161" s="13" t="s">
        <v>92</v>
      </c>
      <c r="I161" s="16" t="n">
        <f aca="false">INDEX(C161:E161,$C$4)</f>
        <v>2</v>
      </c>
      <c r="J161" s="13" t="s">
        <v>96</v>
      </c>
    </row>
    <row r="162" customFormat="false" ht="28.35" hidden="false" customHeight="false" outlineLevel="0" collapsed="false">
      <c r="A162" s="3" t="s">
        <v>499</v>
      </c>
      <c r="B162" s="4" t="s">
        <v>500</v>
      </c>
      <c r="C162" s="23" t="n">
        <v>0.5</v>
      </c>
      <c r="D162" s="23" t="n">
        <v>1</v>
      </c>
      <c r="E162" s="23" t="n">
        <v>1</v>
      </c>
      <c r="F162" s="13" t="s">
        <v>501</v>
      </c>
      <c r="G162" s="4" t="s">
        <v>502</v>
      </c>
      <c r="H162" s="13" t="s">
        <v>92</v>
      </c>
      <c r="I162" s="24" t="n">
        <f aca="false">INDEX(C162:E162,$C$4)</f>
        <v>1</v>
      </c>
      <c r="J162" s="13" t="s">
        <v>96</v>
      </c>
    </row>
    <row r="163" customFormat="false" ht="28.35" hidden="false" customHeight="false" outlineLevel="0" collapsed="false">
      <c r="A163" s="3" t="s">
        <v>503</v>
      </c>
      <c r="B163" s="4" t="s">
        <v>504</v>
      </c>
      <c r="C163" s="17" t="n">
        <v>75000</v>
      </c>
      <c r="D163" s="17" t="n">
        <v>75000</v>
      </c>
      <c r="E163" s="17" t="n">
        <v>75000</v>
      </c>
      <c r="F163" s="13" t="s">
        <v>340</v>
      </c>
      <c r="G163" s="4" t="s">
        <v>505</v>
      </c>
      <c r="H163" s="13" t="s">
        <v>92</v>
      </c>
      <c r="I163" s="18" t="n">
        <f aca="false">INDEX(C163:E163,$C$4)</f>
        <v>75000</v>
      </c>
      <c r="J163" s="13" t="s">
        <v>87</v>
      </c>
    </row>
    <row r="164" customFormat="false" ht="15" hidden="false" customHeight="false" outlineLevel="0" collapsed="false">
      <c r="A164" s="3" t="s">
        <v>506</v>
      </c>
      <c r="B164" s="4" t="s">
        <v>507</v>
      </c>
      <c r="C164" s="15" t="n">
        <v>3</v>
      </c>
      <c r="D164" s="15" t="n">
        <v>1</v>
      </c>
      <c r="E164" s="15" t="n">
        <v>1</v>
      </c>
      <c r="F164" s="13" t="s">
        <v>365</v>
      </c>
      <c r="G164" s="4" t="s">
        <v>508</v>
      </c>
      <c r="H164" s="13" t="s">
        <v>359</v>
      </c>
      <c r="I164" s="16" t="n">
        <f aca="false">INDEX(C164:E164,$C$4)</f>
        <v>1</v>
      </c>
      <c r="J164" s="13" t="s">
        <v>96</v>
      </c>
    </row>
    <row r="165" customFormat="false" ht="15" hidden="false" customHeight="false" outlineLevel="0" collapsed="false">
      <c r="A165" s="3" t="s">
        <v>509</v>
      </c>
      <c r="B165" s="4" t="s">
        <v>510</v>
      </c>
      <c r="C165" s="23" t="n">
        <v>0</v>
      </c>
      <c r="D165" s="23" t="n">
        <v>0.5</v>
      </c>
      <c r="E165" s="23" t="n">
        <v>1</v>
      </c>
      <c r="F165" s="13" t="s">
        <v>501</v>
      </c>
      <c r="G165" s="4" t="s">
        <v>511</v>
      </c>
      <c r="H165" s="13" t="s">
        <v>359</v>
      </c>
      <c r="I165" s="24" t="n">
        <f aca="false">INDEX(C165:E165,$C$4)</f>
        <v>0.5</v>
      </c>
      <c r="J165" s="13" t="s">
        <v>96</v>
      </c>
    </row>
    <row r="166" customFormat="false" ht="15" hidden="false" customHeight="false" outlineLevel="0" collapsed="false">
      <c r="A166" s="3" t="s">
        <v>512</v>
      </c>
      <c r="B166" s="4" t="s">
        <v>513</v>
      </c>
      <c r="C166" s="15" t="n">
        <v>99</v>
      </c>
      <c r="D166" s="15" t="n">
        <v>6</v>
      </c>
      <c r="E166" s="15" t="n">
        <v>4</v>
      </c>
      <c r="F166" s="13" t="s">
        <v>365</v>
      </c>
      <c r="G166" s="4" t="s">
        <v>378</v>
      </c>
      <c r="H166" s="13" t="s">
        <v>359</v>
      </c>
      <c r="I166" s="16" t="n">
        <f aca="false">INDEX(C166:E166,$C$4)</f>
        <v>6</v>
      </c>
      <c r="J166" s="13" t="s">
        <v>96</v>
      </c>
    </row>
    <row r="167" customFormat="false" ht="15" hidden="false" customHeight="false" outlineLevel="0" collapsed="false">
      <c r="A167" s="3" t="s">
        <v>514</v>
      </c>
      <c r="B167" s="4" t="s">
        <v>515</v>
      </c>
      <c r="C167" s="15" t="n">
        <v>2</v>
      </c>
      <c r="D167" s="15" t="n">
        <v>2</v>
      </c>
      <c r="E167" s="15" t="n">
        <v>2</v>
      </c>
      <c r="F167" s="13" t="s">
        <v>365</v>
      </c>
      <c r="G167" s="4" t="s">
        <v>516</v>
      </c>
      <c r="H167" s="13" t="s">
        <v>359</v>
      </c>
      <c r="I167" s="16" t="n">
        <f aca="false">INDEX(C167:E167,$C$4)</f>
        <v>2</v>
      </c>
      <c r="J167" s="13" t="s">
        <v>96</v>
      </c>
    </row>
    <row r="168" customFormat="false" ht="15" hidden="false" customHeight="false" outlineLevel="0" collapsed="false">
      <c r="A168" s="3" t="s">
        <v>517</v>
      </c>
      <c r="B168" s="4" t="s">
        <v>518</v>
      </c>
      <c r="C168" s="15" t="n">
        <v>2</v>
      </c>
      <c r="D168" s="15" t="n">
        <v>2</v>
      </c>
      <c r="E168" s="15" t="n">
        <v>2</v>
      </c>
      <c r="F168" s="13" t="s">
        <v>365</v>
      </c>
      <c r="G168" s="4" t="s">
        <v>519</v>
      </c>
      <c r="H168" s="13" t="s">
        <v>359</v>
      </c>
      <c r="I168" s="16" t="n">
        <f aca="false">INDEX(C168:E168,$C$4)</f>
        <v>2</v>
      </c>
      <c r="J168" s="13" t="s">
        <v>96</v>
      </c>
    </row>
    <row r="169" customFormat="false" ht="15" hidden="false" customHeight="false" outlineLevel="0" collapsed="false">
      <c r="A169" s="3" t="s">
        <v>520</v>
      </c>
      <c r="B169" s="4" t="s">
        <v>521</v>
      </c>
      <c r="C169" s="15" t="n">
        <v>3</v>
      </c>
      <c r="D169" s="15" t="n">
        <v>3</v>
      </c>
      <c r="E169" s="15" t="n">
        <v>3</v>
      </c>
      <c r="F169" s="13" t="s">
        <v>365</v>
      </c>
      <c r="G169" s="4" t="s">
        <v>522</v>
      </c>
      <c r="H169" s="13" t="s">
        <v>359</v>
      </c>
      <c r="I169" s="16" t="n">
        <f aca="false">INDEX(C169:E169,$C$4)</f>
        <v>3</v>
      </c>
      <c r="J169" s="13" t="s">
        <v>96</v>
      </c>
    </row>
    <row r="170" customFormat="false" ht="28.35" hidden="false" customHeight="false" outlineLevel="0" collapsed="false">
      <c r="A170" s="3" t="s">
        <v>523</v>
      </c>
      <c r="B170" s="4" t="s">
        <v>524</v>
      </c>
      <c r="C170" s="17" t="n">
        <v>3333</v>
      </c>
      <c r="D170" s="17" t="n">
        <v>15833</v>
      </c>
      <c r="E170" s="17" t="n">
        <v>19167</v>
      </c>
      <c r="F170" s="13" t="s">
        <v>340</v>
      </c>
      <c r="G170" s="4" t="s">
        <v>525</v>
      </c>
      <c r="H170" s="13" t="s">
        <v>359</v>
      </c>
      <c r="I170" s="18" t="n">
        <f aca="false">INDEX(C170:E170,$C$4)</f>
        <v>15833</v>
      </c>
      <c r="J170" s="13" t="s">
        <v>96</v>
      </c>
    </row>
    <row r="171" customFormat="false" ht="15" hidden="false" customHeight="false" outlineLevel="0" collapsed="false">
      <c r="A171" s="3" t="s">
        <v>526</v>
      </c>
      <c r="B171" s="4" t="s">
        <v>527</v>
      </c>
      <c r="C171" s="15" t="n">
        <v>8</v>
      </c>
      <c r="D171" s="15" t="n">
        <v>8</v>
      </c>
      <c r="E171" s="15" t="n">
        <v>8</v>
      </c>
      <c r="F171" s="13" t="s">
        <v>528</v>
      </c>
      <c r="G171" s="4" t="s">
        <v>529</v>
      </c>
      <c r="H171" s="13" t="s">
        <v>92</v>
      </c>
      <c r="I171" s="16" t="n">
        <f aca="false">INDEX(C171:E171,$C$4)</f>
        <v>8</v>
      </c>
      <c r="J171" s="13" t="s">
        <v>87</v>
      </c>
    </row>
    <row r="172" customFormat="false" ht="15" hidden="false" customHeight="false" outlineLevel="0" collapsed="false">
      <c r="A172" s="3" t="s">
        <v>530</v>
      </c>
      <c r="B172" s="4" t="s">
        <v>531</v>
      </c>
      <c r="C172" s="23" t="n">
        <v>2</v>
      </c>
      <c r="D172" s="23" t="n">
        <v>2</v>
      </c>
      <c r="E172" s="23" t="n">
        <v>2</v>
      </c>
      <c r="F172" s="13" t="s">
        <v>350</v>
      </c>
      <c r="G172" s="4" t="s">
        <v>532</v>
      </c>
      <c r="H172" s="13" t="s">
        <v>92</v>
      </c>
      <c r="I172" s="24" t="n">
        <f aca="false">INDEX(C172:E172,$C$4)</f>
        <v>2</v>
      </c>
      <c r="J172" s="13" t="s">
        <v>96</v>
      </c>
    </row>
    <row r="173" customFormat="false" ht="28.35" hidden="false" customHeight="false" outlineLevel="0" collapsed="false">
      <c r="A173" s="3" t="s">
        <v>533</v>
      </c>
      <c r="B173" s="4" t="s">
        <v>534</v>
      </c>
      <c r="C173" s="15" t="n">
        <v>99</v>
      </c>
      <c r="D173" s="15" t="n">
        <v>7</v>
      </c>
      <c r="E173" s="15" t="n">
        <v>4</v>
      </c>
      <c r="F173" s="13" t="s">
        <v>365</v>
      </c>
      <c r="G173" s="4" t="s">
        <v>535</v>
      </c>
      <c r="H173" s="13" t="s">
        <v>92</v>
      </c>
      <c r="I173" s="16" t="n">
        <f aca="false">INDEX(C173:E173,$C$4)</f>
        <v>7</v>
      </c>
      <c r="J173" s="13" t="s">
        <v>96</v>
      </c>
    </row>
    <row r="174" customFormat="false" ht="15" hidden="false" customHeight="false" outlineLevel="0" collapsed="false">
      <c r="A174" s="3" t="s">
        <v>536</v>
      </c>
      <c r="B174" s="4" t="s">
        <v>537</v>
      </c>
      <c r="C174" s="15" t="n">
        <v>0</v>
      </c>
      <c r="D174" s="15" t="n">
        <v>1300</v>
      </c>
      <c r="E174" s="15" t="n">
        <v>1600</v>
      </c>
      <c r="F174" s="13" t="s">
        <v>538</v>
      </c>
      <c r="G174" s="4" t="s">
        <v>539</v>
      </c>
      <c r="H174" s="13" t="s">
        <v>92</v>
      </c>
      <c r="I174" s="16" t="n">
        <f aca="false">INDEX(C174:E174,$C$4)</f>
        <v>1300</v>
      </c>
      <c r="J174" s="13" t="s">
        <v>96</v>
      </c>
    </row>
    <row r="175" customFormat="false" ht="28.35" hidden="false" customHeight="false" outlineLevel="0" collapsed="false">
      <c r="A175" s="3" t="s">
        <v>540</v>
      </c>
      <c r="B175" s="4" t="s">
        <v>541</v>
      </c>
      <c r="C175" s="17" t="n">
        <v>113</v>
      </c>
      <c r="D175" s="17" t="n">
        <v>80</v>
      </c>
      <c r="E175" s="17" t="n">
        <v>80</v>
      </c>
      <c r="F175" s="13" t="s">
        <v>542</v>
      </c>
      <c r="G175" s="4" t="s">
        <v>543</v>
      </c>
      <c r="H175" s="13" t="s">
        <v>544</v>
      </c>
      <c r="I175" s="18" t="n">
        <f aca="false">INDEX(C175:E175,$C$4)</f>
        <v>80</v>
      </c>
      <c r="J175" s="13" t="s">
        <v>87</v>
      </c>
    </row>
    <row r="176" customFormat="false" ht="15" hidden="false" customHeight="false" outlineLevel="0" collapsed="false">
      <c r="A176" s="3" t="s">
        <v>545</v>
      </c>
      <c r="B176" s="4" t="s">
        <v>546</v>
      </c>
      <c r="C176" s="15" t="n">
        <v>8</v>
      </c>
      <c r="D176" s="15" t="n">
        <v>12</v>
      </c>
      <c r="E176" s="15" t="n">
        <v>16</v>
      </c>
      <c r="F176" s="13" t="s">
        <v>528</v>
      </c>
      <c r="G176" s="4" t="s">
        <v>547</v>
      </c>
      <c r="H176" s="13" t="s">
        <v>92</v>
      </c>
      <c r="I176" s="16" t="n">
        <f aca="false">INDEX(C176:E176,$C$4)</f>
        <v>12</v>
      </c>
      <c r="J176" s="13" t="s">
        <v>96</v>
      </c>
    </row>
    <row r="177" customFormat="false" ht="15" hidden="false" customHeight="false" outlineLevel="0" collapsed="false">
      <c r="A177" s="3" t="s">
        <v>548</v>
      </c>
      <c r="B177" s="4" t="s">
        <v>549</v>
      </c>
      <c r="C177" s="23" t="n">
        <v>2</v>
      </c>
      <c r="D177" s="23" t="n">
        <v>2.5</v>
      </c>
      <c r="E177" s="23" t="n">
        <v>2.5</v>
      </c>
      <c r="F177" s="13" t="s">
        <v>350</v>
      </c>
      <c r="G177" s="4" t="s">
        <v>550</v>
      </c>
      <c r="H177" s="13" t="s">
        <v>92</v>
      </c>
      <c r="I177" s="24" t="n">
        <f aca="false">INDEX(C177:E177,$C$4)</f>
        <v>2.5</v>
      </c>
      <c r="J177" s="13" t="s">
        <v>96</v>
      </c>
    </row>
    <row r="178" customFormat="false" ht="15" hidden="false" customHeight="false" outlineLevel="0" collapsed="false">
      <c r="A178" s="3" t="s">
        <v>551</v>
      </c>
      <c r="B178" s="4" t="s">
        <v>552</v>
      </c>
      <c r="C178" s="19" t="n">
        <v>0.9</v>
      </c>
      <c r="D178" s="19" t="n">
        <v>0.9</v>
      </c>
      <c r="E178" s="19" t="n">
        <v>0.9</v>
      </c>
      <c r="F178" s="13" t="s">
        <v>99</v>
      </c>
      <c r="G178" s="4" t="s">
        <v>553</v>
      </c>
      <c r="H178" s="13" t="s">
        <v>92</v>
      </c>
      <c r="I178" s="20" t="n">
        <f aca="false">INDEX(C178:E178,$C$4)</f>
        <v>0.9</v>
      </c>
      <c r="J178" s="13" t="s">
        <v>87</v>
      </c>
    </row>
    <row r="179" customFormat="false" ht="28.35" hidden="false" customHeight="false" outlineLevel="0" collapsed="false">
      <c r="A179" s="3" t="s">
        <v>554</v>
      </c>
      <c r="B179" s="4" t="s">
        <v>555</v>
      </c>
      <c r="C179" s="17" t="n">
        <v>45000</v>
      </c>
      <c r="D179" s="17" t="n">
        <v>35000</v>
      </c>
      <c r="E179" s="17" t="n">
        <v>35000</v>
      </c>
      <c r="F179" s="13" t="s">
        <v>340</v>
      </c>
      <c r="G179" s="4" t="s">
        <v>556</v>
      </c>
      <c r="H179" s="13" t="s">
        <v>92</v>
      </c>
      <c r="I179" s="18" t="n">
        <f aca="false">INDEX(C179:E179,$C$4)</f>
        <v>35000</v>
      </c>
      <c r="J179" s="13" t="s">
        <v>87</v>
      </c>
    </row>
    <row r="180" customFormat="false" ht="15" hidden="false" customHeight="false" outlineLevel="0" collapsed="false">
      <c r="A180" s="3" t="s">
        <v>557</v>
      </c>
      <c r="B180" s="4" t="s">
        <v>558</v>
      </c>
      <c r="C180" s="17" t="n">
        <v>12000</v>
      </c>
      <c r="D180" s="17" t="n">
        <v>10000</v>
      </c>
      <c r="E180" s="17" t="n">
        <v>10000</v>
      </c>
      <c r="F180" s="13" t="s">
        <v>340</v>
      </c>
      <c r="G180" s="4" t="s">
        <v>329</v>
      </c>
      <c r="H180" s="13" t="s">
        <v>92</v>
      </c>
      <c r="I180" s="18" t="n">
        <f aca="false">INDEX(C180:E180,$C$4)</f>
        <v>10000</v>
      </c>
      <c r="J180" s="13" t="s">
        <v>87</v>
      </c>
    </row>
    <row r="181" customFormat="false" ht="15" hidden="false" customHeight="false" outlineLevel="0" collapsed="false">
      <c r="A181" s="3" t="s">
        <v>559</v>
      </c>
      <c r="B181" s="4" t="s">
        <v>560</v>
      </c>
      <c r="C181" s="17" t="n">
        <v>14</v>
      </c>
      <c r="D181" s="17" t="n">
        <v>12</v>
      </c>
      <c r="E181" s="17" t="n">
        <v>12</v>
      </c>
      <c r="F181" s="13" t="s">
        <v>542</v>
      </c>
      <c r="G181" s="4" t="s">
        <v>561</v>
      </c>
      <c r="H181" s="13" t="s">
        <v>92</v>
      </c>
      <c r="I181" s="18" t="n">
        <f aca="false">INDEX(C181:E181,$C$4)</f>
        <v>12</v>
      </c>
      <c r="J181" s="13" t="s">
        <v>87</v>
      </c>
    </row>
    <row r="182" customFormat="false" ht="15" hidden="false" customHeight="false" outlineLevel="0" collapsed="false">
      <c r="A182" s="3" t="s">
        <v>562</v>
      </c>
      <c r="B182" s="4" t="s">
        <v>563</v>
      </c>
      <c r="C182" s="17" t="n">
        <v>900</v>
      </c>
      <c r="D182" s="17" t="n">
        <v>800</v>
      </c>
      <c r="E182" s="17" t="n">
        <v>800</v>
      </c>
      <c r="F182" s="13" t="s">
        <v>564</v>
      </c>
      <c r="G182" s="4" t="s">
        <v>565</v>
      </c>
      <c r="H182" s="13" t="s">
        <v>359</v>
      </c>
      <c r="I182" s="18" t="n">
        <f aca="false">INDEX(C182:E182,$C$4)</f>
        <v>800</v>
      </c>
      <c r="J182" s="13" t="s">
        <v>87</v>
      </c>
    </row>
    <row r="183" customFormat="false" ht="28.35" hidden="false" customHeight="false" outlineLevel="0" collapsed="false">
      <c r="A183" s="3" t="s">
        <v>566</v>
      </c>
      <c r="B183" s="4" t="s">
        <v>567</v>
      </c>
      <c r="C183" s="17" t="n">
        <v>35000</v>
      </c>
      <c r="D183" s="17" t="n">
        <v>30000</v>
      </c>
      <c r="E183" s="17" t="n">
        <v>30000</v>
      </c>
      <c r="F183" s="13" t="s">
        <v>568</v>
      </c>
      <c r="G183" s="4" t="s">
        <v>329</v>
      </c>
      <c r="H183" s="13" t="s">
        <v>92</v>
      </c>
      <c r="I183" s="18" t="n">
        <f aca="false">INDEX(C183:E183,$C$4)</f>
        <v>30000</v>
      </c>
      <c r="J183" s="13" t="s">
        <v>87</v>
      </c>
    </row>
    <row r="184" customFormat="false" ht="15" hidden="false" customHeight="false" outlineLevel="0" collapsed="false">
      <c r="A184" s="3" t="s">
        <v>569</v>
      </c>
      <c r="B184" s="4" t="s">
        <v>570</v>
      </c>
      <c r="C184" s="23" t="n">
        <v>3</v>
      </c>
      <c r="D184" s="23" t="n">
        <v>3</v>
      </c>
      <c r="E184" s="23" t="n">
        <v>3</v>
      </c>
      <c r="F184" s="13" t="s">
        <v>571</v>
      </c>
      <c r="G184" s="4" t="s">
        <v>572</v>
      </c>
      <c r="H184" s="13" t="s">
        <v>92</v>
      </c>
      <c r="I184" s="24" t="n">
        <f aca="false">INDEX(C184:E184,$C$4)</f>
        <v>3</v>
      </c>
      <c r="J184" s="13" t="s">
        <v>87</v>
      </c>
    </row>
    <row r="185" customFormat="false" ht="15" hidden="false" customHeight="false" outlineLevel="0" collapsed="false">
      <c r="A185" s="3" t="s">
        <v>573</v>
      </c>
      <c r="B185" s="4" t="s">
        <v>574</v>
      </c>
      <c r="C185" s="17" t="n">
        <v>0</v>
      </c>
      <c r="D185" s="17" t="n">
        <v>18000</v>
      </c>
      <c r="E185" s="17" t="n">
        <v>18000</v>
      </c>
      <c r="F185" s="13" t="s">
        <v>340</v>
      </c>
      <c r="G185" s="4" t="s">
        <v>329</v>
      </c>
      <c r="H185" s="13" t="s">
        <v>92</v>
      </c>
      <c r="I185" s="18" t="n">
        <f aca="false">INDEX(C185:E185,$C$4)</f>
        <v>18000</v>
      </c>
      <c r="J185" s="13" t="s">
        <v>96</v>
      </c>
    </row>
    <row r="186" customFormat="false" ht="15" hidden="false" customHeight="false" outlineLevel="0" collapsed="false">
      <c r="A186" s="3" t="s">
        <v>575</v>
      </c>
      <c r="B186" s="4" t="s">
        <v>576</v>
      </c>
      <c r="C186" s="17" t="n">
        <v>65000</v>
      </c>
      <c r="D186" s="17" t="n">
        <v>65000</v>
      </c>
      <c r="E186" s="17" t="n">
        <v>65000</v>
      </c>
      <c r="F186" s="13" t="s">
        <v>340</v>
      </c>
      <c r="G186" s="4" t="s">
        <v>577</v>
      </c>
      <c r="H186" s="13" t="s">
        <v>92</v>
      </c>
      <c r="I186" s="18" t="n">
        <f aca="false">INDEX(C186:E186,$C$4)</f>
        <v>65000</v>
      </c>
      <c r="J186" s="13" t="s">
        <v>87</v>
      </c>
    </row>
    <row r="187" customFormat="false" ht="15" hidden="false" customHeight="false" outlineLevel="0" collapsed="false">
      <c r="A187" s="3" t="s">
        <v>578</v>
      </c>
      <c r="B187" s="4" t="s">
        <v>579</v>
      </c>
      <c r="C187" s="15" t="n">
        <v>99</v>
      </c>
      <c r="D187" s="15" t="n">
        <v>13</v>
      </c>
      <c r="E187" s="15" t="n">
        <v>10</v>
      </c>
      <c r="F187" s="13" t="s">
        <v>365</v>
      </c>
      <c r="G187" s="4" t="s">
        <v>580</v>
      </c>
      <c r="H187" s="13" t="s">
        <v>92</v>
      </c>
      <c r="I187" s="16" t="n">
        <f aca="false">INDEX(C187:E187,$C$4)</f>
        <v>13</v>
      </c>
      <c r="J187" s="13" t="s">
        <v>96</v>
      </c>
    </row>
    <row r="188" customFormat="false" ht="15" hidden="false" customHeight="false" outlineLevel="0" collapsed="false">
      <c r="A188" s="3" t="s">
        <v>581</v>
      </c>
      <c r="B188" s="4" t="s">
        <v>582</v>
      </c>
      <c r="C188" s="17" t="n">
        <v>5000</v>
      </c>
      <c r="D188" s="17" t="n">
        <v>5000</v>
      </c>
      <c r="E188" s="17" t="n">
        <v>8000</v>
      </c>
      <c r="F188" s="13" t="s">
        <v>340</v>
      </c>
      <c r="G188" s="4" t="s">
        <v>583</v>
      </c>
      <c r="H188" s="13" t="s">
        <v>92</v>
      </c>
      <c r="I188" s="18" t="n">
        <f aca="false">INDEX(C188:E188,$C$4)</f>
        <v>5000</v>
      </c>
      <c r="J188" s="13" t="s">
        <v>96</v>
      </c>
    </row>
    <row r="189" customFormat="false" ht="28.35" hidden="false" customHeight="false" outlineLevel="0" collapsed="false">
      <c r="A189" s="3" t="s">
        <v>584</v>
      </c>
      <c r="B189" s="4" t="s">
        <v>585</v>
      </c>
      <c r="C189" s="15" t="n">
        <v>99</v>
      </c>
      <c r="D189" s="15" t="n">
        <v>10</v>
      </c>
      <c r="E189" s="15" t="n">
        <v>8</v>
      </c>
      <c r="F189" s="13" t="s">
        <v>365</v>
      </c>
      <c r="G189" s="4" t="s">
        <v>586</v>
      </c>
      <c r="H189" s="13" t="s">
        <v>92</v>
      </c>
      <c r="I189" s="16" t="n">
        <f aca="false">INDEX(C189:E189,$C$4)</f>
        <v>10</v>
      </c>
      <c r="J189" s="13" t="s">
        <v>96</v>
      </c>
    </row>
    <row r="190" customFormat="false" ht="28.35" hidden="false" customHeight="false" outlineLevel="0" collapsed="false">
      <c r="A190" s="3" t="s">
        <v>587</v>
      </c>
      <c r="B190" s="4" t="s">
        <v>588</v>
      </c>
      <c r="C190" s="17" t="n">
        <v>100000</v>
      </c>
      <c r="D190" s="17" t="n">
        <v>350000</v>
      </c>
      <c r="E190" s="17" t="n">
        <v>550000</v>
      </c>
      <c r="F190" s="13" t="s">
        <v>90</v>
      </c>
      <c r="G190" s="4" t="s">
        <v>589</v>
      </c>
      <c r="H190" s="13" t="s">
        <v>359</v>
      </c>
      <c r="I190" s="18" t="n">
        <f aca="false">INDEX(C190:E190,$C$4)</f>
        <v>350000</v>
      </c>
      <c r="J190" s="13" t="s">
        <v>96</v>
      </c>
    </row>
    <row r="191" customFormat="false" ht="15" hidden="false" customHeight="false" outlineLevel="0" collapsed="false">
      <c r="A191" s="3" t="s">
        <v>590</v>
      </c>
      <c r="B191" s="4" t="s">
        <v>591</v>
      </c>
      <c r="C191" s="15" t="n">
        <v>99</v>
      </c>
      <c r="D191" s="15" t="n">
        <v>9</v>
      </c>
      <c r="E191" s="15" t="n">
        <v>6</v>
      </c>
      <c r="F191" s="13" t="s">
        <v>365</v>
      </c>
      <c r="G191" s="4" t="s">
        <v>592</v>
      </c>
      <c r="H191" s="13" t="s">
        <v>92</v>
      </c>
      <c r="I191" s="16" t="n">
        <f aca="false">INDEX(C191:E191,$C$4)</f>
        <v>9</v>
      </c>
      <c r="J191" s="13" t="s">
        <v>96</v>
      </c>
    </row>
    <row r="192" customFormat="false" ht="15" hidden="false" customHeight="false" outlineLevel="0" collapsed="false">
      <c r="A192" s="3" t="s">
        <v>593</v>
      </c>
      <c r="B192" s="4" t="s">
        <v>594</v>
      </c>
      <c r="C192" s="15" t="n">
        <v>12</v>
      </c>
      <c r="D192" s="15" t="n">
        <v>24</v>
      </c>
      <c r="E192" s="15" t="n">
        <v>30</v>
      </c>
      <c r="F192" s="13" t="s">
        <v>595</v>
      </c>
      <c r="G192" s="4" t="s">
        <v>596</v>
      </c>
      <c r="H192" s="13" t="s">
        <v>92</v>
      </c>
      <c r="I192" s="16" t="n">
        <f aca="false">INDEX(C192:E192,$C$4)</f>
        <v>24</v>
      </c>
      <c r="J192" s="13" t="s">
        <v>96</v>
      </c>
    </row>
    <row r="193" customFormat="false" ht="15" hidden="false" customHeight="false" outlineLevel="0" collapsed="false">
      <c r="A193" s="3" t="s">
        <v>597</v>
      </c>
      <c r="B193" s="4" t="s">
        <v>598</v>
      </c>
      <c r="C193" s="19" t="n">
        <v>0.75</v>
      </c>
      <c r="D193" s="19" t="n">
        <v>0.85</v>
      </c>
      <c r="E193" s="19" t="n">
        <v>0.9</v>
      </c>
      <c r="F193" s="13" t="s">
        <v>99</v>
      </c>
      <c r="G193" s="4" t="s">
        <v>599</v>
      </c>
      <c r="H193" s="13" t="s">
        <v>92</v>
      </c>
      <c r="I193" s="20" t="n">
        <f aca="false">INDEX(C193:E193,$C$4)</f>
        <v>0.85</v>
      </c>
      <c r="J193" s="13" t="s">
        <v>87</v>
      </c>
    </row>
    <row r="194" customFormat="false" ht="15" hidden="false" customHeight="false" outlineLevel="0" collapsed="false">
      <c r="A194" s="3" t="s">
        <v>600</v>
      </c>
      <c r="B194" s="4" t="s">
        <v>601</v>
      </c>
      <c r="C194" s="15" t="n">
        <v>10</v>
      </c>
      <c r="D194" s="15" t="n">
        <v>15</v>
      </c>
      <c r="E194" s="15" t="n">
        <v>22</v>
      </c>
      <c r="F194" s="13" t="s">
        <v>595</v>
      </c>
      <c r="G194" s="4" t="s">
        <v>602</v>
      </c>
      <c r="H194" s="13" t="s">
        <v>92</v>
      </c>
      <c r="I194" s="16" t="n">
        <f aca="false">INDEX(C194:E194,$C$4)</f>
        <v>15</v>
      </c>
      <c r="J194" s="13" t="s">
        <v>96</v>
      </c>
    </row>
    <row r="195" customFormat="false" ht="15" hidden="false" customHeight="false" outlineLevel="0" collapsed="false">
      <c r="A195" s="3" t="s">
        <v>603</v>
      </c>
      <c r="B195" s="4" t="s">
        <v>604</v>
      </c>
      <c r="C195" s="17" t="n">
        <v>12000</v>
      </c>
      <c r="D195" s="17" t="n">
        <v>15000</v>
      </c>
      <c r="E195" s="17" t="n">
        <v>20000</v>
      </c>
      <c r="F195" s="13" t="s">
        <v>340</v>
      </c>
      <c r="G195" s="4" t="s">
        <v>329</v>
      </c>
      <c r="H195" s="13" t="s">
        <v>92</v>
      </c>
      <c r="I195" s="18" t="n">
        <f aca="false">INDEX(C195:E195,$C$4)</f>
        <v>15000</v>
      </c>
      <c r="J195" s="13" t="s">
        <v>96</v>
      </c>
    </row>
    <row r="196" customFormat="false" ht="28.35" hidden="false" customHeight="false" outlineLevel="0" collapsed="false">
      <c r="A196" s="3" t="s">
        <v>605</v>
      </c>
      <c r="B196" s="4" t="s">
        <v>606</v>
      </c>
      <c r="C196" s="17" t="n">
        <v>50000</v>
      </c>
      <c r="D196" s="17" t="n">
        <v>150000</v>
      </c>
      <c r="E196" s="17" t="n">
        <v>200000</v>
      </c>
      <c r="F196" s="13" t="s">
        <v>90</v>
      </c>
      <c r="G196" s="4" t="s">
        <v>607</v>
      </c>
      <c r="H196" s="13" t="s">
        <v>359</v>
      </c>
      <c r="I196" s="18" t="n">
        <f aca="false">INDEX(C196:E196,$C$4)</f>
        <v>150000</v>
      </c>
      <c r="J196" s="13" t="s">
        <v>96</v>
      </c>
    </row>
    <row r="197" customFormat="false" ht="28.35" hidden="false" customHeight="false" outlineLevel="0" collapsed="false">
      <c r="A197" s="3" t="s">
        <v>608</v>
      </c>
      <c r="B197" s="4" t="s">
        <v>609</v>
      </c>
      <c r="C197" s="17" t="n">
        <v>50000</v>
      </c>
      <c r="D197" s="17" t="n">
        <v>150000</v>
      </c>
      <c r="E197" s="17" t="n">
        <v>250000</v>
      </c>
      <c r="F197" s="13" t="s">
        <v>90</v>
      </c>
      <c r="G197" s="4" t="s">
        <v>610</v>
      </c>
      <c r="H197" s="13" t="s">
        <v>359</v>
      </c>
      <c r="I197" s="18" t="n">
        <f aca="false">INDEX(C197:E197,$C$4)</f>
        <v>150000</v>
      </c>
      <c r="J197" s="13" t="s">
        <v>96</v>
      </c>
    </row>
    <row r="198" customFormat="false" ht="15" hidden="false" customHeight="false" outlineLevel="0" collapsed="false">
      <c r="A198" s="3" t="s">
        <v>611</v>
      </c>
      <c r="B198" s="4" t="s">
        <v>612</v>
      </c>
      <c r="C198" s="19" t="n">
        <v>0.2</v>
      </c>
      <c r="D198" s="19" t="n">
        <v>0.2</v>
      </c>
      <c r="E198" s="19" t="n">
        <v>0.2</v>
      </c>
      <c r="F198" s="13" t="s">
        <v>99</v>
      </c>
      <c r="G198" s="4" t="s">
        <v>152</v>
      </c>
      <c r="H198" s="13" t="s">
        <v>92</v>
      </c>
      <c r="I198" s="20" t="n">
        <f aca="false">INDEX(C198:E198,$C$4)</f>
        <v>0.2</v>
      </c>
      <c r="J198" s="13" t="s">
        <v>87</v>
      </c>
    </row>
    <row r="199" customFormat="false" ht="15" hidden="false" customHeight="false" outlineLevel="0" collapsed="false">
      <c r="A199" s="3" t="s">
        <v>613</v>
      </c>
      <c r="B199" s="4" t="s">
        <v>614</v>
      </c>
      <c r="C199" s="19" t="n">
        <v>0.05</v>
      </c>
      <c r="D199" s="19" t="n">
        <v>0.1</v>
      </c>
      <c r="E199" s="19" t="n">
        <v>0.15</v>
      </c>
      <c r="F199" s="13" t="s">
        <v>99</v>
      </c>
      <c r="G199" s="4" t="s">
        <v>615</v>
      </c>
      <c r="H199" s="13" t="s">
        <v>92</v>
      </c>
      <c r="I199" s="20" t="n">
        <f aca="false">INDEX(C199:E199,$C$4)</f>
        <v>0.1</v>
      </c>
      <c r="J199" s="13" t="s">
        <v>96</v>
      </c>
    </row>
    <row r="200" customFormat="false" ht="15" hidden="false" customHeight="false" outlineLevel="0" collapsed="false">
      <c r="A200" s="3" t="s">
        <v>616</v>
      </c>
      <c r="B200" s="4" t="s">
        <v>617</v>
      </c>
      <c r="C200" s="19" t="n">
        <v>0.05</v>
      </c>
      <c r="D200" s="19" t="n">
        <v>0.1</v>
      </c>
      <c r="E200" s="19" t="n">
        <v>0.12</v>
      </c>
      <c r="F200" s="13" t="s">
        <v>99</v>
      </c>
      <c r="G200" s="4" t="s">
        <v>615</v>
      </c>
      <c r="H200" s="13" t="s">
        <v>92</v>
      </c>
      <c r="I200" s="20" t="n">
        <f aca="false">INDEX(C200:E200,$C$4)</f>
        <v>0.1</v>
      </c>
      <c r="J200" s="13" t="s">
        <v>96</v>
      </c>
    </row>
    <row r="201" customFormat="false" ht="15" hidden="false" customHeight="false" outlineLevel="0" collapsed="false">
      <c r="A201" s="3" t="s">
        <v>618</v>
      </c>
      <c r="B201" s="4" t="s">
        <v>619</v>
      </c>
      <c r="C201" s="19" t="n">
        <v>0.15</v>
      </c>
      <c r="D201" s="19" t="n">
        <v>0.25</v>
      </c>
      <c r="E201" s="19" t="n">
        <v>0.35</v>
      </c>
      <c r="F201" s="13" t="s">
        <v>99</v>
      </c>
      <c r="G201" s="4" t="s">
        <v>620</v>
      </c>
      <c r="H201" s="13" t="s">
        <v>92</v>
      </c>
      <c r="I201" s="20" t="n">
        <f aca="false">INDEX(C201:E201,$C$4)</f>
        <v>0.25</v>
      </c>
      <c r="J201" s="13" t="s">
        <v>96</v>
      </c>
    </row>
    <row r="202" customFormat="false" ht="15" hidden="false" customHeight="false" outlineLevel="0" collapsed="false">
      <c r="A202" s="3" t="s">
        <v>621</v>
      </c>
      <c r="B202" s="4" t="s">
        <v>622</v>
      </c>
      <c r="C202" s="19" t="n">
        <v>0.18</v>
      </c>
      <c r="D202" s="19" t="n">
        <v>0.3</v>
      </c>
      <c r="E202" s="19" t="n">
        <v>0.4</v>
      </c>
      <c r="F202" s="13" t="s">
        <v>99</v>
      </c>
      <c r="G202" s="4" t="s">
        <v>623</v>
      </c>
      <c r="H202" s="13" t="s">
        <v>92</v>
      </c>
      <c r="I202" s="20" t="n">
        <f aca="false">INDEX(C202:E202,$C$4)</f>
        <v>0.3</v>
      </c>
      <c r="J202" s="13" t="s">
        <v>96</v>
      </c>
    </row>
    <row r="203" customFormat="false" ht="28.35" hidden="false" customHeight="false" outlineLevel="0" collapsed="false">
      <c r="A203" s="3" t="s">
        <v>624</v>
      </c>
      <c r="B203" s="4" t="s">
        <v>625</v>
      </c>
      <c r="C203" s="15" t="n">
        <v>0</v>
      </c>
      <c r="D203" s="15" t="n">
        <v>15</v>
      </c>
      <c r="E203" s="15" t="n">
        <v>30</v>
      </c>
      <c r="F203" s="13" t="s">
        <v>353</v>
      </c>
      <c r="G203" s="4" t="s">
        <v>626</v>
      </c>
      <c r="H203" s="13" t="s">
        <v>92</v>
      </c>
      <c r="I203" s="16" t="n">
        <f aca="false">INDEX(C203:E203,$C$4)</f>
        <v>15</v>
      </c>
      <c r="J203" s="13" t="s">
        <v>96</v>
      </c>
    </row>
    <row r="204" customFormat="false" ht="15" hidden="false" customHeight="false" outlineLevel="0" collapsed="false">
      <c r="A204" s="3" t="s">
        <v>627</v>
      </c>
      <c r="B204" s="4" t="s">
        <v>628</v>
      </c>
      <c r="C204" s="15" t="n">
        <v>8</v>
      </c>
      <c r="D204" s="15" t="n">
        <v>35</v>
      </c>
      <c r="E204" s="15" t="n">
        <v>60</v>
      </c>
      <c r="F204" s="13" t="s">
        <v>353</v>
      </c>
      <c r="G204" s="4" t="s">
        <v>629</v>
      </c>
      <c r="H204" s="13" t="s">
        <v>92</v>
      </c>
      <c r="I204" s="16" t="n">
        <f aca="false">INDEX(C204:E204,$C$4)</f>
        <v>35</v>
      </c>
      <c r="J204" s="13" t="s">
        <v>96</v>
      </c>
    </row>
    <row r="205" customFormat="false" ht="15" hidden="false" customHeight="false" outlineLevel="0" collapsed="false">
      <c r="A205" s="3" t="s">
        <v>630</v>
      </c>
      <c r="B205" s="4" t="s">
        <v>631</v>
      </c>
      <c r="C205" s="15" t="n">
        <v>110</v>
      </c>
      <c r="D205" s="15" t="n">
        <v>220</v>
      </c>
      <c r="E205" s="15" t="n">
        <v>330</v>
      </c>
      <c r="F205" s="13" t="s">
        <v>632</v>
      </c>
      <c r="G205" s="4" t="s">
        <v>633</v>
      </c>
      <c r="H205" s="13" t="s">
        <v>92</v>
      </c>
      <c r="I205" s="16" t="n">
        <f aca="false">INDEX(C205:E205,$C$4)</f>
        <v>220</v>
      </c>
      <c r="J205" s="13" t="s">
        <v>96</v>
      </c>
    </row>
    <row r="206" customFormat="false" ht="15" hidden="false" customHeight="false" outlineLevel="0" collapsed="false">
      <c r="A206" s="3" t="s">
        <v>634</v>
      </c>
      <c r="B206" s="4" t="s">
        <v>635</v>
      </c>
      <c r="C206" s="15" t="n">
        <v>130</v>
      </c>
      <c r="D206" s="15" t="n">
        <v>280</v>
      </c>
      <c r="E206" s="15" t="n">
        <v>420</v>
      </c>
      <c r="F206" s="13" t="s">
        <v>632</v>
      </c>
      <c r="G206" s="4" t="s">
        <v>636</v>
      </c>
      <c r="H206" s="13" t="s">
        <v>92</v>
      </c>
      <c r="I206" s="16" t="n">
        <f aca="false">INDEX(C206:E206,$C$4)</f>
        <v>280</v>
      </c>
      <c r="J206" s="13" t="s">
        <v>96</v>
      </c>
    </row>
    <row r="207" customFormat="false" ht="15" hidden="false" customHeight="false" outlineLevel="0" collapsed="false">
      <c r="A207" s="3" t="s">
        <v>637</v>
      </c>
      <c r="B207" s="4" t="s">
        <v>638</v>
      </c>
      <c r="C207" s="15" t="n">
        <v>110</v>
      </c>
      <c r="D207" s="15" t="n">
        <v>170</v>
      </c>
      <c r="E207" s="15" t="n">
        <v>250</v>
      </c>
      <c r="F207" s="13" t="s">
        <v>632</v>
      </c>
      <c r="G207" s="4" t="s">
        <v>615</v>
      </c>
      <c r="H207" s="13" t="s">
        <v>92</v>
      </c>
      <c r="I207" s="16" t="n">
        <f aca="false">INDEX(C207:E207,$C$4)</f>
        <v>170</v>
      </c>
      <c r="J207" s="13" t="s">
        <v>96</v>
      </c>
    </row>
    <row r="208" customFormat="false" ht="15" hidden="false" customHeight="false" outlineLevel="0" collapsed="false">
      <c r="A208" s="3" t="s">
        <v>639</v>
      </c>
      <c r="B208" s="4" t="s">
        <v>640</v>
      </c>
      <c r="C208" s="15" t="n">
        <v>120</v>
      </c>
      <c r="D208" s="15" t="n">
        <v>190</v>
      </c>
      <c r="E208" s="15" t="n">
        <v>280</v>
      </c>
      <c r="F208" s="13" t="s">
        <v>632</v>
      </c>
      <c r="G208" s="4" t="s">
        <v>615</v>
      </c>
      <c r="H208" s="13" t="s">
        <v>92</v>
      </c>
      <c r="I208" s="16" t="n">
        <f aca="false">INDEX(C208:E208,$C$4)</f>
        <v>190</v>
      </c>
      <c r="J208" s="13" t="s">
        <v>96</v>
      </c>
    </row>
    <row r="209" customFormat="false" ht="15" hidden="false" customHeight="false" outlineLevel="0" collapsed="false">
      <c r="A209" s="3" t="s">
        <v>641</v>
      </c>
      <c r="B209" s="4" t="s">
        <v>642</v>
      </c>
      <c r="C209" s="15" t="n">
        <v>0</v>
      </c>
      <c r="D209" s="15" t="n">
        <v>6</v>
      </c>
      <c r="E209" s="15" t="n">
        <v>12</v>
      </c>
      <c r="F209" s="13" t="s">
        <v>643</v>
      </c>
      <c r="G209" s="4" t="s">
        <v>644</v>
      </c>
      <c r="H209" s="13" t="s">
        <v>92</v>
      </c>
      <c r="I209" s="16" t="n">
        <f aca="false">INDEX(C209:E209,$C$4)</f>
        <v>6</v>
      </c>
      <c r="J209" s="13" t="s">
        <v>96</v>
      </c>
    </row>
    <row r="210" customFormat="false" ht="15" hidden="false" customHeight="false" outlineLevel="0" collapsed="false">
      <c r="A210" s="3" t="s">
        <v>645</v>
      </c>
      <c r="B210" s="4" t="s">
        <v>646</v>
      </c>
      <c r="C210" s="15" t="n">
        <v>2</v>
      </c>
      <c r="D210" s="15" t="n">
        <v>12</v>
      </c>
      <c r="E210" s="15" t="n">
        <v>16</v>
      </c>
      <c r="F210" s="13" t="s">
        <v>643</v>
      </c>
      <c r="G210" s="4" t="s">
        <v>615</v>
      </c>
      <c r="H210" s="13" t="s">
        <v>92</v>
      </c>
      <c r="I210" s="16" t="n">
        <f aca="false">INDEX(C210:E210,$C$4)</f>
        <v>12</v>
      </c>
      <c r="J210" s="13" t="s">
        <v>96</v>
      </c>
    </row>
    <row r="211" customFormat="false" ht="15" hidden="false" customHeight="false" outlineLevel="0" collapsed="false">
      <c r="A211" s="3" t="s">
        <v>647</v>
      </c>
      <c r="B211" s="4" t="s">
        <v>648</v>
      </c>
      <c r="C211" s="15" t="n">
        <v>0</v>
      </c>
      <c r="D211" s="15" t="n">
        <v>300</v>
      </c>
      <c r="E211" s="15" t="n">
        <v>800</v>
      </c>
      <c r="F211" s="13" t="s">
        <v>649</v>
      </c>
      <c r="G211" s="4" t="s">
        <v>650</v>
      </c>
      <c r="H211" s="13" t="s">
        <v>92</v>
      </c>
      <c r="I211" s="16" t="n">
        <f aca="false">INDEX(C211:E211,$C$4)</f>
        <v>300</v>
      </c>
      <c r="J211" s="13" t="s">
        <v>96</v>
      </c>
    </row>
    <row r="212" customFormat="false" ht="15" hidden="false" customHeight="false" outlineLevel="0" collapsed="false">
      <c r="A212" s="3" t="s">
        <v>651</v>
      </c>
      <c r="B212" s="4" t="s">
        <v>652</v>
      </c>
      <c r="C212" s="15" t="n">
        <v>150</v>
      </c>
      <c r="D212" s="15" t="n">
        <v>900</v>
      </c>
      <c r="E212" s="15" t="n">
        <v>2000</v>
      </c>
      <c r="F212" s="13" t="s">
        <v>649</v>
      </c>
      <c r="G212" s="4" t="s">
        <v>615</v>
      </c>
      <c r="H212" s="13" t="s">
        <v>92</v>
      </c>
      <c r="I212" s="16" t="n">
        <f aca="false">INDEX(C212:E212,$C$4)</f>
        <v>900</v>
      </c>
      <c r="J212" s="13" t="s">
        <v>96</v>
      </c>
    </row>
    <row r="213" customFormat="false" ht="15" hidden="false" customHeight="false" outlineLevel="0" collapsed="false">
      <c r="A213" s="3" t="s">
        <v>653</v>
      </c>
      <c r="B213" s="4" t="s">
        <v>654</v>
      </c>
      <c r="C213" s="17" t="n">
        <v>999</v>
      </c>
      <c r="D213" s="17" t="n">
        <v>1499</v>
      </c>
      <c r="E213" s="17" t="n">
        <v>1999</v>
      </c>
      <c r="F213" s="13" t="s">
        <v>90</v>
      </c>
      <c r="G213" s="4" t="s">
        <v>655</v>
      </c>
      <c r="H213" s="13" t="s">
        <v>92</v>
      </c>
      <c r="I213" s="18" t="n">
        <f aca="false">INDEX(C213:E213,$C$4)</f>
        <v>1499</v>
      </c>
      <c r="J213" s="13" t="s">
        <v>87</v>
      </c>
    </row>
    <row r="214" customFormat="false" ht="15" hidden="false" customHeight="false" outlineLevel="0" collapsed="false">
      <c r="A214" s="3" t="s">
        <v>656</v>
      </c>
      <c r="B214" s="4" t="s">
        <v>657</v>
      </c>
      <c r="C214" s="17" t="n">
        <v>600</v>
      </c>
      <c r="D214" s="17" t="n">
        <v>400</v>
      </c>
      <c r="E214" s="17" t="n">
        <v>250</v>
      </c>
      <c r="F214" s="13" t="s">
        <v>658</v>
      </c>
      <c r="G214" s="4" t="s">
        <v>329</v>
      </c>
      <c r="H214" s="13" t="s">
        <v>92</v>
      </c>
      <c r="I214" s="18" t="n">
        <f aca="false">INDEX(C214:E214,$C$4)</f>
        <v>400</v>
      </c>
      <c r="J214" s="13" t="s">
        <v>87</v>
      </c>
    </row>
    <row r="215" customFormat="false" ht="15" hidden="false" customHeight="false" outlineLevel="0" collapsed="false">
      <c r="A215" s="3" t="s">
        <v>659</v>
      </c>
      <c r="B215" s="4" t="s">
        <v>660</v>
      </c>
      <c r="C215" s="17" t="n">
        <v>100000</v>
      </c>
      <c r="D215" s="17" t="n">
        <v>200000</v>
      </c>
      <c r="E215" s="17" t="n">
        <v>300000</v>
      </c>
      <c r="F215" s="13" t="s">
        <v>135</v>
      </c>
      <c r="G215" s="4" t="s">
        <v>329</v>
      </c>
      <c r="H215" s="13" t="s">
        <v>92</v>
      </c>
      <c r="I215" s="18" t="n">
        <f aca="false">INDEX(C215:E215,$C$4)</f>
        <v>200000</v>
      </c>
      <c r="J215" s="13" t="s">
        <v>96</v>
      </c>
    </row>
    <row r="216" customFormat="false" ht="15" hidden="false" customHeight="false" outlineLevel="0" collapsed="false">
      <c r="A216" s="3" t="s">
        <v>661</v>
      </c>
      <c r="B216" s="4" t="s">
        <v>662</v>
      </c>
      <c r="C216" s="19" t="n">
        <v>0.1</v>
      </c>
      <c r="D216" s="19" t="n">
        <v>0.08</v>
      </c>
      <c r="E216" s="19" t="n">
        <v>0.06</v>
      </c>
      <c r="F216" s="13" t="s">
        <v>99</v>
      </c>
      <c r="G216" s="4" t="s">
        <v>329</v>
      </c>
      <c r="H216" s="13" t="s">
        <v>92</v>
      </c>
      <c r="I216" s="20" t="n">
        <f aca="false">INDEX(C216:E216,$C$4)</f>
        <v>0.08</v>
      </c>
      <c r="J216" s="13" t="s">
        <v>87</v>
      </c>
    </row>
    <row r="217" customFormat="false" ht="15" hidden="false" customHeight="false" outlineLevel="0" collapsed="false">
      <c r="A217" s="3" t="s">
        <v>663</v>
      </c>
      <c r="B217" s="4" t="s">
        <v>664</v>
      </c>
      <c r="C217" s="15" t="n">
        <v>10</v>
      </c>
      <c r="D217" s="15" t="n">
        <v>40</v>
      </c>
      <c r="E217" s="15" t="n">
        <v>60</v>
      </c>
      <c r="F217" s="13" t="s">
        <v>665</v>
      </c>
      <c r="G217" s="4" t="s">
        <v>666</v>
      </c>
      <c r="H217" s="13" t="s">
        <v>92</v>
      </c>
      <c r="I217" s="16" t="n">
        <f aca="false">INDEX(C217:E217,$C$4)</f>
        <v>40</v>
      </c>
      <c r="J217" s="13" t="s">
        <v>96</v>
      </c>
    </row>
    <row r="218" customFormat="false" ht="15" hidden="false" customHeight="false" outlineLevel="0" collapsed="false">
      <c r="A218" s="3" t="s">
        <v>667</v>
      </c>
      <c r="B218" s="4" t="s">
        <v>668</v>
      </c>
      <c r="C218" s="15" t="n">
        <v>30</v>
      </c>
      <c r="D218" s="15" t="n">
        <v>120</v>
      </c>
      <c r="E218" s="15" t="n">
        <v>150</v>
      </c>
      <c r="F218" s="13" t="s">
        <v>665</v>
      </c>
      <c r="G218" s="4" t="s">
        <v>669</v>
      </c>
      <c r="H218" s="13" t="s">
        <v>92</v>
      </c>
      <c r="I218" s="16" t="n">
        <f aca="false">INDEX(C218:E218,$C$4)</f>
        <v>120</v>
      </c>
      <c r="J218" s="13" t="s">
        <v>96</v>
      </c>
    </row>
    <row r="219" customFormat="false" ht="15" hidden="false" customHeight="false" outlineLevel="0" collapsed="false">
      <c r="A219" s="3" t="s">
        <v>670</v>
      </c>
      <c r="B219" s="4" t="s">
        <v>671</v>
      </c>
      <c r="C219" s="17" t="n">
        <v>1500</v>
      </c>
      <c r="D219" s="17" t="n">
        <v>1750</v>
      </c>
      <c r="E219" s="17" t="n">
        <v>2000</v>
      </c>
      <c r="F219" s="13" t="s">
        <v>90</v>
      </c>
      <c r="G219" s="4" t="s">
        <v>669</v>
      </c>
      <c r="H219" s="13" t="s">
        <v>92</v>
      </c>
      <c r="I219" s="18" t="n">
        <f aca="false">INDEX(C219:E219,$C$4)</f>
        <v>1750</v>
      </c>
      <c r="J219" s="13" t="s">
        <v>87</v>
      </c>
    </row>
    <row r="220" customFormat="false" ht="15" hidden="false" customHeight="false" outlineLevel="0" collapsed="false">
      <c r="A220" s="3" t="s">
        <v>672</v>
      </c>
      <c r="B220" s="4" t="s">
        <v>673</v>
      </c>
      <c r="C220" s="17" t="n">
        <v>100000</v>
      </c>
      <c r="D220" s="17" t="n">
        <v>200000</v>
      </c>
      <c r="E220" s="17" t="n">
        <v>300000</v>
      </c>
      <c r="F220" s="13" t="s">
        <v>90</v>
      </c>
      <c r="G220" s="4" t="s">
        <v>674</v>
      </c>
      <c r="H220" s="13" t="s">
        <v>92</v>
      </c>
      <c r="I220" s="18" t="n">
        <f aca="false">INDEX(C220:E220,$C$4)</f>
        <v>200000</v>
      </c>
      <c r="J220" s="13" t="s">
        <v>96</v>
      </c>
    </row>
    <row r="221" customFormat="false" ht="15" hidden="false" customHeight="false" outlineLevel="0" collapsed="false">
      <c r="A221" s="3" t="s">
        <v>675</v>
      </c>
      <c r="B221" s="4" t="s">
        <v>676</v>
      </c>
      <c r="C221" s="17" t="n">
        <v>150000</v>
      </c>
      <c r="D221" s="17" t="n">
        <v>400000</v>
      </c>
      <c r="E221" s="17" t="n">
        <v>600000</v>
      </c>
      <c r="F221" s="13" t="s">
        <v>90</v>
      </c>
      <c r="G221" s="4" t="s">
        <v>677</v>
      </c>
      <c r="H221" s="13" t="s">
        <v>92</v>
      </c>
      <c r="I221" s="18" t="n">
        <f aca="false">INDEX(C221:E221,$C$4)</f>
        <v>400000</v>
      </c>
      <c r="J221" s="13" t="s">
        <v>96</v>
      </c>
    </row>
    <row r="222" customFormat="false" ht="28.35" hidden="false" customHeight="false" outlineLevel="0" collapsed="false">
      <c r="A222" s="3" t="s">
        <v>678</v>
      </c>
      <c r="B222" s="4" t="s">
        <v>679</v>
      </c>
      <c r="C222" s="15" t="n">
        <v>0</v>
      </c>
      <c r="D222" s="15" t="n">
        <v>0</v>
      </c>
      <c r="E222" s="15" t="n">
        <v>30</v>
      </c>
      <c r="F222" s="13" t="s">
        <v>353</v>
      </c>
      <c r="G222" s="4" t="s">
        <v>680</v>
      </c>
      <c r="H222" s="13" t="s">
        <v>92</v>
      </c>
      <c r="I222" s="16" t="n">
        <f aca="false">INDEX(C222:E222,$C$4)</f>
        <v>0</v>
      </c>
      <c r="J222" s="13" t="s">
        <v>96</v>
      </c>
    </row>
    <row r="223" customFormat="false" ht="15" hidden="false" customHeight="false" outlineLevel="0" collapsed="false">
      <c r="A223" s="3" t="s">
        <v>681</v>
      </c>
      <c r="B223" s="4" t="s">
        <v>682</v>
      </c>
      <c r="C223" s="19" t="n">
        <v>0.3</v>
      </c>
      <c r="D223" s="19" t="n">
        <v>0.25</v>
      </c>
      <c r="E223" s="19" t="n">
        <v>0.2</v>
      </c>
      <c r="F223" s="13" t="s">
        <v>99</v>
      </c>
      <c r="G223" s="4" t="s">
        <v>683</v>
      </c>
      <c r="H223" s="13" t="s">
        <v>92</v>
      </c>
      <c r="I223" s="20" t="n">
        <f aca="false">INDEX(C223:E223,$C$4)</f>
        <v>0.25</v>
      </c>
      <c r="J223" s="13" t="s">
        <v>87</v>
      </c>
    </row>
    <row r="224" customFormat="false" ht="15" hidden="false" customHeight="false" outlineLevel="0" collapsed="false">
      <c r="A224" s="3" t="s">
        <v>684</v>
      </c>
      <c r="B224" s="4" t="s">
        <v>685</v>
      </c>
      <c r="C224" s="17" t="n">
        <v>10000</v>
      </c>
      <c r="D224" s="17" t="n">
        <v>10000</v>
      </c>
      <c r="E224" s="17" t="n">
        <v>10000</v>
      </c>
      <c r="F224" s="13" t="s">
        <v>106</v>
      </c>
      <c r="G224" s="4" t="s">
        <v>686</v>
      </c>
      <c r="H224" s="13" t="s">
        <v>359</v>
      </c>
      <c r="I224" s="18" t="n">
        <f aca="false">INDEX(C224:E224,$C$4)</f>
        <v>10000</v>
      </c>
      <c r="J224" s="13" t="s">
        <v>87</v>
      </c>
    </row>
    <row r="225" customFormat="false" ht="15" hidden="false" customHeight="false" outlineLevel="0" collapsed="false">
      <c r="A225" s="3" t="s">
        <v>687</v>
      </c>
      <c r="B225" s="4" t="s">
        <v>688</v>
      </c>
      <c r="C225" s="17" t="n">
        <v>500000</v>
      </c>
      <c r="D225" s="17" t="n">
        <v>350000</v>
      </c>
      <c r="E225" s="17" t="n">
        <v>350000</v>
      </c>
      <c r="F225" s="13" t="s">
        <v>90</v>
      </c>
      <c r="G225" s="4" t="s">
        <v>689</v>
      </c>
      <c r="H225" s="13" t="s">
        <v>359</v>
      </c>
      <c r="I225" s="18" t="n">
        <f aca="false">INDEX(C225:E225,$C$4)</f>
        <v>350000</v>
      </c>
      <c r="J225" s="13" t="s">
        <v>87</v>
      </c>
    </row>
    <row r="226" customFormat="false" ht="15" hidden="false" customHeight="false" outlineLevel="0" collapsed="false">
      <c r="A226" s="3" t="s">
        <v>690</v>
      </c>
      <c r="B226" s="4" t="s">
        <v>691</v>
      </c>
      <c r="C226" s="19" t="n">
        <v>0.05</v>
      </c>
      <c r="D226" s="19" t="n">
        <v>0.06</v>
      </c>
      <c r="E226" s="19" t="n">
        <v>0.08</v>
      </c>
      <c r="F226" s="13" t="s">
        <v>99</v>
      </c>
      <c r="G226" s="4" t="s">
        <v>692</v>
      </c>
      <c r="H226" s="13" t="s">
        <v>92</v>
      </c>
      <c r="I226" s="20" t="n">
        <f aca="false">INDEX(C226:E226,$C$4)</f>
        <v>0.06</v>
      </c>
      <c r="J226" s="13" t="s">
        <v>87</v>
      </c>
    </row>
    <row r="227" customFormat="false" ht="15" hidden="false" customHeight="false" outlineLevel="0" collapsed="false">
      <c r="A227" s="3" t="s">
        <v>693</v>
      </c>
      <c r="B227" s="4" t="s">
        <v>694</v>
      </c>
      <c r="C227" s="19" t="n">
        <v>0.1</v>
      </c>
      <c r="D227" s="19" t="n">
        <v>0.08</v>
      </c>
      <c r="E227" s="19" t="n">
        <v>0.08</v>
      </c>
      <c r="F227" s="13" t="s">
        <v>99</v>
      </c>
      <c r="G227" s="4" t="s">
        <v>329</v>
      </c>
      <c r="H227" s="13" t="s">
        <v>92</v>
      </c>
      <c r="I227" s="20" t="n">
        <f aca="false">INDEX(C227:E227,$C$4)</f>
        <v>0.08</v>
      </c>
      <c r="J227" s="13" t="s">
        <v>87</v>
      </c>
    </row>
    <row r="228" customFormat="false" ht="15" hidden="false" customHeight="false" outlineLevel="0" collapsed="false">
      <c r="A228" s="3" t="s">
        <v>695</v>
      </c>
      <c r="B228" s="4" t="s">
        <v>696</v>
      </c>
      <c r="C228" s="19" t="n">
        <v>0.05</v>
      </c>
      <c r="D228" s="19" t="n">
        <v>0.05</v>
      </c>
      <c r="E228" s="19" t="n">
        <v>0.05</v>
      </c>
      <c r="F228" s="13" t="s">
        <v>99</v>
      </c>
      <c r="G228" s="4" t="s">
        <v>697</v>
      </c>
      <c r="H228" s="13" t="s">
        <v>92</v>
      </c>
      <c r="I228" s="20" t="n">
        <f aca="false">INDEX(C228:E228,$C$4)</f>
        <v>0.05</v>
      </c>
      <c r="J228" s="13" t="s">
        <v>87</v>
      </c>
    </row>
    <row r="229" customFormat="false" ht="15" hidden="false" customHeight="false" outlineLevel="0" collapsed="false">
      <c r="A229" s="3" t="s">
        <v>698</v>
      </c>
      <c r="B229" s="4" t="s">
        <v>699</v>
      </c>
      <c r="C229" s="23" t="n">
        <v>2.5</v>
      </c>
      <c r="D229" s="23" t="n">
        <v>3</v>
      </c>
      <c r="E229" s="23" t="n">
        <v>3</v>
      </c>
      <c r="F229" s="13" t="s">
        <v>350</v>
      </c>
      <c r="G229" s="4" t="s">
        <v>700</v>
      </c>
      <c r="H229" s="13" t="s">
        <v>92</v>
      </c>
      <c r="I229" s="24" t="n">
        <f aca="false">INDEX(C229:E229,$C$4)</f>
        <v>3</v>
      </c>
      <c r="J229" s="13" t="s">
        <v>96</v>
      </c>
    </row>
    <row r="230" customFormat="false" ht="15" hidden="false" customHeight="false" outlineLevel="0" collapsed="false">
      <c r="A230" s="3" t="s">
        <v>701</v>
      </c>
      <c r="B230" s="4" t="s">
        <v>702</v>
      </c>
      <c r="C230" s="23" t="n">
        <v>3</v>
      </c>
      <c r="D230" s="23" t="n">
        <v>3</v>
      </c>
      <c r="E230" s="23" t="n">
        <v>3</v>
      </c>
      <c r="F230" s="13" t="s">
        <v>350</v>
      </c>
      <c r="G230" s="4"/>
      <c r="H230" s="13" t="s">
        <v>92</v>
      </c>
      <c r="I230" s="24" t="n">
        <f aca="false">INDEX(C230:E230,$C$4)</f>
        <v>3</v>
      </c>
      <c r="J230" s="13" t="s">
        <v>96</v>
      </c>
    </row>
    <row r="231" customFormat="false" ht="15" hidden="false" customHeight="false" outlineLevel="0" collapsed="false">
      <c r="A231" s="3" t="s">
        <v>703</v>
      </c>
      <c r="B231" s="4" t="s">
        <v>704</v>
      </c>
      <c r="C231" s="15" t="n">
        <v>8</v>
      </c>
      <c r="D231" s="15" t="n">
        <v>12</v>
      </c>
      <c r="E231" s="15" t="n">
        <v>16</v>
      </c>
      <c r="F231" s="13" t="s">
        <v>528</v>
      </c>
      <c r="G231" s="4"/>
      <c r="H231" s="13" t="s">
        <v>92</v>
      </c>
      <c r="I231" s="16" t="n">
        <f aca="false">INDEX(C231:E231,$C$4)</f>
        <v>12</v>
      </c>
      <c r="J231" s="13" t="s">
        <v>96</v>
      </c>
    </row>
    <row r="232" customFormat="false" ht="15" hidden="false" customHeight="false" outlineLevel="0" collapsed="false">
      <c r="A232" s="3" t="s">
        <v>705</v>
      </c>
      <c r="B232" s="4" t="s">
        <v>706</v>
      </c>
      <c r="C232" s="15" t="n">
        <v>10</v>
      </c>
      <c r="D232" s="15" t="n">
        <v>14</v>
      </c>
      <c r="E232" s="15" t="n">
        <v>18</v>
      </c>
      <c r="F232" s="13" t="s">
        <v>528</v>
      </c>
      <c r="G232" s="4"/>
      <c r="H232" s="13" t="s">
        <v>92</v>
      </c>
      <c r="I232" s="16" t="n">
        <f aca="false">INDEX(C232:E232,$C$4)</f>
        <v>14</v>
      </c>
      <c r="J232" s="13" t="s">
        <v>96</v>
      </c>
    </row>
    <row r="233" customFormat="false" ht="15" hidden="false" customHeight="false" outlineLevel="0" collapsed="false">
      <c r="A233" s="3" t="s">
        <v>707</v>
      </c>
      <c r="B233" s="4" t="s">
        <v>708</v>
      </c>
      <c r="C233" s="23" t="n">
        <v>1</v>
      </c>
      <c r="D233" s="23" t="n">
        <v>1.5</v>
      </c>
      <c r="E233" s="23" t="n">
        <v>2</v>
      </c>
      <c r="F233" s="13" t="s">
        <v>501</v>
      </c>
      <c r="G233" s="4" t="s">
        <v>709</v>
      </c>
      <c r="H233" s="13" t="s">
        <v>92</v>
      </c>
      <c r="I233" s="24" t="n">
        <f aca="false">INDEX(C233:E233,$C$4)</f>
        <v>1.5</v>
      </c>
      <c r="J233" s="13" t="s">
        <v>96</v>
      </c>
    </row>
    <row r="234" customFormat="false" ht="15" hidden="false" customHeight="false" outlineLevel="0" collapsed="false">
      <c r="A234" s="3" t="s">
        <v>710</v>
      </c>
      <c r="B234" s="4" t="s">
        <v>711</v>
      </c>
      <c r="C234" s="23" t="n">
        <v>1</v>
      </c>
      <c r="D234" s="23" t="n">
        <v>2</v>
      </c>
      <c r="E234" s="23" t="n">
        <v>2.5</v>
      </c>
      <c r="F234" s="13" t="s">
        <v>501</v>
      </c>
      <c r="G234" s="4"/>
      <c r="H234" s="13" t="s">
        <v>92</v>
      </c>
      <c r="I234" s="24" t="n">
        <f aca="false">INDEX(C234:E234,$C$4)</f>
        <v>2</v>
      </c>
      <c r="J234" s="13" t="s">
        <v>96</v>
      </c>
    </row>
    <row r="235" customFormat="false" ht="15" hidden="false" customHeight="false" outlineLevel="0" collapsed="false">
      <c r="A235" s="3" t="s">
        <v>712</v>
      </c>
      <c r="B235" s="4" t="s">
        <v>713</v>
      </c>
      <c r="C235" s="23" t="n">
        <v>0</v>
      </c>
      <c r="D235" s="23" t="n">
        <v>1</v>
      </c>
      <c r="E235" s="23" t="n">
        <v>1</v>
      </c>
      <c r="F235" s="13" t="s">
        <v>501</v>
      </c>
      <c r="G235" s="4" t="s">
        <v>714</v>
      </c>
      <c r="H235" s="13" t="s">
        <v>92</v>
      </c>
      <c r="I235" s="24" t="n">
        <f aca="false">INDEX(C235:E235,$C$4)</f>
        <v>1</v>
      </c>
      <c r="J235" s="13" t="s">
        <v>96</v>
      </c>
    </row>
    <row r="236" customFormat="false" ht="28.35" hidden="false" customHeight="false" outlineLevel="0" collapsed="false">
      <c r="A236" s="3" t="s">
        <v>715</v>
      </c>
      <c r="B236" s="4" t="s">
        <v>716</v>
      </c>
      <c r="C236" s="23" t="n">
        <v>0.5</v>
      </c>
      <c r="D236" s="23" t="n">
        <v>1</v>
      </c>
      <c r="E236" s="23" t="n">
        <v>1</v>
      </c>
      <c r="F236" s="13" t="s">
        <v>501</v>
      </c>
      <c r="G236" s="4"/>
      <c r="H236" s="13" t="s">
        <v>92</v>
      </c>
      <c r="I236" s="24" t="n">
        <f aca="false">INDEX(C236:E236,$C$4)</f>
        <v>1</v>
      </c>
      <c r="J236" s="13" t="s">
        <v>96</v>
      </c>
    </row>
    <row r="237" customFormat="false" ht="28.35" hidden="false" customHeight="false" outlineLevel="0" collapsed="false">
      <c r="A237" s="3" t="s">
        <v>717</v>
      </c>
      <c r="B237" s="4" t="s">
        <v>718</v>
      </c>
      <c r="C237" s="17" t="n">
        <v>300000</v>
      </c>
      <c r="D237" s="17" t="n">
        <v>1200000</v>
      </c>
      <c r="E237" s="17" t="n">
        <v>2400000</v>
      </c>
      <c r="F237" s="13" t="s">
        <v>135</v>
      </c>
      <c r="G237" s="4" t="s">
        <v>719</v>
      </c>
      <c r="H237" s="13" t="s">
        <v>359</v>
      </c>
      <c r="I237" s="18" t="n">
        <f aca="false">INDEX(C237:E237,$C$4)</f>
        <v>1200000</v>
      </c>
      <c r="J237" s="13" t="s">
        <v>96</v>
      </c>
    </row>
    <row r="238" customFormat="false" ht="15" hidden="false" customHeight="false" outlineLevel="0" collapsed="false">
      <c r="A238" s="3" t="s">
        <v>720</v>
      </c>
      <c r="B238" s="4" t="s">
        <v>721</v>
      </c>
      <c r="C238" s="17" t="n">
        <v>300000</v>
      </c>
      <c r="D238" s="17" t="n">
        <v>1300000</v>
      </c>
      <c r="E238" s="17" t="n">
        <v>2600000</v>
      </c>
      <c r="F238" s="13" t="s">
        <v>135</v>
      </c>
      <c r="G238" s="4" t="s">
        <v>722</v>
      </c>
      <c r="H238" s="13" t="s">
        <v>359</v>
      </c>
      <c r="I238" s="18" t="n">
        <f aca="false">INDEX(C238:E238,$C$4)</f>
        <v>1300000</v>
      </c>
      <c r="J238" s="13" t="s">
        <v>96</v>
      </c>
    </row>
    <row r="239" customFormat="false" ht="28.35" hidden="false" customHeight="false" outlineLevel="0" collapsed="false">
      <c r="A239" s="3" t="s">
        <v>723</v>
      </c>
      <c r="B239" s="4" t="s">
        <v>724</v>
      </c>
      <c r="C239" s="17" t="n">
        <v>15000</v>
      </c>
      <c r="D239" s="17" t="n">
        <v>12500</v>
      </c>
      <c r="E239" s="17" t="n">
        <v>10000</v>
      </c>
      <c r="F239" s="13" t="s">
        <v>106</v>
      </c>
      <c r="G239" s="4" t="s">
        <v>725</v>
      </c>
      <c r="H239" s="13" t="s">
        <v>92</v>
      </c>
      <c r="I239" s="18" t="n">
        <f aca="false">INDEX(C239:E239,$C$4)</f>
        <v>12500</v>
      </c>
      <c r="J239" s="13" t="s">
        <v>87</v>
      </c>
    </row>
    <row r="240" customFormat="false" ht="28.35" hidden="false" customHeight="false" outlineLevel="0" collapsed="false">
      <c r="A240" s="3" t="s">
        <v>726</v>
      </c>
      <c r="B240" s="4" t="s">
        <v>727</v>
      </c>
      <c r="C240" s="17" t="n">
        <v>2500</v>
      </c>
      <c r="D240" s="17" t="n">
        <v>2000</v>
      </c>
      <c r="E240" s="17" t="n">
        <v>1500</v>
      </c>
      <c r="F240" s="13" t="s">
        <v>106</v>
      </c>
      <c r="G240" s="4" t="s">
        <v>728</v>
      </c>
      <c r="H240" s="13" t="s">
        <v>359</v>
      </c>
      <c r="I240" s="18" t="n">
        <f aca="false">INDEX(C240:E240,$C$4)</f>
        <v>2000</v>
      </c>
      <c r="J240" s="13" t="s">
        <v>87</v>
      </c>
    </row>
    <row r="241" customFormat="false" ht="28.35" hidden="false" customHeight="false" outlineLevel="0" collapsed="false">
      <c r="A241" s="3" t="s">
        <v>729</v>
      </c>
      <c r="B241" s="4" t="s">
        <v>730</v>
      </c>
      <c r="C241" s="17" t="n">
        <v>300000</v>
      </c>
      <c r="D241" s="17" t="n">
        <v>300000</v>
      </c>
      <c r="E241" s="17" t="n">
        <v>500000</v>
      </c>
      <c r="F241" s="13" t="s">
        <v>90</v>
      </c>
      <c r="G241" s="4" t="s">
        <v>615</v>
      </c>
      <c r="H241" s="13" t="s">
        <v>359</v>
      </c>
      <c r="I241" s="18" t="n">
        <f aca="false">INDEX(C241:E241,$C$4)</f>
        <v>300000</v>
      </c>
      <c r="J241" s="13" t="s">
        <v>96</v>
      </c>
    </row>
    <row r="242" customFormat="false" ht="15" hidden="false" customHeight="false" outlineLevel="0" collapsed="false">
      <c r="A242" s="3" t="s">
        <v>731</v>
      </c>
      <c r="B242" s="4" t="s">
        <v>732</v>
      </c>
      <c r="C242" s="17" t="n">
        <v>200000</v>
      </c>
      <c r="D242" s="17" t="n">
        <v>300000</v>
      </c>
      <c r="E242" s="17" t="n">
        <v>400000</v>
      </c>
      <c r="F242" s="13" t="s">
        <v>90</v>
      </c>
      <c r="G242" s="4" t="s">
        <v>615</v>
      </c>
      <c r="H242" s="13" t="s">
        <v>359</v>
      </c>
      <c r="I242" s="18" t="n">
        <f aca="false">INDEX(C242:E242,$C$4)</f>
        <v>300000</v>
      </c>
      <c r="J242" s="13" t="s">
        <v>96</v>
      </c>
    </row>
    <row r="243" customFormat="false" ht="28.35" hidden="false" customHeight="false" outlineLevel="0" collapsed="false">
      <c r="A243" s="3" t="s">
        <v>733</v>
      </c>
      <c r="B243" s="4" t="s">
        <v>734</v>
      </c>
      <c r="C243" s="17" t="n">
        <v>600</v>
      </c>
      <c r="D243" s="17" t="n">
        <v>960</v>
      </c>
      <c r="E243" s="17" t="n">
        <v>1400</v>
      </c>
      <c r="F243" s="13" t="s">
        <v>106</v>
      </c>
      <c r="G243" s="4" t="s">
        <v>735</v>
      </c>
      <c r="H243" s="13" t="s">
        <v>92</v>
      </c>
      <c r="I243" s="18" t="n">
        <f aca="false">INDEX(C243:E243,$C$4)</f>
        <v>960</v>
      </c>
      <c r="J243" s="13" t="s">
        <v>87</v>
      </c>
    </row>
  </sheetData>
  <dataValidations count="1">
    <dataValidation allowBlank="false" errorStyle="stop" operator="between" showDropDown="false" showErrorMessage="false" showInputMessage="false" sqref="C3" type="list">
      <formula1>"Conservative,Base,Aggressive"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4" min="2" style="0" width="13"/>
    <col collapsed="false" customWidth="true" hidden="false" outlineLevel="0" max="7" min="5" style="0" width="16"/>
    <col collapsed="false" customWidth="true" hidden="false" outlineLevel="0" max="9" min="8" style="0" width="13"/>
    <col collapsed="false" customWidth="true" hidden="false" outlineLevel="0" max="10" min="10" style="0" width="50"/>
  </cols>
  <sheetData>
    <row r="1" customFormat="false" ht="17.35" hidden="false" customHeight="false" outlineLevel="0" collapsed="false">
      <c r="A1" s="1" t="s">
        <v>736</v>
      </c>
    </row>
    <row r="2" customFormat="false" ht="15" hidden="false" customHeight="false" outlineLevel="0" collapsed="false">
      <c r="A2" s="2" t="s">
        <v>737</v>
      </c>
    </row>
    <row r="4" customFormat="false" ht="41.75" hidden="false" customHeight="false" outlineLevel="0" collapsed="false">
      <c r="A4" s="5" t="s">
        <v>53</v>
      </c>
      <c r="B4" s="5" t="s">
        <v>738</v>
      </c>
      <c r="C4" s="5" t="s">
        <v>739</v>
      </c>
      <c r="D4" s="5" t="s">
        <v>740</v>
      </c>
      <c r="E4" s="5" t="s">
        <v>741</v>
      </c>
      <c r="F4" s="5" t="s">
        <v>742</v>
      </c>
      <c r="G4" s="5" t="s">
        <v>743</v>
      </c>
      <c r="H4" s="5" t="s">
        <v>744</v>
      </c>
      <c r="I4" s="5" t="s">
        <v>745</v>
      </c>
      <c r="J4" s="5" t="s">
        <v>746</v>
      </c>
    </row>
    <row r="5" customFormat="false" ht="15" hidden="false" customHeight="false" outlineLevel="0" collapsed="false">
      <c r="A5" s="28" t="s">
        <v>747</v>
      </c>
      <c r="B5" s="27" t="n">
        <f aca="false">0.1</f>
        <v>0.1</v>
      </c>
      <c r="C5" s="27" t="n">
        <f aca="false">0.1</f>
        <v>0.1</v>
      </c>
      <c r="D5" s="27" t="n">
        <f aca="false">1</f>
        <v>1</v>
      </c>
      <c r="E5" s="27" t="n">
        <f aca="false">Assumptions!$I$103</f>
        <v>3</v>
      </c>
      <c r="F5" s="27" t="n">
        <f aca="false">Assumptions!$I$103</f>
        <v>3</v>
      </c>
      <c r="G5" s="27" t="n">
        <f aca="false">Assumptions!$I$104</f>
        <v>2.5</v>
      </c>
      <c r="H5" s="27" t="n">
        <f aca="false">0.07</f>
        <v>0.07</v>
      </c>
      <c r="I5" s="27" t="n">
        <f aca="false">0</f>
        <v>0</v>
      </c>
    </row>
    <row r="6" customFormat="false" ht="15" hidden="false" customHeight="false" outlineLevel="0" collapsed="false">
      <c r="A6" s="28" t="s">
        <v>748</v>
      </c>
      <c r="B6" s="8" t="n">
        <f aca="false">3</f>
        <v>3</v>
      </c>
      <c r="C6" s="8" t="n">
        <f aca="false">6</f>
        <v>6</v>
      </c>
      <c r="D6" s="8" t="n">
        <f aca="false">80</f>
        <v>80</v>
      </c>
      <c r="E6" s="8" t="n">
        <f aca="false">290</f>
        <v>290</v>
      </c>
      <c r="F6" s="8" t="n">
        <f aca="false">290</f>
        <v>290</v>
      </c>
      <c r="G6" s="8" t="n">
        <f aca="false">250</f>
        <v>250</v>
      </c>
      <c r="H6" s="8" t="n">
        <f aca="false">12</f>
        <v>12</v>
      </c>
      <c r="I6" s="8" t="n">
        <f aca="false">24</f>
        <v>24</v>
      </c>
    </row>
    <row r="7" customFormat="false" ht="15" hidden="false" customHeight="false" outlineLevel="0" collapsed="false">
      <c r="A7" s="28" t="s">
        <v>749</v>
      </c>
      <c r="B7" s="8" t="n">
        <f aca="false">12</f>
        <v>12</v>
      </c>
      <c r="C7" s="8" t="n">
        <f aca="false">12</f>
        <v>12</v>
      </c>
      <c r="D7" s="8" t="n">
        <f aca="false">12</f>
        <v>12</v>
      </c>
      <c r="E7" s="8" t="n">
        <f aca="false">12</f>
        <v>12</v>
      </c>
      <c r="F7" s="8" t="n">
        <f aca="false">12</f>
        <v>12</v>
      </c>
      <c r="G7" s="8" t="n">
        <f aca="false">12</f>
        <v>12</v>
      </c>
      <c r="H7" s="8" t="n">
        <f aca="false">14</f>
        <v>14</v>
      </c>
      <c r="I7" s="8" t="n">
        <f aca="false">0</f>
        <v>0</v>
      </c>
    </row>
    <row r="8" customFormat="false" ht="15" hidden="false" customHeight="false" outlineLevel="0" collapsed="false">
      <c r="A8" s="28" t="s">
        <v>750</v>
      </c>
      <c r="B8" s="6" t="n">
        <f aca="false">Assumptions!$I$102</f>
        <v>10</v>
      </c>
      <c r="C8" s="6" t="n">
        <f aca="false">Assumptions!$I$102</f>
        <v>10</v>
      </c>
      <c r="D8" s="6" t="n">
        <f aca="false">Assumptions!$I$102</f>
        <v>10</v>
      </c>
      <c r="E8" s="6" t="n">
        <f aca="false">Assumptions!$I$102</f>
        <v>10</v>
      </c>
      <c r="F8" s="6" t="n">
        <f aca="false">Assumptions!$I$102</f>
        <v>10</v>
      </c>
      <c r="G8" s="6" t="n">
        <f aca="false">Assumptions!$I$102</f>
        <v>10</v>
      </c>
      <c r="H8" s="6" t="n">
        <f aca="false">14*Assumptions!$I$193</f>
        <v>11.9</v>
      </c>
      <c r="I8" s="6" t="n">
        <f aca="false">0</f>
        <v>0</v>
      </c>
    </row>
    <row r="9" customFormat="false" ht="15" hidden="false" customHeight="false" outlineLevel="0" collapsed="false">
      <c r="A9" s="28" t="s">
        <v>751</v>
      </c>
      <c r="B9" s="9" t="n">
        <f aca="false">Assumptions!$I$17</f>
        <v>999</v>
      </c>
      <c r="C9" s="9" t="n">
        <f aca="false">Assumptions!$I$22</f>
        <v>4999</v>
      </c>
      <c r="D9" s="9" t="n">
        <f aca="false">Assumptions!$I$18</f>
        <v>39900</v>
      </c>
      <c r="E9" s="9" t="n">
        <f aca="false">Assumptions!$I$10</f>
        <v>60000</v>
      </c>
      <c r="F9" s="9" t="n">
        <f aca="false">Assumptions!$I$20</f>
        <v>80000</v>
      </c>
      <c r="G9" s="9" t="n">
        <f aca="false">Assumptions!$I$20</f>
        <v>80000</v>
      </c>
      <c r="H9" s="9" t="n">
        <f aca="false">Assumptions!$I$21</f>
        <v>10000</v>
      </c>
      <c r="I9" s="9" t="n">
        <f aca="false">Assumptions!$I$23</f>
        <v>9999</v>
      </c>
    </row>
    <row r="10" customFormat="false" ht="15" hidden="false" customHeight="false" outlineLevel="0" collapsed="false">
      <c r="A10" s="28" t="s">
        <v>752</v>
      </c>
      <c r="B10" s="9" t="n">
        <f aca="false">B9/(1+Assumptions!$I$15*Assumptions!$I$16)</f>
        <v>846.610169491525</v>
      </c>
      <c r="C10" s="9" t="n">
        <f aca="false">C9/(1+Assumptions!$I$15*Assumptions!$I$16)</f>
        <v>4236.4406779661</v>
      </c>
      <c r="D10" s="9" t="n">
        <f aca="false">D9/(1+Assumptions!$I$15*Assumptions!$I$16)</f>
        <v>33813.5593220339</v>
      </c>
      <c r="E10" s="9" t="n">
        <f aca="false">E9/(1+Assumptions!$I$15*Assumptions!$I$16)</f>
        <v>50847.4576271186</v>
      </c>
      <c r="F10" s="9" t="n">
        <f aca="false">F9/(1+Assumptions!$I$15*Assumptions!$I$16)</f>
        <v>67796.6101694915</v>
      </c>
      <c r="G10" s="9" t="n">
        <f aca="false">G9/(1+Assumptions!$I$15*Assumptions!$I$16)</f>
        <v>67796.6101694915</v>
      </c>
      <c r="H10" s="9" t="n">
        <f aca="false">H9/(1+Assumptions!$I$15*Assumptions!$I$16)</f>
        <v>8474.57627118644</v>
      </c>
      <c r="I10" s="9" t="n">
        <f aca="false">I9/(1+Assumptions!$I$15*Assumptions!$I$16)</f>
        <v>8473.72881355932</v>
      </c>
    </row>
    <row r="11" customFormat="false" ht="15" hidden="false" customHeight="false" outlineLevel="0" collapsed="false">
      <c r="A11" s="28" t="s">
        <v>753</v>
      </c>
      <c r="B11" s="9" t="n">
        <f aca="false">0</f>
        <v>0</v>
      </c>
      <c r="C11" s="9" t="n">
        <f aca="false">0</f>
        <v>0</v>
      </c>
      <c r="D11" s="9" t="n">
        <f aca="false">0</f>
        <v>0</v>
      </c>
      <c r="E11" s="9" t="n">
        <f aca="false">Assumptions!$I$14</f>
        <v>12000</v>
      </c>
      <c r="F11" s="9" t="n">
        <f aca="false">0</f>
        <v>0</v>
      </c>
      <c r="G11" s="9" t="n">
        <f aca="false">0</f>
        <v>0</v>
      </c>
      <c r="H11" s="9" t="n">
        <f aca="false">0</f>
        <v>0</v>
      </c>
      <c r="I11" s="9" t="n">
        <f aca="false">0</f>
        <v>0</v>
      </c>
    </row>
    <row r="12" customFormat="false" ht="15" hidden="false" customHeight="false" outlineLevel="0" collapsed="false">
      <c r="A12" s="28" t="s">
        <v>754</v>
      </c>
      <c r="B12" s="9" t="n">
        <f aca="false">Assumptions!$I$96</f>
        <v>250</v>
      </c>
      <c r="C12" s="9" t="n">
        <f aca="false">Assumptions!$I$95</f>
        <v>400</v>
      </c>
      <c r="D12" s="9" t="n">
        <f aca="false">Assumptions!$I$92</f>
        <v>2000</v>
      </c>
      <c r="E12" s="9" t="n">
        <f aca="false">Assumptions!$I$91</f>
        <v>6000</v>
      </c>
      <c r="F12" s="9" t="n">
        <f aca="false">Assumptions!$I$91</f>
        <v>6000</v>
      </c>
      <c r="G12" s="9" t="n">
        <f aca="false">Assumptions!$I$93</f>
        <v>7500</v>
      </c>
      <c r="H12" s="9" t="n">
        <f aca="false">Assumptions!$I$94</f>
        <v>1000</v>
      </c>
      <c r="I12" s="9" t="n">
        <f aca="false">Assumptions!$I$97</f>
        <v>2000</v>
      </c>
    </row>
    <row r="13" customFormat="false" ht="15" hidden="false" customHeight="false" outlineLevel="0" collapsed="false">
      <c r="A13" s="28" t="s">
        <v>755</v>
      </c>
      <c r="B13" s="9" t="n">
        <f aca="false">0</f>
        <v>0</v>
      </c>
      <c r="C13" s="9" t="n">
        <f aca="false">0</f>
        <v>0</v>
      </c>
      <c r="D13" s="9" t="n">
        <f aca="false">(Assumptions!$I$99+Assumptions!$I$100)/Assumptions!$I$101*D5</f>
        <v>28000</v>
      </c>
      <c r="E13" s="9" t="n">
        <f aca="false">(Assumptions!$I$99+Assumptions!$I$100)/Assumptions!$I$101*E5</f>
        <v>84000</v>
      </c>
      <c r="F13" s="9" t="n">
        <f aca="false">(Assumptions!$I$99+Assumptions!$I$100)/Assumptions!$I$101*F5</f>
        <v>84000</v>
      </c>
      <c r="G13" s="9" t="n">
        <f aca="false">(Assumptions!$I$99+Assumptions!$I$100)/Assumptions!$I$101*G5</f>
        <v>70000</v>
      </c>
      <c r="H13" s="9" t="n">
        <f aca="false">0</f>
        <v>0</v>
      </c>
      <c r="I13" s="9" t="n">
        <f aca="false">0</f>
        <v>0</v>
      </c>
    </row>
    <row r="14" customFormat="false" ht="15" hidden="false" customHeight="false" outlineLevel="0" collapsed="false">
      <c r="A14" s="28" t="s">
        <v>756</v>
      </c>
      <c r="B14" s="9" t="n">
        <f aca="false">IFERROR(B13/B8,0)</f>
        <v>0</v>
      </c>
      <c r="C14" s="9" t="n">
        <f aca="false">IFERROR(C13/C8,0)</f>
        <v>0</v>
      </c>
      <c r="D14" s="9" t="n">
        <f aca="false">IFERROR(D13/D8,0)</f>
        <v>2800</v>
      </c>
      <c r="E14" s="9" t="n">
        <f aca="false">IFERROR(E13/E8,0)</f>
        <v>8400</v>
      </c>
      <c r="F14" s="9" t="n">
        <f aca="false">IFERROR(F13/F8,0)</f>
        <v>8400</v>
      </c>
      <c r="G14" s="9" t="n">
        <f aca="false">IFERROR(G13/G8,0)</f>
        <v>7000</v>
      </c>
      <c r="H14" s="9" t="n">
        <f aca="false">IFERROR(H13/H8,0)</f>
        <v>0</v>
      </c>
      <c r="I14" s="9" t="n">
        <f aca="false">IFERROR(I13/I8,0)</f>
        <v>0</v>
      </c>
    </row>
    <row r="15" customFormat="false" ht="15" hidden="false" customHeight="false" outlineLevel="0" collapsed="false">
      <c r="A15" s="28" t="s">
        <v>757</v>
      </c>
      <c r="B15" s="9" t="n">
        <f aca="false">B9*Assumptions!$I$76</f>
        <v>19.98</v>
      </c>
      <c r="C15" s="9" t="n">
        <f aca="false">C9*Assumptions!$I$76</f>
        <v>99.98</v>
      </c>
      <c r="D15" s="9" t="n">
        <f aca="false">D9*Assumptions!$I$76</f>
        <v>798</v>
      </c>
      <c r="E15" s="9" t="n">
        <f aca="false">E9*(Assumptions!$I$76+Assumptions!$I$70*Assumptions!$I$71)</f>
        <v>2250</v>
      </c>
      <c r="F15" s="9" t="n">
        <f aca="false">F9*(Assumptions!$I$76+Assumptions!$I$70*Assumptions!$I$71)</f>
        <v>3000</v>
      </c>
      <c r="G15" s="9" t="n">
        <f aca="false">G9*(Assumptions!$I$76+Assumptions!$I$70*Assumptions!$I$71)</f>
        <v>3000</v>
      </c>
      <c r="H15" s="9" t="n">
        <f aca="false">H9*Assumptions!$I$76</f>
        <v>200</v>
      </c>
      <c r="I15" s="9" t="n">
        <f aca="false">I9*Assumptions!$I$76</f>
        <v>199.98</v>
      </c>
    </row>
    <row r="16" customFormat="false" ht="15" hidden="false" customHeight="false" outlineLevel="0" collapsed="false">
      <c r="A16" s="3" t="s">
        <v>758</v>
      </c>
      <c r="B16" s="29" t="n">
        <f aca="false">B10-B11-B12-B14-B15</f>
        <v>576.630169491525</v>
      </c>
      <c r="C16" s="29" t="n">
        <f aca="false">C10-C11-C12-C14-C15</f>
        <v>3736.4606779661</v>
      </c>
      <c r="D16" s="29" t="n">
        <f aca="false">D10-D11-D12-D14-D15</f>
        <v>28215.5593220339</v>
      </c>
      <c r="E16" s="29" t="n">
        <f aca="false">E10-E11-E12-E14-E15</f>
        <v>22197.4576271186</v>
      </c>
      <c r="F16" s="29" t="n">
        <f aca="false">F10-F11-F12-F14-F15</f>
        <v>50396.6101694915</v>
      </c>
      <c r="G16" s="29" t="n">
        <f aca="false">G10-G11-G12-G14-G15</f>
        <v>50296.6101694915</v>
      </c>
      <c r="H16" s="29" t="n">
        <f aca="false">H10-H11-H12-H14-H15</f>
        <v>7274.57627118644</v>
      </c>
      <c r="I16" s="29" t="n">
        <f aca="false">I10-I11-I12-I14-I15</f>
        <v>6273.74881355932</v>
      </c>
    </row>
    <row r="17" customFormat="false" ht="15" hidden="false" customHeight="false" outlineLevel="0" collapsed="false">
      <c r="A17" s="28" t="s">
        <v>759</v>
      </c>
      <c r="B17" s="7" t="n">
        <f aca="false">IFERROR(B16/B10,0)</f>
        <v>0.681104704704705</v>
      </c>
      <c r="C17" s="7" t="n">
        <f aca="false">IFERROR(C16/C10,0)</f>
        <v>0.881981116223245</v>
      </c>
      <c r="D17" s="7" t="n">
        <f aca="false">IFERROR(D16/D10,0)</f>
        <v>0.834445112781955</v>
      </c>
      <c r="E17" s="7" t="n">
        <f aca="false">IFERROR(E16/E10,0)</f>
        <v>0.43655</v>
      </c>
      <c r="F17" s="7" t="n">
        <f aca="false">IFERROR(F16/F10,0)</f>
        <v>0.74335</v>
      </c>
      <c r="G17" s="7" t="n">
        <f aca="false">IFERROR(G16/G10,0)</f>
        <v>0.741875</v>
      </c>
      <c r="H17" s="7" t="n">
        <f aca="false">IFERROR(H16/H10,0)</f>
        <v>0.8584</v>
      </c>
      <c r="I17" s="7" t="n">
        <f aca="false">IFERROR(I16/I10,0)</f>
        <v>0.740376397639764</v>
      </c>
    </row>
    <row r="18" customFormat="false" ht="15" hidden="false" customHeight="false" outlineLevel="0" collapsed="false">
      <c r="A18" s="28" t="s">
        <v>760</v>
      </c>
      <c r="B18" s="9" t="n">
        <f aca="false">Assumptions!$I$35</f>
        <v>400</v>
      </c>
      <c r="C18" s="9" t="n">
        <f aca="false">Assumptions!$I$118</f>
        <v>706</v>
      </c>
      <c r="D18" s="9" t="n">
        <f aca="false">Assumptions!$I$115*Assumptions!$I$120*(Assumptions!$I$27+Assumptions!$I$28+Assumptions!$I$31)+Assumptions!$I$198*Assumptions!$I$69</f>
        <v>7600</v>
      </c>
      <c r="E18" s="9" t="n">
        <f aca="false">Assumptions!$I$115*Assumptions!$I$120*(Assumptions!$I$27+Assumptions!$I$28+Assumptions!$I$31)+Assumptions!$I$198*Assumptions!$I$69</f>
        <v>7600</v>
      </c>
      <c r="F18" s="9" t="n">
        <f aca="false">Assumptions!$I$115*Assumptions!$I$120*(Assumptions!$I$27+Assumptions!$I$28+Assumptions!$I$31)+Assumptions!$I$198*Assumptions!$I$69</f>
        <v>7600</v>
      </c>
      <c r="G18" s="9" t="n">
        <f aca="false">Assumptions!$I$115*Assumptions!$I$120*(Assumptions!$I$27+Assumptions!$I$28+Assumptions!$I$31)+Assumptions!$I$198*Assumptions!$I$69</f>
        <v>7600</v>
      </c>
      <c r="H18" s="9" t="n">
        <f aca="false">Assumptions!$I$117</f>
        <v>300</v>
      </c>
      <c r="I18" s="9" t="n">
        <f aca="false">0</f>
        <v>0</v>
      </c>
    </row>
    <row r="19" customFormat="false" ht="15" hidden="false" customHeight="false" outlineLevel="0" collapsed="false">
      <c r="A19" s="3" t="s">
        <v>761</v>
      </c>
      <c r="B19" s="29" t="n">
        <f aca="false">B16-B18</f>
        <v>176.630169491525</v>
      </c>
      <c r="C19" s="29" t="n">
        <f aca="false">C16-C18</f>
        <v>3030.4606779661</v>
      </c>
      <c r="D19" s="29" t="n">
        <f aca="false">D16-D18</f>
        <v>20615.5593220339</v>
      </c>
      <c r="E19" s="29" t="n">
        <f aca="false">E16-E18</f>
        <v>14597.4576271186</v>
      </c>
      <c r="F19" s="29" t="n">
        <f aca="false">F16-F18</f>
        <v>42796.6101694915</v>
      </c>
      <c r="G19" s="29" t="n">
        <f aca="false">G16-G18</f>
        <v>42696.6101694915</v>
      </c>
      <c r="H19" s="29" t="n">
        <f aca="false">H16-H18</f>
        <v>6974.57627118644</v>
      </c>
      <c r="I19" s="29" t="n">
        <f aca="false">I16-I18</f>
        <v>6273.74881355932</v>
      </c>
    </row>
    <row r="20" customFormat="false" ht="15" hidden="false" customHeight="false" outlineLevel="0" collapsed="false">
      <c r="A20" s="28" t="s">
        <v>762</v>
      </c>
      <c r="B20" s="9" t="n">
        <f aca="false">(Assumptions!$I$179+Assumptions!$I$180)/(Assumptions!$I$171*Assumptions!$I$172)*B5</f>
        <v>281.25</v>
      </c>
      <c r="C20" s="9" t="n">
        <f aca="false">(Assumptions!$I$179+Assumptions!$I$180)/(Assumptions!$I$171*Assumptions!$I$172)*C5</f>
        <v>281.25</v>
      </c>
      <c r="D20" s="9" t="n">
        <f aca="false">(Assumptions!$I$179+Assumptions!$I$180)/(Assumptions!$I$171*Assumptions!$I$172)*D5</f>
        <v>2812.5</v>
      </c>
      <c r="E20" s="9" t="n">
        <f aca="false">(Assumptions!$I$179+Assumptions!$I$180)/(Assumptions!$I$171*Assumptions!$I$172)*E5</f>
        <v>8437.5</v>
      </c>
      <c r="F20" s="9" t="n">
        <f aca="false">(Assumptions!$I$179+Assumptions!$I$180)/(Assumptions!$I$171*Assumptions!$I$172)*F5</f>
        <v>8437.5</v>
      </c>
      <c r="G20" s="9" t="n">
        <f aca="false">(Assumptions!$I$179+Assumptions!$I$180)/(Assumptions!$I$171*Assumptions!$I$172)*G5</f>
        <v>7031.25</v>
      </c>
      <c r="H20" s="9" t="n">
        <f aca="false">(Assumptions!$I$179+Assumptions!$I$180)/(Assumptions!$I$171*Assumptions!$I$172)*H5</f>
        <v>196.875</v>
      </c>
      <c r="I20" s="9" t="n">
        <f aca="false">(Assumptions!$I$179+Assumptions!$I$180)/(Assumptions!$I$171*Assumptions!$I$172)*I5</f>
        <v>0</v>
      </c>
    </row>
    <row r="21" customFormat="false" ht="15" hidden="false" customHeight="false" outlineLevel="0" collapsed="false">
      <c r="A21" s="28" t="s">
        <v>763</v>
      </c>
      <c r="B21" s="9" t="n">
        <f aca="false">B13+B20*B7</f>
        <v>3375</v>
      </c>
      <c r="C21" s="9" t="n">
        <f aca="false">C13+C20*C7</f>
        <v>3375</v>
      </c>
      <c r="D21" s="9" t="n">
        <f aca="false">D13+D20*D7</f>
        <v>61750</v>
      </c>
      <c r="E21" s="9" t="n">
        <f aca="false">E13+E20*E7</f>
        <v>185250</v>
      </c>
      <c r="F21" s="9" t="n">
        <f aca="false">F13+F20*F7</f>
        <v>185250</v>
      </c>
      <c r="G21" s="9" t="n">
        <f aca="false">G13+G20*G7</f>
        <v>154375</v>
      </c>
      <c r="H21" s="9" t="n">
        <f aca="false">H13+H20*H7</f>
        <v>2756.25</v>
      </c>
      <c r="I21" s="9" t="n">
        <f aca="false">I13+I20*I7</f>
        <v>0</v>
      </c>
    </row>
    <row r="22" customFormat="false" ht="15" hidden="false" customHeight="false" outlineLevel="0" collapsed="false">
      <c r="A22" s="28" t="s">
        <v>764</v>
      </c>
      <c r="B22" s="9" t="n">
        <f aca="false">B11+B12+B15+B18</f>
        <v>669.98</v>
      </c>
      <c r="C22" s="9" t="n">
        <f aca="false">C11+C12+C15+C18</f>
        <v>1205.98</v>
      </c>
      <c r="D22" s="9" t="n">
        <f aca="false">D11+D12+D15+D18</f>
        <v>10398</v>
      </c>
      <c r="E22" s="9" t="n">
        <f aca="false">E11+E12+E15+E18</f>
        <v>27850</v>
      </c>
      <c r="F22" s="9" t="n">
        <f aca="false">F11+F12+F15+F18</f>
        <v>16600</v>
      </c>
      <c r="G22" s="9" t="n">
        <f aca="false">G11+G12+G15+G18</f>
        <v>18100</v>
      </c>
      <c r="H22" s="9" t="n">
        <f aca="false">H11+H12+H15+H18</f>
        <v>1500</v>
      </c>
      <c r="I22" s="9" t="n">
        <f aca="false">I11+I12+I15+I18</f>
        <v>2199.98</v>
      </c>
    </row>
    <row r="23" customFormat="false" ht="15" hidden="false" customHeight="false" outlineLevel="0" collapsed="false">
      <c r="A23" s="28" t="s">
        <v>765</v>
      </c>
      <c r="B23" s="6" t="n">
        <f aca="false">IFERROR(B21/(B10-B22),0)</f>
        <v>19.1077210066422</v>
      </c>
      <c r="C23" s="6" t="n">
        <f aca="false">IFERROR(C21/(C10-C22),0)</f>
        <v>1.11369206158621</v>
      </c>
      <c r="D23" s="6" t="n">
        <f aca="false">IFERROR(D21/(D10-D22),0)</f>
        <v>2.6371353829628</v>
      </c>
      <c r="E23" s="6" t="n">
        <f aca="false">IFERROR(E21/(E10-E22),0)</f>
        <v>8.05523823561927</v>
      </c>
      <c r="F23" s="6" t="n">
        <f aca="false">IFERROR(F21/(F10-F22),0)</f>
        <v>3.6184036284182</v>
      </c>
      <c r="G23" s="6" t="n">
        <f aca="false">IFERROR(G21/(G10-G22),0)</f>
        <v>3.10634869206371</v>
      </c>
      <c r="H23" s="6" t="n">
        <f aca="false">IFERROR(H21/(H10-H22),0)</f>
        <v>0.395185297691373</v>
      </c>
      <c r="I23" s="6" t="n">
        <f aca="false">IFERROR(I21/(I10-I22),0)</f>
        <v>0</v>
      </c>
    </row>
    <row r="24" customFormat="false" ht="15" hidden="false" customHeight="false" outlineLevel="0" collapsed="false">
      <c r="A24" s="3" t="s">
        <v>766</v>
      </c>
      <c r="B24" s="30" t="n">
        <f aca="false">IFERROR(B23/B7,0)</f>
        <v>1.59231008388685</v>
      </c>
      <c r="C24" s="30" t="n">
        <f aca="false">IFERROR(C23/C7,0)</f>
        <v>0.0928076717988505</v>
      </c>
      <c r="D24" s="30" t="n">
        <f aca="false">IFERROR(D23/D7,0)</f>
        <v>0.219761281913567</v>
      </c>
      <c r="E24" s="30" t="n">
        <f aca="false">IFERROR(E23/E7,0)</f>
        <v>0.671269852968272</v>
      </c>
      <c r="F24" s="30" t="n">
        <f aca="false">IFERROR(F23/F7,0)</f>
        <v>0.301533635701516</v>
      </c>
      <c r="G24" s="30" t="n">
        <f aca="false">IFERROR(G23/G7,0)</f>
        <v>0.258862391005309</v>
      </c>
      <c r="H24" s="30" t="n">
        <f aca="false">IFERROR(H23/H7,0)</f>
        <v>0.0282275212636695</v>
      </c>
      <c r="I24" s="30" t="n">
        <f aca="false">IFERROR(I23/I7,0)</f>
        <v>0</v>
      </c>
    </row>
    <row r="25" customFormat="false" ht="15" hidden="false" customHeight="false" outlineLevel="0" collapsed="false">
      <c r="A25" s="28" t="s">
        <v>767</v>
      </c>
      <c r="B25" s="8" t="n">
        <f aca="false">10*(B10-B22)-B21</f>
        <v>-1608.69830508475</v>
      </c>
      <c r="C25" s="8" t="n">
        <f aca="false">10*(C10-C22)-C21</f>
        <v>26929.606779661</v>
      </c>
      <c r="D25" s="8" t="n">
        <f aca="false">10*(D10-D22)-D21</f>
        <v>172405.593220339</v>
      </c>
      <c r="E25" s="8" t="n">
        <f aca="false">10*(E10-E22)-E21</f>
        <v>44724.5762711865</v>
      </c>
      <c r="F25" s="8" t="n">
        <f aca="false">10*(F10-F22)-F21</f>
        <v>326716.101694915</v>
      </c>
      <c r="G25" s="8" t="n">
        <f aca="false">10*(G10-G22)-G21</f>
        <v>342591.101694915</v>
      </c>
      <c r="H25" s="8" t="n">
        <f aca="false">10*(H10-H22)-H21</f>
        <v>66989.5127118644</v>
      </c>
      <c r="I25" s="8" t="n">
        <f aca="false">10*(I10-I22)-I21</f>
        <v>62737.4881355932</v>
      </c>
    </row>
    <row r="26" customFormat="false" ht="15" hidden="false" customHeight="false" outlineLevel="0" collapsed="false">
      <c r="A26" s="28" t="s">
        <v>768</v>
      </c>
      <c r="B26" s="8" t="n">
        <f aca="false">12*(B10-B22)-B21</f>
        <v>-1255.4379661017</v>
      </c>
      <c r="C26" s="8" t="n">
        <f aca="false">12*(C10-C22)-C21</f>
        <v>32990.5281355932</v>
      </c>
      <c r="D26" s="8" t="n">
        <f aca="false">12*(D10-D22)-D21</f>
        <v>219236.711864407</v>
      </c>
      <c r="E26" s="8" t="n">
        <f aca="false">12*(E10-E22)-E21</f>
        <v>90719.4915254237</v>
      </c>
      <c r="F26" s="8" t="n">
        <f aca="false">12*(F10-F22)-F21</f>
        <v>429109.322033898</v>
      </c>
      <c r="G26" s="8" t="n">
        <f aca="false">12*(G10-G22)-G21</f>
        <v>441984.322033898</v>
      </c>
      <c r="H26" s="8" t="n">
        <f aca="false">12*(H10-H22)-H21</f>
        <v>80938.6652542373</v>
      </c>
      <c r="I26" s="8" t="n">
        <f aca="false">12*(I10-I22)-I21</f>
        <v>75284.9857627119</v>
      </c>
    </row>
    <row r="27" customFormat="false" ht="15" hidden="false" customHeight="false" outlineLevel="0" collapsed="false">
      <c r="A27" s="28" t="s">
        <v>769</v>
      </c>
      <c r="B27" s="8" t="n">
        <f aca="false">14*(B10-B22)-B21</f>
        <v>-902.177627118645</v>
      </c>
      <c r="C27" s="8" t="n">
        <f aca="false">14*(C10-C22)-C21</f>
        <v>39051.4494915254</v>
      </c>
      <c r="D27" s="8" t="n">
        <f aca="false">14*(D10-D22)-D21</f>
        <v>266067.830508475</v>
      </c>
      <c r="E27" s="8" t="n">
        <f aca="false">14*(E10-E22)-E21</f>
        <v>136714.406779661</v>
      </c>
      <c r="F27" s="8" t="n">
        <f aca="false">14*(F10-F22)-F21</f>
        <v>531502.542372881</v>
      </c>
      <c r="G27" s="8" t="n">
        <f aca="false">14*(G10-G22)-G21</f>
        <v>541377.542372881</v>
      </c>
      <c r="H27" s="8" t="n">
        <f aca="false">14*(H10-H22)-H21</f>
        <v>94887.8177966102</v>
      </c>
      <c r="I27" s="8" t="n">
        <f aca="false">14*(I10-I22)-I21</f>
        <v>87832.4833898305</v>
      </c>
    </row>
    <row r="28" customFormat="false" ht="15" hidden="false" customHeight="false" outlineLevel="0" collapsed="false">
      <c r="A28" s="28" t="s">
        <v>770</v>
      </c>
      <c r="B28" s="6" t="n">
        <f aca="false">IFERROR(12/B5,0)</f>
        <v>120</v>
      </c>
      <c r="C28" s="6" t="n">
        <f aca="false">IFERROR(12/C5,0)</f>
        <v>120</v>
      </c>
      <c r="D28" s="6" t="n">
        <f aca="false">IFERROR(12/D5,0)</f>
        <v>12</v>
      </c>
      <c r="E28" s="6" t="n">
        <f aca="false">IFERROR(12/E5,0)</f>
        <v>4</v>
      </c>
      <c r="F28" s="6" t="n">
        <f aca="false">IFERROR(12/F5,0)</f>
        <v>4</v>
      </c>
      <c r="G28" s="6" t="n">
        <f aca="false">IFERROR(12/G5,0)</f>
        <v>4.8</v>
      </c>
      <c r="H28" s="6" t="n">
        <f aca="false">IFERROR(12/H5,0)</f>
        <v>171.428571428571</v>
      </c>
      <c r="I28" s="6" t="n">
        <f aca="false">IFERROR(12/I5,0)</f>
        <v>0</v>
      </c>
    </row>
    <row r="30" customFormat="false" ht="15" hidden="false" customHeight="false" outlineLevel="0" collapsed="false">
      <c r="A30" s="10" t="s">
        <v>771</v>
      </c>
      <c r="B30" s="11"/>
      <c r="C30" s="11"/>
      <c r="D30" s="11"/>
      <c r="E30" s="11"/>
      <c r="F30" s="11"/>
      <c r="G30" s="11"/>
      <c r="H30" s="11"/>
      <c r="I30" s="11"/>
      <c r="J30" s="11"/>
    </row>
    <row r="31" customFormat="false" ht="15" hidden="false" customHeight="false" outlineLevel="0" collapsed="false">
      <c r="A31" s="0" t="s">
        <v>772</v>
      </c>
      <c r="B31" s="8" t="n">
        <f aca="false">Assumptions!$I$9</f>
        <v>50</v>
      </c>
    </row>
    <row r="32" customFormat="false" ht="15" hidden="false" customHeight="false" outlineLevel="0" collapsed="false">
      <c r="A32" s="0" t="s">
        <v>773</v>
      </c>
      <c r="B32" s="7" t="n">
        <f aca="false">Assumptions!$I$12</f>
        <v>0.6</v>
      </c>
    </row>
    <row r="33" customFormat="false" ht="15" hidden="false" customHeight="false" outlineLevel="0" collapsed="false">
      <c r="A33" s="0" t="s">
        <v>774</v>
      </c>
      <c r="B33" s="8" t="n">
        <f aca="false">B31*B32</f>
        <v>30</v>
      </c>
    </row>
    <row r="34" customFormat="false" ht="15" hidden="false" customHeight="false" outlineLevel="0" collapsed="false">
      <c r="A34" s="0" t="s">
        <v>775</v>
      </c>
      <c r="B34" s="8" t="n">
        <f aca="false">B31-B33</f>
        <v>20</v>
      </c>
    </row>
    <row r="35" customFormat="false" ht="15" hidden="false" customHeight="false" outlineLevel="0" collapsed="false">
      <c r="A35" s="0" t="s">
        <v>776</v>
      </c>
      <c r="B35" s="8" t="n">
        <f aca="false">B33*Assumptions!$I$10+B34*Assumptions!$I$13</f>
        <v>1960000</v>
      </c>
    </row>
    <row r="36" customFormat="false" ht="15" hidden="false" customHeight="false" outlineLevel="0" collapsed="false">
      <c r="A36" s="0" t="s">
        <v>777</v>
      </c>
      <c r="B36" s="8" t="n">
        <f aca="false">B35/(1+Assumptions!$I$15*Assumptions!$I$16)</f>
        <v>1661016.94915254</v>
      </c>
    </row>
    <row r="37" customFormat="false" ht="15" hidden="false" customHeight="false" outlineLevel="0" collapsed="false">
      <c r="A37" s="0" t="s">
        <v>778</v>
      </c>
      <c r="B37" s="8" t="n">
        <f aca="false">B36-B33*(Assumptions!$I$14+Assumptions!$I$91)-B34*Assumptions!$I$94-B35*Assumptions!$I$76</f>
        <v>1061816.94915254</v>
      </c>
    </row>
    <row r="38" customFormat="false" ht="15" hidden="false" customHeight="false" outlineLevel="0" collapsed="false">
      <c r="A38" s="0" t="s">
        <v>779</v>
      </c>
      <c r="B38" s="8" t="n">
        <f aca="false">-12*(Assumptions!$I$179+Assumptions!$I$180)</f>
        <v>-540000</v>
      </c>
    </row>
    <row r="39" customFormat="false" ht="15" hidden="false" customHeight="false" outlineLevel="0" collapsed="false">
      <c r="A39" s="0" t="s">
        <v>780</v>
      </c>
      <c r="B39" s="8" t="n">
        <f aca="false">B37+B38</f>
        <v>521816.949152543</v>
      </c>
    </row>
    <row r="41" customFormat="false" ht="15" hidden="false" customHeight="false" outlineLevel="0" collapsed="false">
      <c r="A41" s="2" t="s">
        <v>781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10" min="2" style="0" width="11"/>
    <col collapsed="false" customWidth="true" hidden="false" outlineLevel="0" max="11" min="11" style="0" width="52"/>
  </cols>
  <sheetData>
    <row r="1" customFormat="false" ht="17.35" hidden="false" customHeight="false" outlineLevel="0" collapsed="false">
      <c r="A1" s="1" t="s">
        <v>782</v>
      </c>
    </row>
    <row r="2" customFormat="false" ht="15" hidden="false" customHeight="false" outlineLevel="0" collapsed="false">
      <c r="A2" s="2" t="s">
        <v>783</v>
      </c>
    </row>
    <row r="4" customFormat="false" ht="28.35" hidden="false" customHeight="false" outlineLevel="0" collapsed="false">
      <c r="A4" s="5" t="s">
        <v>784</v>
      </c>
      <c r="B4" s="5" t="s">
        <v>785</v>
      </c>
      <c r="C4" s="5" t="s">
        <v>786</v>
      </c>
      <c r="D4" s="5" t="s">
        <v>787</v>
      </c>
      <c r="E4" s="5" t="s">
        <v>57</v>
      </c>
      <c r="F4" s="5" t="s">
        <v>58</v>
      </c>
      <c r="G4" s="5" t="s">
        <v>59</v>
      </c>
      <c r="H4" s="5" t="s">
        <v>788</v>
      </c>
      <c r="I4" s="5" t="s">
        <v>789</v>
      </c>
      <c r="J4" s="5" t="s">
        <v>790</v>
      </c>
      <c r="K4" s="5" t="s">
        <v>791</v>
      </c>
    </row>
    <row r="5" customFormat="false" ht="15" hidden="false" customHeight="false" outlineLevel="0" collapsed="false">
      <c r="A5" s="10" t="s">
        <v>792</v>
      </c>
      <c r="B5" s="11"/>
      <c r="C5" s="11"/>
      <c r="D5" s="11"/>
      <c r="E5" s="11"/>
      <c r="F5" s="11"/>
      <c r="G5" s="11"/>
      <c r="H5" s="11"/>
      <c r="I5" s="11"/>
      <c r="J5" s="11"/>
      <c r="K5" s="11"/>
    </row>
    <row r="6" customFormat="false" ht="15" hidden="false" customHeight="false" outlineLevel="0" collapsed="false">
      <c r="A6" s="28" t="s">
        <v>793</v>
      </c>
      <c r="B6" s="8" t="n">
        <f aca="false">Outlook_Conservative!O31</f>
        <v>30.3764009892086</v>
      </c>
      <c r="C6" s="8" t="n">
        <f aca="false">2*SUM(Outlook_Conservative!I31:N31)/(SUM(Outlook_Conservative!I9:N9)/6)*(1+INDEX(Assumptions!$C$199:$E$199,1))</f>
        <v>38.9892949640288</v>
      </c>
      <c r="D6" s="8" t="n">
        <f aca="false">C6*(1+INDEX(Assumptions!$C$200:$E$200,1))</f>
        <v>40.9387597122302</v>
      </c>
      <c r="E6" s="8" t="n">
        <f aca="false">Outlook_Base!O31</f>
        <v>89.4501840794568</v>
      </c>
      <c r="F6" s="8" t="n">
        <f aca="false">2*SUM(Outlook_Base!I31:N31)/(SUM(Outlook_Base!I9:N9)/6)*(1+INDEX(Assumptions!$C$199:$E$199,2))</f>
        <v>121.918833339191</v>
      </c>
      <c r="G6" s="8" t="n">
        <f aca="false">F6*(1+INDEX(Assumptions!$C$200:$E$200,2))</f>
        <v>134.11071667311</v>
      </c>
      <c r="H6" s="8" t="n">
        <f aca="false">Outlook_Aggressive!O31</f>
        <v>123.229923104723</v>
      </c>
      <c r="I6" s="8" t="n">
        <f aca="false">2*SUM(Outlook_Aggressive!I31:N31)/(SUM(Outlook_Aggressive!I9:N9)/6)*(1+INDEX(Assumptions!$C$199:$E$199,3))</f>
        <v>161.423440970946</v>
      </c>
      <c r="J6" s="8" t="n">
        <f aca="false">I6*(1+INDEX(Assumptions!$C$200:$E$200,3))</f>
        <v>180.79425388746</v>
      </c>
      <c r="K6" s="2" t="s">
        <v>794</v>
      </c>
    </row>
    <row r="7" customFormat="false" ht="15" hidden="false" customHeight="false" outlineLevel="0" collapsed="false">
      <c r="A7" s="28" t="s">
        <v>795</v>
      </c>
      <c r="B7" s="7" t="n">
        <f aca="false">INDEX(Assumptions!$C$26:$E$26,1)</f>
        <v>0.5</v>
      </c>
      <c r="C7" s="7" t="n">
        <f aca="false">INDEX(Assumptions!$C$26:$E$26,1)</f>
        <v>0.5</v>
      </c>
      <c r="D7" s="7" t="n">
        <f aca="false">INDEX(Assumptions!$C$26:$E$26,1)</f>
        <v>0.5</v>
      </c>
      <c r="E7" s="7" t="n">
        <f aca="false">INDEX(Assumptions!$C$26:$E$26,2)</f>
        <v>0.6</v>
      </c>
      <c r="F7" s="7" t="n">
        <f aca="false">INDEX(Assumptions!$C$26:$E$26,2)</f>
        <v>0.6</v>
      </c>
      <c r="G7" s="7" t="n">
        <f aca="false">INDEX(Assumptions!$C$26:$E$26,2)</f>
        <v>0.6</v>
      </c>
      <c r="H7" s="7" t="n">
        <f aca="false">INDEX(Assumptions!$C$26:$E$26,3)</f>
        <v>0.7</v>
      </c>
      <c r="I7" s="7" t="n">
        <f aca="false">INDEX(Assumptions!$C$26:$E$26,3)</f>
        <v>0.7</v>
      </c>
      <c r="J7" s="7" t="n">
        <f aca="false">INDEX(Assumptions!$C$26:$E$26,3)</f>
        <v>0.7</v>
      </c>
      <c r="K7" s="2"/>
    </row>
    <row r="8" customFormat="false" ht="15" hidden="false" customHeight="false" outlineLevel="0" collapsed="false">
      <c r="A8" s="28" t="s">
        <v>257</v>
      </c>
      <c r="B8" s="7" t="n">
        <f aca="false">INDEX(Assumptions!$C$74:$E$74,1)</f>
        <v>0.15</v>
      </c>
      <c r="C8" s="7" t="n">
        <f aca="false">INDEX(Assumptions!$C$201:$E$201,1)</f>
        <v>0.15</v>
      </c>
      <c r="D8" s="7" t="n">
        <f aca="false">INDEX(Assumptions!$C$202:$E$202,1)</f>
        <v>0.18</v>
      </c>
      <c r="E8" s="7" t="n">
        <f aca="false">INDEX(Assumptions!$C$74:$E$74,2)</f>
        <v>0.25</v>
      </c>
      <c r="F8" s="7" t="n">
        <f aca="false">INDEX(Assumptions!$C$201:$E$201,2)</f>
        <v>0.25</v>
      </c>
      <c r="G8" s="7" t="n">
        <f aca="false">INDEX(Assumptions!$C$202:$E$202,2)</f>
        <v>0.3</v>
      </c>
      <c r="H8" s="7" t="n">
        <f aca="false">INDEX(Assumptions!$C$74:$E$74,3)</f>
        <v>0.35</v>
      </c>
      <c r="I8" s="7" t="n">
        <f aca="false">INDEX(Assumptions!$C$201:$E$201,3)</f>
        <v>0.35</v>
      </c>
      <c r="J8" s="7" t="n">
        <f aca="false">INDEX(Assumptions!$C$202:$E$202,3)</f>
        <v>0.4</v>
      </c>
      <c r="K8" s="2"/>
    </row>
    <row r="9" customFormat="false" ht="15" hidden="false" customHeight="false" outlineLevel="0" collapsed="false">
      <c r="A9" s="28" t="s">
        <v>796</v>
      </c>
      <c r="B9" s="8" t="n">
        <f aca="false">Outlook_Conservative!O28*0</f>
        <v>0</v>
      </c>
      <c r="C9" s="8" t="n">
        <f aca="false">INDEX(Assumptions!$C$203:$E$203,1)</f>
        <v>0</v>
      </c>
      <c r="D9" s="8" t="n">
        <f aca="false">INDEX(Assumptions!$C$204:$E$204,1)</f>
        <v>8</v>
      </c>
      <c r="E9" s="8" t="n">
        <f aca="false">Outlook_Base!O28*0</f>
        <v>0</v>
      </c>
      <c r="F9" s="8" t="n">
        <f aca="false">INDEX(Assumptions!$C$203:$E$203,2)</f>
        <v>15</v>
      </c>
      <c r="G9" s="8" t="n">
        <f aca="false">INDEX(Assumptions!$C$204:$E$204,2)</f>
        <v>35</v>
      </c>
      <c r="H9" s="8" t="n">
        <f aca="false">Outlook_Aggressive!O28*0</f>
        <v>0</v>
      </c>
      <c r="I9" s="8" t="n">
        <f aca="false">INDEX(Assumptions!$C$203:$E$203,3)</f>
        <v>30</v>
      </c>
      <c r="J9" s="8" t="n">
        <f aca="false">INDEX(Assumptions!$C$204:$E$204,3)</f>
        <v>60</v>
      </c>
      <c r="K9" s="2" t="s">
        <v>797</v>
      </c>
    </row>
    <row r="10" customFormat="false" ht="15" hidden="false" customHeight="false" outlineLevel="0" collapsed="false">
      <c r="A10" s="28" t="s">
        <v>798</v>
      </c>
      <c r="B10" s="8" t="n">
        <f aca="false">Outlook_Conservative!O30</f>
        <v>3.4102515625</v>
      </c>
      <c r="C10" s="8" t="n">
        <f aca="false">C6*(1-INDEX(Assumptions!$C$26:$E$26,1))*INDEX(Assumptions!$C$89:$E$89,1)</f>
        <v>4.8736618705036</v>
      </c>
      <c r="D10" s="8" t="n">
        <f aca="false">D6*(1-INDEX(Assumptions!$C$26:$E$26,1))*INDEX(Assumptions!$C$89:$E$89,1)</f>
        <v>5.11734496402878</v>
      </c>
      <c r="E10" s="8" t="n">
        <f aca="false">Outlook_Base!O30</f>
        <v>8.62257756334259</v>
      </c>
      <c r="F10" s="8" t="n">
        <f aca="false">F6*(1-INDEX(Assumptions!$C$26:$E$26,2))*INDEX(Assumptions!$C$89:$E$89,2)</f>
        <v>14.630260000703</v>
      </c>
      <c r="G10" s="8" t="n">
        <f aca="false">G6*(1-INDEX(Assumptions!$C$26:$E$26,2))*INDEX(Assumptions!$C$89:$E$89,2)</f>
        <v>16.0932860007733</v>
      </c>
      <c r="H10" s="8" t="n">
        <f aca="false">Outlook_Aggressive!O30</f>
        <v>11.0797574559534</v>
      </c>
      <c r="I10" s="8" t="n">
        <f aca="false">I6*(1-INDEX(Assumptions!$C$26:$E$26,3))*INDEX(Assumptions!$C$89:$E$89,3)</f>
        <v>19.3708129165136</v>
      </c>
      <c r="J10" s="8" t="n">
        <f aca="false">J6*(1-INDEX(Assumptions!$C$26:$E$26,3))*INDEX(Assumptions!$C$89:$E$89,3)</f>
        <v>21.6953104664952</v>
      </c>
      <c r="K10" s="2"/>
    </row>
    <row r="11" customFormat="false" ht="15" hidden="false" customHeight="false" outlineLevel="0" collapsed="false">
      <c r="A11" s="28" t="s">
        <v>799</v>
      </c>
      <c r="B11" s="8" t="n">
        <f aca="false">Outlook_Conservative!N20</f>
        <v>8</v>
      </c>
      <c r="C11" s="8" t="n">
        <f aca="false">INDEX(Assumptions!$C$231:$E$231,1)</f>
        <v>8</v>
      </c>
      <c r="D11" s="8" t="n">
        <f aca="false">INDEX(Assumptions!$C$232:$E$232,1)</f>
        <v>10</v>
      </c>
      <c r="E11" s="8" t="n">
        <f aca="false">Outlook_Base!N20</f>
        <v>12</v>
      </c>
      <c r="F11" s="8" t="n">
        <f aca="false">INDEX(Assumptions!$C$231:$E$231,2)</f>
        <v>12</v>
      </c>
      <c r="G11" s="8" t="n">
        <f aca="false">INDEX(Assumptions!$C$232:$E$232,2)</f>
        <v>14</v>
      </c>
      <c r="H11" s="8" t="n">
        <f aca="false">Outlook_Aggressive!N20</f>
        <v>16</v>
      </c>
      <c r="I11" s="8" t="n">
        <f aca="false">INDEX(Assumptions!$C$231:$E$231,3)</f>
        <v>16</v>
      </c>
      <c r="J11" s="8" t="n">
        <f aca="false">INDEX(Assumptions!$C$232:$E$232,3)</f>
        <v>18</v>
      </c>
      <c r="K11" s="2"/>
    </row>
    <row r="12" customFormat="false" ht="15" hidden="false" customHeight="false" outlineLevel="0" collapsed="false">
      <c r="A12" s="28" t="s">
        <v>800</v>
      </c>
      <c r="B12" s="6" t="n">
        <f aca="false">Outlook_Conservative!N21</f>
        <v>2</v>
      </c>
      <c r="C12" s="6" t="n">
        <f aca="false">INDEX(Assumptions!$C$229:$E$229,1)</f>
        <v>2.5</v>
      </c>
      <c r="D12" s="6" t="n">
        <f aca="false">INDEX(Assumptions!$C$230:$E$230,1)</f>
        <v>3</v>
      </c>
      <c r="E12" s="6" t="n">
        <f aca="false">Outlook_Base!N21</f>
        <v>2.5</v>
      </c>
      <c r="F12" s="6" t="n">
        <f aca="false">INDEX(Assumptions!$C$229:$E$229,2)</f>
        <v>3</v>
      </c>
      <c r="G12" s="6" t="n">
        <f aca="false">INDEX(Assumptions!$C$230:$E$230,2)</f>
        <v>3</v>
      </c>
      <c r="H12" s="6" t="n">
        <f aca="false">Outlook_Aggressive!N21</f>
        <v>2.5</v>
      </c>
      <c r="I12" s="6" t="n">
        <f aca="false">INDEX(Assumptions!$C$229:$E$229,3)</f>
        <v>3</v>
      </c>
      <c r="J12" s="6" t="n">
        <f aca="false">INDEX(Assumptions!$C$230:$E$230,3)</f>
        <v>3</v>
      </c>
      <c r="K12" s="2"/>
    </row>
    <row r="13" customFormat="false" ht="15" hidden="false" customHeight="false" outlineLevel="0" collapsed="false">
      <c r="A13" s="28" t="s">
        <v>801</v>
      </c>
      <c r="B13" s="8" t="n">
        <f aca="false">B11*B12*12*INDEX(Assumptions!$C$178:$E$178,1)</f>
        <v>172.8</v>
      </c>
      <c r="C13" s="8" t="n">
        <f aca="false">C11*C12*12*INDEX(Assumptions!$C$178:$E$178,1)</f>
        <v>216</v>
      </c>
      <c r="D13" s="8" t="n">
        <f aca="false">D11*D12*12*INDEX(Assumptions!$C$178:$E$178,1)</f>
        <v>324</v>
      </c>
      <c r="E13" s="8" t="n">
        <f aca="false">E11*E12*12*INDEX(Assumptions!$C$178:$E$178,2)</f>
        <v>324</v>
      </c>
      <c r="F13" s="8" t="n">
        <f aca="false">F11*F12*12*INDEX(Assumptions!$C$178:$E$178,2)</f>
        <v>388.8</v>
      </c>
      <c r="G13" s="8" t="n">
        <f aca="false">G11*G12*12*INDEX(Assumptions!$C$178:$E$178,2)</f>
        <v>453.6</v>
      </c>
      <c r="H13" s="8" t="n">
        <f aca="false">H11*H12*12*INDEX(Assumptions!$C$178:$E$178,3)</f>
        <v>432</v>
      </c>
      <c r="I13" s="8" t="n">
        <f aca="false">I11*I12*12*INDEX(Assumptions!$C$178:$E$178,3)</f>
        <v>518.4</v>
      </c>
      <c r="J13" s="8" t="n">
        <f aca="false">J11*J12*12*INDEX(Assumptions!$C$178:$E$178,3)</f>
        <v>583.2</v>
      </c>
      <c r="K13" s="2"/>
    </row>
    <row r="14" customFormat="false" ht="15" hidden="false" customHeight="false" outlineLevel="0" collapsed="false">
      <c r="A14" s="28" t="s">
        <v>802</v>
      </c>
      <c r="B14" s="8" t="n">
        <f aca="false">Outlook_Conservative!O33*12</f>
        <v>65.0268588241907</v>
      </c>
      <c r="C14" s="8" t="n">
        <f aca="false">C6*(C7*INDEX(Assumptions!$C$103:$E$103,1)+(1-C7))+C10*INDEX(Assumptions!$C$103:$E$103,1)+C9*INDEX(Assumptions!$C$104:$E$104,1)</f>
        <v>92.5995755395684</v>
      </c>
      <c r="D14" s="8" t="n">
        <f aca="false">D6*(D7*INDEX(Assumptions!$C$103:$E$103,1)+(1-D7))+D10*INDEX(Assumptions!$C$103:$E$103,1)+D9*INDEX(Assumptions!$C$104:$E$104,1)</f>
        <v>117.229554316547</v>
      </c>
      <c r="E14" s="8" t="n">
        <f aca="false">Outlook_Base!O33*12</f>
        <v>200.960501419986</v>
      </c>
      <c r="F14" s="8" t="n">
        <f aca="false">F6*(F7*INDEX(Assumptions!$C$103:$E$103,2)+(1-F7))+F10*INDEX(Assumptions!$C$103:$E$103,2)+F9*INDEX(Assumptions!$C$104:$E$104,2)</f>
        <v>349.61221334833</v>
      </c>
      <c r="G14" s="8" t="n">
        <f aca="false">G6*(G7*INDEX(Assumptions!$C$103:$E$103,2)+(1-G7))+G10*INDEX(Assumptions!$C$103:$E$103,2)+G9*INDEX(Assumptions!$C$104:$E$104,2)</f>
        <v>430.823434683163</v>
      </c>
      <c r="H14" s="8" t="n">
        <f aca="false">Outlook_Aggressive!O33*12</f>
        <v>294.492612977715</v>
      </c>
      <c r="I14" s="8" t="n">
        <f aca="false">I6*(I7*INDEX(Assumptions!$C$103:$E$103,3)+(1-I7))+I10*INDEX(Assumptions!$C$103:$E$103,3)+I9*INDEX(Assumptions!$C$104:$E$104,3)</f>
        <v>520.528697079812</v>
      </c>
      <c r="J14" s="8" t="n">
        <f aca="false">J6*(J7*INDEX(Assumptions!$C$103:$E$103,3)+(1-J7))+J10*INDEX(Assumptions!$C$103:$E$103,3)+J9*INDEX(Assumptions!$C$104:$E$104,3)</f>
        <v>648.992140729389</v>
      </c>
      <c r="K14" s="2"/>
    </row>
    <row r="15" customFormat="false" ht="15" hidden="false" customHeight="false" outlineLevel="0" collapsed="false">
      <c r="A15" s="28" t="s">
        <v>803</v>
      </c>
      <c r="B15" s="7" t="n">
        <f aca="false">1</f>
        <v>1</v>
      </c>
      <c r="C15" s="7" t="n">
        <f aca="false">MIN(1,C13/C14)</f>
        <v>1</v>
      </c>
      <c r="D15" s="7" t="n">
        <f aca="false">MIN(1,D13/D14)</f>
        <v>1</v>
      </c>
      <c r="E15" s="7" t="n">
        <f aca="false">1</f>
        <v>1</v>
      </c>
      <c r="F15" s="7" t="n">
        <f aca="false">MIN(1,F13/F14)</f>
        <v>1</v>
      </c>
      <c r="G15" s="7" t="n">
        <f aca="false">MIN(1,G13/G14)</f>
        <v>1</v>
      </c>
      <c r="H15" s="7" t="n">
        <f aca="false">1</f>
        <v>1</v>
      </c>
      <c r="I15" s="7" t="n">
        <f aca="false">MIN(1,I13/I14)</f>
        <v>0.995910509657289</v>
      </c>
      <c r="J15" s="7" t="n">
        <f aca="false">MIN(1,J13/J14)</f>
        <v>0.898624133328569</v>
      </c>
      <c r="K15" s="2"/>
    </row>
    <row r="16" customFormat="false" ht="15" hidden="false" customHeight="false" outlineLevel="0" collapsed="false">
      <c r="A16" s="28" t="s">
        <v>804</v>
      </c>
      <c r="B16" s="7" t="n">
        <f aca="false">Outlook_Conservative!N34</f>
        <v>0.483498201438849</v>
      </c>
      <c r="C16" s="7" t="n">
        <f aca="false">MIN(1,C14/(C11*C12*12))</f>
        <v>0.385831564748202</v>
      </c>
      <c r="D16" s="7" t="n">
        <f aca="false">MIN(1,D14/(D11*D12*12))</f>
        <v>0.325637650879297</v>
      </c>
      <c r="E16" s="7" t="n">
        <f aca="false">Outlook_Base!N34</f>
        <v>0.841013660212882</v>
      </c>
      <c r="F16" s="7" t="n">
        <f aca="false">MIN(1,F14/(F11*F12*12))</f>
        <v>0.809287530898911</v>
      </c>
      <c r="G16" s="7" t="n">
        <f aca="false">MIN(1,G14/(G11*G12*12))</f>
        <v>0.854808402149132</v>
      </c>
      <c r="H16" s="7" t="n">
        <f aca="false">Outlook_Aggressive!N34</f>
        <v>0.9</v>
      </c>
      <c r="I16" s="7" t="n">
        <f aca="false">MIN(1,I14/(I11*I12*12))</f>
        <v>0.903695654652451</v>
      </c>
      <c r="J16" s="7" t="n">
        <f aca="false">MIN(1,J14/(J11*J12*12))</f>
        <v>1</v>
      </c>
      <c r="K16" s="2"/>
    </row>
    <row r="17" customFormat="false" ht="15" hidden="false" customHeight="false" outlineLevel="0" collapsed="false">
      <c r="A17" s="3" t="s">
        <v>805</v>
      </c>
      <c r="B17" s="31" t="n">
        <f aca="false">B6*B15</f>
        <v>30.3764009892086</v>
      </c>
      <c r="C17" s="31" t="n">
        <f aca="false">C6*C15</f>
        <v>38.9892949640288</v>
      </c>
      <c r="D17" s="31" t="n">
        <f aca="false">D6*D15</f>
        <v>40.9387597122302</v>
      </c>
      <c r="E17" s="31" t="n">
        <f aca="false">E6*E15</f>
        <v>89.4501840794568</v>
      </c>
      <c r="F17" s="31" t="n">
        <f aca="false">F6*F15</f>
        <v>121.918833339191</v>
      </c>
      <c r="G17" s="31" t="n">
        <f aca="false">G6*G15</f>
        <v>134.11071667311</v>
      </c>
      <c r="H17" s="31" t="n">
        <f aca="false">H6*H15</f>
        <v>123.229923104723</v>
      </c>
      <c r="I17" s="31" t="n">
        <f aca="false">I6*I15</f>
        <v>160.763301368008</v>
      </c>
      <c r="J17" s="31" t="n">
        <f aca="false">J6*J15</f>
        <v>162.466079710404</v>
      </c>
      <c r="K17" s="2"/>
    </row>
    <row r="18" customFormat="false" ht="15" hidden="false" customHeight="false" outlineLevel="0" collapsed="false">
      <c r="A18" s="28" t="s">
        <v>806</v>
      </c>
      <c r="B18" s="8" t="n">
        <f aca="false">B9*B15</f>
        <v>0</v>
      </c>
      <c r="C18" s="8" t="n">
        <f aca="false">C9*C15</f>
        <v>0</v>
      </c>
      <c r="D18" s="8" t="n">
        <f aca="false">D9*D15</f>
        <v>8</v>
      </c>
      <c r="E18" s="8" t="n">
        <f aca="false">E9*E15</f>
        <v>0</v>
      </c>
      <c r="F18" s="8" t="n">
        <f aca="false">F9*F15</f>
        <v>15</v>
      </c>
      <c r="G18" s="8" t="n">
        <f aca="false">G9*G15</f>
        <v>35</v>
      </c>
      <c r="H18" s="8" t="n">
        <f aca="false">H9*H15</f>
        <v>0</v>
      </c>
      <c r="I18" s="8" t="n">
        <f aca="false">I9*I15</f>
        <v>29.8773152897187</v>
      </c>
      <c r="J18" s="8" t="n">
        <f aca="false">J9*J15</f>
        <v>53.9174479997141</v>
      </c>
      <c r="K18" s="2"/>
    </row>
    <row r="19" customFormat="false" ht="15" hidden="false" customHeight="false" outlineLevel="0" collapsed="false">
      <c r="A19" s="28" t="s">
        <v>807</v>
      </c>
      <c r="B19" s="8" t="n">
        <f aca="false">Outlook_Conservative!O37</f>
        <v>67.5</v>
      </c>
      <c r="C19" s="8" t="n">
        <f aca="false">INDEX(Assumptions!$C$205:$E$205,1)</f>
        <v>110</v>
      </c>
      <c r="D19" s="8" t="n">
        <f aca="false">INDEX(Assumptions!$C$206:$E$206,1)</f>
        <v>130</v>
      </c>
      <c r="E19" s="8" t="n">
        <f aca="false">Outlook_Base!O37</f>
        <v>153</v>
      </c>
      <c r="F19" s="8" t="n">
        <f aca="false">INDEX(Assumptions!$C$205:$E$205,2)</f>
        <v>220</v>
      </c>
      <c r="G19" s="8" t="n">
        <f aca="false">INDEX(Assumptions!$C$206:$E$206,2)</f>
        <v>280</v>
      </c>
      <c r="H19" s="8" t="n">
        <f aca="false">Outlook_Aggressive!O37</f>
        <v>202.5</v>
      </c>
      <c r="I19" s="8" t="n">
        <f aca="false">INDEX(Assumptions!$C$205:$E$205,3)</f>
        <v>330</v>
      </c>
      <c r="J19" s="8" t="n">
        <f aca="false">INDEX(Assumptions!$C$206:$E$206,3)</f>
        <v>420</v>
      </c>
      <c r="K19" s="2"/>
    </row>
    <row r="20" customFormat="false" ht="15" hidden="false" customHeight="false" outlineLevel="0" collapsed="false">
      <c r="A20" s="28" t="s">
        <v>808</v>
      </c>
      <c r="B20" s="8" t="n">
        <f aca="false">Outlook_Conservative!O38</f>
        <v>106.666666666667</v>
      </c>
      <c r="C20" s="8" t="n">
        <f aca="false">INDEX(Assumptions!$C$207:$E$207,1)</f>
        <v>110</v>
      </c>
      <c r="D20" s="8" t="n">
        <f aca="false">INDEX(Assumptions!$C$208:$E$208,1)</f>
        <v>120</v>
      </c>
      <c r="E20" s="8" t="n">
        <f aca="false">Outlook_Base!O38</f>
        <v>160</v>
      </c>
      <c r="F20" s="8" t="n">
        <f aca="false">INDEX(Assumptions!$C$207:$E$207,2)</f>
        <v>170</v>
      </c>
      <c r="G20" s="8" t="n">
        <f aca="false">INDEX(Assumptions!$C$208:$E$208,2)</f>
        <v>190</v>
      </c>
      <c r="H20" s="8" t="n">
        <f aca="false">Outlook_Aggressive!O38</f>
        <v>234.666666666667</v>
      </c>
      <c r="I20" s="8" t="n">
        <f aca="false">INDEX(Assumptions!$C$207:$E$207,3)</f>
        <v>250</v>
      </c>
      <c r="J20" s="8" t="n">
        <f aca="false">INDEX(Assumptions!$C$208:$E$208,3)</f>
        <v>280</v>
      </c>
      <c r="K20" s="2"/>
    </row>
    <row r="21" customFormat="false" ht="15" hidden="false" customHeight="false" outlineLevel="0" collapsed="false">
      <c r="A21" s="28" t="s">
        <v>809</v>
      </c>
      <c r="B21" s="6" t="n">
        <f aca="false">Outlook_Conservative!O40</f>
        <v>0</v>
      </c>
      <c r="C21" s="6" t="n">
        <f aca="false">INDEX(Assumptions!$C$209:$E$209,1)</f>
        <v>0</v>
      </c>
      <c r="D21" s="6" t="n">
        <f aca="false">INDEX(Assumptions!$C$210:$E$210,1)</f>
        <v>2</v>
      </c>
      <c r="E21" s="6" t="n">
        <f aca="false">Outlook_Base!O40</f>
        <v>2</v>
      </c>
      <c r="F21" s="6" t="n">
        <f aca="false">INDEX(Assumptions!$C$209:$E$209,2)</f>
        <v>6</v>
      </c>
      <c r="G21" s="6" t="n">
        <f aca="false">INDEX(Assumptions!$C$210:$E$210,2)</f>
        <v>12</v>
      </c>
      <c r="H21" s="6" t="n">
        <f aca="false">Outlook_Aggressive!O40</f>
        <v>7</v>
      </c>
      <c r="I21" s="6" t="n">
        <f aca="false">INDEX(Assumptions!$C$209:$E$209,3)</f>
        <v>12</v>
      </c>
      <c r="J21" s="6" t="n">
        <f aca="false">INDEX(Assumptions!$C$210:$E$210,3)</f>
        <v>16</v>
      </c>
      <c r="K21" s="2"/>
    </row>
    <row r="22" customFormat="false" ht="15" hidden="false" customHeight="false" outlineLevel="0" collapsed="false">
      <c r="A22" s="28" t="s">
        <v>810</v>
      </c>
      <c r="B22" s="8" t="n">
        <f aca="false">0</f>
        <v>0</v>
      </c>
      <c r="C22" s="8" t="n">
        <f aca="false">INDEX(Assumptions!$C$211:$E$211,1)</f>
        <v>0</v>
      </c>
      <c r="D22" s="8" t="n">
        <f aca="false">INDEX(Assumptions!$C$212:$E$212,1)</f>
        <v>150</v>
      </c>
      <c r="E22" s="8" t="n">
        <f aca="false">0</f>
        <v>0</v>
      </c>
      <c r="F22" s="8" t="n">
        <f aca="false">INDEX(Assumptions!$C$211:$E$211,2)</f>
        <v>300</v>
      </c>
      <c r="G22" s="8" t="n">
        <f aca="false">INDEX(Assumptions!$C$212:$E$212,2)</f>
        <v>900</v>
      </c>
      <c r="H22" s="8" t="n">
        <f aca="false">0</f>
        <v>0</v>
      </c>
      <c r="I22" s="8" t="n">
        <f aca="false">INDEX(Assumptions!$C$211:$E$211,3)</f>
        <v>800</v>
      </c>
      <c r="J22" s="8" t="n">
        <f aca="false">INDEX(Assumptions!$C$212:$E$212,3)</f>
        <v>2000</v>
      </c>
      <c r="K22" s="2"/>
    </row>
    <row r="23" customFormat="false" ht="15" hidden="false" customHeight="false" outlineLevel="0" collapsed="false">
      <c r="A23" s="28" t="s">
        <v>811</v>
      </c>
      <c r="B23" s="8" t="n">
        <f aca="false">Outlook_Conservative!O42</f>
        <v>2.3625</v>
      </c>
      <c r="C23" s="8" t="n">
        <f aca="false">B17*B7*INDEX(Assumptions!$C$67:$E$67,1)*INDEX(Assumptions!$C$72:$E$72,1)+C19*0.7*INDEX(Assumptions!$C$73:$E$73,1)</f>
        <v>6.43199408408273</v>
      </c>
      <c r="D23" s="8" t="n">
        <f aca="false">C17*C7*INDEX(Assumptions!$C$67:$E$67,1)*INDEX(Assumptions!$C$72:$E$72,1)+D19*0.7*INDEX(Assumptions!$C$73:$E$73,1)</f>
        <v>7.86409007194245</v>
      </c>
      <c r="E23" s="8" t="n">
        <f aca="false">Outlook_Base!O42</f>
        <v>10.71</v>
      </c>
      <c r="F23" s="8" t="n">
        <f aca="false">E17*E7*INDEX(Assumptions!$C$67:$E$67,2)*INDEX(Assumptions!$C$72:$E$72,2)+F19*0.7*INDEX(Assumptions!$C$73:$E$73,2)</f>
        <v>29.890929820872</v>
      </c>
      <c r="G23" s="8" t="n">
        <f aca="false">F17*F7*INDEX(Assumptions!$C$67:$E$67,2)*INDEX(Assumptions!$C$72:$E$72,2)+G19*0.7*INDEX(Assumptions!$C$73:$E$73,2)</f>
        <v>39.350851000949</v>
      </c>
      <c r="H23" s="8" t="n">
        <f aca="false">Outlook_Aggressive!O42</f>
        <v>28.35</v>
      </c>
      <c r="I23" s="8" t="n">
        <f aca="false">H17*H7*INDEX(Assumptions!$C$67:$E$67,3)*INDEX(Assumptions!$C$72:$E$72,3)+I19*0.7*INDEX(Assumptions!$C$73:$E$73,3)</f>
        <v>83.0765544890882</v>
      </c>
      <c r="J23" s="8" t="n">
        <f aca="false">I17*I7*INDEX(Assumptions!$C$67:$E$67,3)*INDEX(Assumptions!$C$72:$E$72,3)+J19*0.7*INDEX(Assumptions!$C$73:$E$73,3)</f>
        <v>106.908417934377</v>
      </c>
      <c r="K23" s="2"/>
    </row>
    <row r="24" customFormat="false" ht="15" hidden="false" customHeight="false" outlineLevel="0" collapsed="false">
      <c r="A24" s="28" t="s">
        <v>812</v>
      </c>
      <c r="B24" s="8" t="n">
        <f aca="false">0</f>
        <v>0</v>
      </c>
      <c r="C24" s="8" t="n">
        <f aca="false">0</f>
        <v>0</v>
      </c>
      <c r="D24" s="8" t="n">
        <f aca="false">INDEX(Assumptions!$C$222:$E$222,1)</f>
        <v>0</v>
      </c>
      <c r="E24" s="8" t="n">
        <f aca="false">0</f>
        <v>0</v>
      </c>
      <c r="F24" s="8" t="n">
        <f aca="false">0</f>
        <v>0</v>
      </c>
      <c r="G24" s="8" t="n">
        <f aca="false">INDEX(Assumptions!$C$222:$E$222,2)</f>
        <v>0</v>
      </c>
      <c r="H24" s="8" t="n">
        <f aca="false">0</f>
        <v>0</v>
      </c>
      <c r="I24" s="8" t="n">
        <f aca="false">0</f>
        <v>0</v>
      </c>
      <c r="J24" s="8" t="n">
        <f aca="false">INDEX(Assumptions!$C$222:$E$222,3)</f>
        <v>30</v>
      </c>
      <c r="K24" s="2"/>
    </row>
    <row r="25" customFormat="false" ht="15" hidden="false" customHeight="false" outlineLevel="0" collapsed="false">
      <c r="A25" s="28" t="s">
        <v>813</v>
      </c>
      <c r="B25" s="7" t="n">
        <f aca="false">Outlook_Conservative!N11</f>
        <v>0.4</v>
      </c>
      <c r="C25" s="7" t="n">
        <f aca="false">INDEX(Assumptions!$C$159:$E$159,1)</f>
        <v>0.2</v>
      </c>
      <c r="D25" s="7" t="n">
        <f aca="false">INDEX(Assumptions!$C$160:$E$160,1)</f>
        <v>0.12</v>
      </c>
      <c r="E25" s="7" t="n">
        <f aca="false">Outlook_Base!N11</f>
        <v>0.3</v>
      </c>
      <c r="F25" s="7" t="n">
        <f aca="false">INDEX(Assumptions!$C$159:$E$159,2)</f>
        <v>0.15</v>
      </c>
      <c r="G25" s="7" t="n">
        <f aca="false">INDEX(Assumptions!$C$160:$E$160,2)</f>
        <v>0.1</v>
      </c>
      <c r="H25" s="7" t="n">
        <f aca="false">Outlook_Aggressive!N11</f>
        <v>0.25</v>
      </c>
      <c r="I25" s="7" t="n">
        <f aca="false">INDEX(Assumptions!$C$159:$E$159,3)</f>
        <v>0.12</v>
      </c>
      <c r="J25" s="7" t="n">
        <f aca="false">INDEX(Assumptions!$C$160:$E$160,3)</f>
        <v>0.08</v>
      </c>
      <c r="K25" s="2"/>
    </row>
    <row r="26" customFormat="false" ht="15" hidden="false" customHeight="false" outlineLevel="0" collapsed="false">
      <c r="A26" s="10" t="s">
        <v>814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15" hidden="false" customHeight="false" outlineLevel="0" collapsed="false">
      <c r="A27" s="28" t="s">
        <v>815</v>
      </c>
      <c r="B27" s="8" t="n">
        <f aca="false">Outlook_Conservative!N44</f>
        <v>65000</v>
      </c>
      <c r="C27" s="8" t="n">
        <f aca="false">INDEX(Assumptions!$C$20:$E$20,1)</f>
        <v>65000</v>
      </c>
      <c r="D27" s="8" t="n">
        <f aca="false">C27*(1+INDEX(Assumptions!$C$226:$E$226,1))</f>
        <v>68250</v>
      </c>
      <c r="E27" s="8" t="n">
        <f aca="false">Outlook_Base!N44</f>
        <v>80000</v>
      </c>
      <c r="F27" s="8" t="n">
        <f aca="false">INDEX(Assumptions!$C$20:$E$20,2)</f>
        <v>80000</v>
      </c>
      <c r="G27" s="8" t="n">
        <f aca="false">F27*(1+INDEX(Assumptions!$C$226:$E$226,2))</f>
        <v>84800</v>
      </c>
      <c r="H27" s="8" t="n">
        <f aca="false">Outlook_Aggressive!N44</f>
        <v>100000</v>
      </c>
      <c r="I27" s="8" t="n">
        <f aca="false">INDEX(Assumptions!$C$20:$E$20,3)</f>
        <v>100000</v>
      </c>
      <c r="J27" s="8" t="n">
        <f aca="false">I27*(1+INDEX(Assumptions!$C$226:$E$226,3))</f>
        <v>108000</v>
      </c>
      <c r="K27" s="2"/>
    </row>
    <row r="28" customFormat="false" ht="15" hidden="false" customHeight="false" outlineLevel="0" collapsed="false">
      <c r="A28" s="28" t="s">
        <v>816</v>
      </c>
      <c r="B28" s="8" t="n">
        <f aca="false">INDEX(Assumptions!$C$18:$E$18,1)</f>
        <v>30000</v>
      </c>
      <c r="C28" s="8" t="n">
        <f aca="false">INDEX(Assumptions!$C$18:$E$18,1)</f>
        <v>30000</v>
      </c>
      <c r="D28" s="8" t="n">
        <f aca="false">INDEX(Assumptions!$C$18:$E$18,1)*(1+INDEX(Assumptions!$C$226:$E$226,1))</f>
        <v>31500</v>
      </c>
      <c r="E28" s="8" t="n">
        <f aca="false">INDEX(Assumptions!$C$18:$E$18,2)</f>
        <v>39900</v>
      </c>
      <c r="F28" s="8" t="n">
        <f aca="false">INDEX(Assumptions!$C$18:$E$18,2)</f>
        <v>39900</v>
      </c>
      <c r="G28" s="8" t="n">
        <f aca="false">INDEX(Assumptions!$C$18:$E$18,2)*(1+INDEX(Assumptions!$C$226:$E$226,2))</f>
        <v>42294</v>
      </c>
      <c r="H28" s="8" t="n">
        <f aca="false">INDEX(Assumptions!$C$18:$E$18,3)</f>
        <v>45000</v>
      </c>
      <c r="I28" s="8" t="n">
        <f aca="false">INDEX(Assumptions!$C$18:$E$18,3)</f>
        <v>45000</v>
      </c>
      <c r="J28" s="8" t="n">
        <f aca="false">INDEX(Assumptions!$C$18:$E$18,3)*(1+INDEX(Assumptions!$C$226:$E$226,3))</f>
        <v>48600</v>
      </c>
      <c r="K28" s="2"/>
    </row>
    <row r="29" customFormat="false" ht="15" hidden="false" customHeight="false" outlineLevel="0" collapsed="false">
      <c r="A29" s="10" t="s">
        <v>817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</row>
    <row r="30" customFormat="false" ht="15" hidden="false" customHeight="false" outlineLevel="0" collapsed="false">
      <c r="A30" s="28" t="s">
        <v>818</v>
      </c>
      <c r="B30" s="6" t="n">
        <f aca="false">(Outlook_Conservative!O58)*(1-INDEX(Assumptions!$C$74:$E$74,1))/100000</f>
        <v>9.01861507204724</v>
      </c>
      <c r="C30" s="6" t="n">
        <f aca="false">(C17*(C7*C27+(1-C7)*C28)+C10*C15*(C27-C28))/(1+INDEX(Assumptions!$C$15:$E$15,1)*INDEX(Assumptions!$C$16:$E$16,1))*(1-C8)/100000</f>
        <v>14.5693578374589</v>
      </c>
      <c r="D30" s="6" t="n">
        <f aca="false">(D17*(D7*D27+(1-D7)*D28)+D10*D15*(D27-D28))/(1+INDEX(Assumptions!$C$15:$E$15,1)*INDEX(Assumptions!$C$16:$E$16,1))*(1-D8)/100000</f>
        <v>15.4957975917114</v>
      </c>
      <c r="E30" s="6" t="n">
        <f aca="false">(Outlook_Base!O58)*(1-INDEX(Assumptions!$C$74:$E$74,2))/100000</f>
        <v>36.4576574388578</v>
      </c>
      <c r="F30" s="6" t="n">
        <f aca="false">(F17*(F7*F27+(1-F7)*F28)+F10*F15*(F27-F28))/(1+INDEX(Assumptions!$C$15:$E$15,2)*INDEX(Assumptions!$C$16:$E$16,2))*(1-F8)/100000</f>
        <v>53.2919619051029</v>
      </c>
      <c r="G30" s="6" t="n">
        <f aca="false">(G17*(G7*G27+(1-G7)*G28)+G10*G15*(G27-G28))/(1+INDEX(Assumptions!$C$15:$E$15,2)*INDEX(Assumptions!$C$16:$E$16,2))*(1-G8)/100000</f>
        <v>57.9958657425934</v>
      </c>
      <c r="H30" s="6" t="n">
        <f aca="false">(Outlook_Aggressive!O58)*(1-INDEX(Assumptions!$C$74:$E$74,3))/100000</f>
        <v>58.1390926742301</v>
      </c>
      <c r="I30" s="6" t="n">
        <f aca="false">(I17*(I7*I27+(1-I7)*I28)+I10*I15*(I27-I28))/(1+INDEX(Assumptions!$C$15:$E$15,3)*INDEX(Assumptions!$C$16:$E$16,3))*(1-I8)/100000</f>
        <v>79.7890063103171</v>
      </c>
      <c r="J30" s="6" t="n">
        <f aca="false">(J17*(J7*J27+(1-J7)*J28)+J10*J15*(J27-J28))/(1+INDEX(Assumptions!$C$15:$E$15,3)*INDEX(Assumptions!$C$16:$E$16,3))*(1-J8)/100000</f>
        <v>80.3860133108135</v>
      </c>
      <c r="K30" s="2" t="s">
        <v>819</v>
      </c>
    </row>
    <row r="31" customFormat="false" ht="15" hidden="false" customHeight="false" outlineLevel="0" collapsed="false">
      <c r="A31" s="28" t="s">
        <v>820</v>
      </c>
      <c r="B31" s="6" t="n">
        <f aca="false">(Outlook_Conservative!O58)*INDEX(Assumptions!$C$74:$E$74,1)/100000</f>
        <v>1.59152030683187</v>
      </c>
      <c r="C31" s="6" t="n">
        <f aca="false">(C17*(C7*C27+(1-C7)*C28)+C10*C15*(C27-C28))/(1+INDEX(Assumptions!$C$15:$E$15,1)*INDEX(Assumptions!$C$16:$E$16,1))*C8/100000</f>
        <v>2.57106314778686</v>
      </c>
      <c r="D31" s="6" t="n">
        <f aca="false">(D17*(D7*D27+(1-D7)*D28)+D10*D15*(D27-D28))/(1+INDEX(Assumptions!$C$15:$E$15,1)*INDEX(Assumptions!$C$16:$E$16,1))*D8/100000</f>
        <v>3.40151654452201</v>
      </c>
      <c r="E31" s="6" t="n">
        <f aca="false">(Outlook_Base!O58)*INDEX(Assumptions!$C$74:$E$74,2)/100000</f>
        <v>12.1525524796193</v>
      </c>
      <c r="F31" s="6" t="n">
        <f aca="false">(F17*(F7*F27+(1-F7)*F28)+F10*F15*(F27-F28))/(1+INDEX(Assumptions!$C$15:$E$15,2)*INDEX(Assumptions!$C$16:$E$16,2))*F8/100000</f>
        <v>17.763987301701</v>
      </c>
      <c r="G31" s="6" t="n">
        <f aca="false">(G17*(G7*G27+(1-G7)*G28)+G10*G15*(G27-G28))/(1+INDEX(Assumptions!$C$15:$E$15,2)*INDEX(Assumptions!$C$16:$E$16,2))*G8/100000</f>
        <v>24.85537103254</v>
      </c>
      <c r="H31" s="6" t="n">
        <f aca="false">(Outlook_Aggressive!O58)*INDEX(Assumptions!$C$74:$E$74,3)/100000</f>
        <v>31.3056652861239</v>
      </c>
      <c r="I31" s="6" t="n">
        <f aca="false">(I17*(I7*I27+(1-I7)*I28)+I10*I15*(I27-I28))/(1+INDEX(Assumptions!$C$15:$E$15,3)*INDEX(Assumptions!$C$16:$E$16,3))*I8/100000</f>
        <v>42.9633110901707</v>
      </c>
      <c r="J31" s="6" t="n">
        <f aca="false">(J17*(J7*J27+(1-J7)*J28)+J10*J15*(J27-J28))/(1+INDEX(Assumptions!$C$15:$E$15,3)*INDEX(Assumptions!$C$16:$E$16,3))*J8/100000</f>
        <v>53.5906755405423</v>
      </c>
      <c r="K31" s="2"/>
    </row>
    <row r="32" customFormat="false" ht="15" hidden="false" customHeight="false" outlineLevel="0" collapsed="false">
      <c r="A32" s="28" t="s">
        <v>821</v>
      </c>
      <c r="B32" s="6" t="n">
        <f aca="false">0</f>
        <v>0</v>
      </c>
      <c r="C32" s="6" t="n">
        <f aca="false">C18*C27/(1+INDEX(Assumptions!$C$15:$E$15,1)*INDEX(Assumptions!$C$16:$E$16,1))/100000</f>
        <v>0</v>
      </c>
      <c r="D32" s="6" t="n">
        <f aca="false">D18*D27/(1+INDEX(Assumptions!$C$15:$E$15,1)*INDEX(Assumptions!$C$16:$E$16,1))/100000</f>
        <v>4.6271186440678</v>
      </c>
      <c r="E32" s="6" t="n">
        <f aca="false">0</f>
        <v>0</v>
      </c>
      <c r="F32" s="6" t="n">
        <f aca="false">F18*F27/(1+INDEX(Assumptions!$C$15:$E$15,2)*INDEX(Assumptions!$C$16:$E$16,2))/100000</f>
        <v>10.1694915254237</v>
      </c>
      <c r="G32" s="6" t="n">
        <f aca="false">G18*G27/(1+INDEX(Assumptions!$C$15:$E$15,2)*INDEX(Assumptions!$C$16:$E$16,2))/100000</f>
        <v>25.1525423728814</v>
      </c>
      <c r="H32" s="6" t="n">
        <f aca="false">0</f>
        <v>0</v>
      </c>
      <c r="I32" s="6" t="n">
        <f aca="false">I18*I27/(1+INDEX(Assumptions!$C$15:$E$15,3)*INDEX(Assumptions!$C$16:$E$16,3))/100000</f>
        <v>25.3197587201006</v>
      </c>
      <c r="J32" s="6" t="n">
        <f aca="false">J18*J27/(1+INDEX(Assumptions!$C$15:$E$15,3)*INDEX(Assumptions!$C$16:$E$16,3))/100000</f>
        <v>49.3481727455011</v>
      </c>
      <c r="K32" s="2"/>
    </row>
    <row r="33" customFormat="false" ht="15" hidden="false" customHeight="false" outlineLevel="0" collapsed="false">
      <c r="A33" s="28" t="s">
        <v>822</v>
      </c>
      <c r="B33" s="6" t="n">
        <f aca="false">(Outlook_Conservative!O51+Outlook_Conservative!O53+Outlook_Conservative!O54)/100000</f>
        <v>3.11476360328992</v>
      </c>
      <c r="C33" s="6" t="n">
        <f aca="false">(C20*INDEX(Assumptions!$C$22:$E$22,1)+C21*INDEX(Assumptions!$C$82:$E$82,1)*INDEX(Assumptions!$C$83:$E$83,1)+C17*INDEX(Assumptions!$C$31:$E$31,1)/(INDEX(Assumptions!$C$56:$E$56,1)*INDEX(Assumptions!$C$57:$E$57,1)*INDEX(Assumptions!$C$58:$E$58,1))*(1-INDEX(Assumptions!$C$56:$E$56,1)*INDEX(Assumptions!$C$57:$E$57,1)*INDEX(Assumptions!$C$58:$E$58,1))*INDEX(Assumptions!$C$17:$E$17,1))/(1+INDEX(Assumptions!$C$15:$E$15,1)*INDEX(Assumptions!$C$16:$E$16,1))/100000</f>
        <v>3.3137469961712</v>
      </c>
      <c r="D33" s="6" t="n">
        <f aca="false">(D20*INDEX(Assumptions!$C$22:$E$22,1)+D21*INDEX(Assumptions!$C$82:$E$82,1)*INDEX(Assumptions!$C$83:$E$83,1)+D17*INDEX(Assumptions!$C$31:$E$31,1)/(INDEX(Assumptions!$C$56:$E$56,1)*INDEX(Assumptions!$C$57:$E$57,1)*INDEX(Assumptions!$C$58:$E$58,1))*(1-INDEX(Assumptions!$C$56:$E$56,1)*INDEX(Assumptions!$C$57:$E$57,1)*INDEX(Assumptions!$C$58:$E$58,1))*INDEX(Assumptions!$C$17:$E$17,1))/(1+INDEX(Assumptions!$C$15:$E$15,1)*INDEX(Assumptions!$C$16:$E$16,1))/100000</f>
        <v>4.01714621038654</v>
      </c>
      <c r="E33" s="6" t="n">
        <f aca="false">(Outlook_Base!O51+Outlook_Base!O53+Outlook_Base!O54)/100000</f>
        <v>8.28461813887987</v>
      </c>
      <c r="F33" s="6" t="n">
        <f aca="false">(F20*INDEX(Assumptions!$C$22:$E$22,2)+F21*INDEX(Assumptions!$C$82:$E$82,2)*INDEX(Assumptions!$C$83:$E$83,2)+F17*INDEX(Assumptions!$C$31:$E$31,2)/(INDEX(Assumptions!$C$56:$E$56,2)*INDEX(Assumptions!$C$57:$E$57,2)*INDEX(Assumptions!$C$58:$E$58,2))*(1-INDEX(Assumptions!$C$56:$E$56,2)*INDEX(Assumptions!$C$57:$E$57,2)*INDEX(Assumptions!$C$58:$E$58,2))*INDEX(Assumptions!$C$17:$E$17,2))/(1+INDEX(Assumptions!$C$15:$E$15,2)*INDEX(Assumptions!$C$16:$E$16,2))/100000</f>
        <v>10.5060536094026</v>
      </c>
      <c r="G33" s="6" t="n">
        <f aca="false">(G20*INDEX(Assumptions!$C$22:$E$22,2)+G21*INDEX(Assumptions!$C$82:$E$82,2)*INDEX(Assumptions!$C$83:$E$83,2)+G17*INDEX(Assumptions!$C$31:$E$31,2)/(INDEX(Assumptions!$C$56:$E$56,2)*INDEX(Assumptions!$C$57:$E$57,2)*INDEX(Assumptions!$C$58:$E$58,2))*(1-INDEX(Assumptions!$C$56:$E$56,2)*INDEX(Assumptions!$C$57:$E$57,2)*INDEX(Assumptions!$C$58:$E$58,2))*INDEX(Assumptions!$C$17:$E$17,2))/(1+INDEX(Assumptions!$C$15:$E$15,2)*INDEX(Assumptions!$C$16:$E$16,2))/100000</f>
        <v>13.8788979533937</v>
      </c>
      <c r="H33" s="6" t="n">
        <f aca="false">(Outlook_Aggressive!O51+Outlook_Aggressive!O53+Outlook_Aggressive!O54)/100000</f>
        <v>17.0485734974011</v>
      </c>
      <c r="I33" s="6" t="n">
        <f aca="false">(I20*INDEX(Assumptions!$C$22:$E$22,3)+I21*INDEX(Assumptions!$C$82:$E$82,3)*INDEX(Assumptions!$C$83:$E$83,3)+I17*INDEX(Assumptions!$C$31:$E$31,3)/(INDEX(Assumptions!$C$56:$E$56,3)*INDEX(Assumptions!$C$57:$E$57,3)*INDEX(Assumptions!$C$58:$E$58,3))*(1-INDEX(Assumptions!$C$56:$E$56,3)*INDEX(Assumptions!$C$57:$E$57,3)*INDEX(Assumptions!$C$58:$E$58,3))*INDEX(Assumptions!$C$17:$E$17,3))/(1+INDEX(Assumptions!$C$15:$E$15,3)*INDEX(Assumptions!$C$16:$E$16,3))/100000</f>
        <v>20.4888421902761</v>
      </c>
      <c r="J33" s="6" t="n">
        <f aca="false">(J20*INDEX(Assumptions!$C$22:$E$22,3)+J21*INDEX(Assumptions!$C$82:$E$82,3)*INDEX(Assumptions!$C$83:$E$83,3)+J17*INDEX(Assumptions!$C$31:$E$31,3)/(INDEX(Assumptions!$C$56:$E$56,3)*INDEX(Assumptions!$C$57:$E$57,3)*INDEX(Assumptions!$C$58:$E$58,3))*(1-INDEX(Assumptions!$C$56:$E$56,3)*INDEX(Assumptions!$C$57:$E$57,3)*INDEX(Assumptions!$C$58:$E$58,3))*INDEX(Assumptions!$C$17:$E$17,3))/(1+INDEX(Assumptions!$C$15:$E$15,3)*INDEX(Assumptions!$C$16:$E$16,3))/100000</f>
        <v>24.180494176917</v>
      </c>
      <c r="K33" s="2"/>
    </row>
    <row r="34" customFormat="false" ht="15" hidden="false" customHeight="false" outlineLevel="0" collapsed="false">
      <c r="A34" s="28" t="s">
        <v>823</v>
      </c>
      <c r="B34" s="6" t="n">
        <f aca="false">(Outlook_Conservative!O52+Outlook_Conservative!O55)/100000</f>
        <v>2.96025540254237</v>
      </c>
      <c r="C34" s="6" t="n">
        <f aca="false">(C19*INDEX(Assumptions!$C$21:$E$21,1)+C23*INDEX(Assumptions!$C$23:$E$23,1))/(1+INDEX(Assumptions!$C$15:$E$15,1)*INDEX(Assumptions!$C$16:$E$16,1))/100000</f>
        <v>4.933504562935</v>
      </c>
      <c r="D34" s="6" t="n">
        <f aca="false">(D19*INDEX(Assumptions!$C$21:$E$21,1)+D23*INDEX(Assumptions!$C$23:$E$23,1))/(1+INDEX(Assumptions!$C$15:$E$15,1)*INDEX(Assumptions!$C$16:$E$16,1))/100000</f>
        <v>5.84163208703085</v>
      </c>
      <c r="E34" s="6" t="n">
        <f aca="false">(Outlook_Base!O52+Outlook_Base!O55)/100000</f>
        <v>13.8736380508475</v>
      </c>
      <c r="F34" s="6" t="n">
        <f aca="false">(F19*INDEX(Assumptions!$C$21:$E$21,2)+F23*INDEX(Assumptions!$C$23:$E$23,2))/(1+INDEX(Assumptions!$C$15:$E$15,2)*INDEX(Assumptions!$C$16:$E$16,2))/100000</f>
        <v>21.1769441294822</v>
      </c>
      <c r="G34" s="6" t="n">
        <f aca="false">(G19*INDEX(Assumptions!$C$21:$E$21,2)+G23*INDEX(Assumptions!$C$23:$E$23,2))/(1+INDEX(Assumptions!$C$15:$E$15,2)*INDEX(Assumptions!$C$16:$E$16,2))/100000</f>
        <v>27.0632979589702</v>
      </c>
      <c r="H34" s="6" t="n">
        <f aca="false">(Outlook_Aggressive!O52+Outlook_Aggressive!O55)/100000</f>
        <v>27.028361440678</v>
      </c>
      <c r="I34" s="6" t="n">
        <f aca="false">(I19*INDEX(Assumptions!$C$21:$E$21,3)+I23*INDEX(Assumptions!$C$23:$E$23,3))/(1+INDEX(Assumptions!$C$15:$E$15,3)*INDEX(Assumptions!$C$16:$E$16,3))/100000</f>
        <v>47.9523208013484</v>
      </c>
      <c r="J34" s="6" t="n">
        <f aca="false">(J19*INDEX(Assumptions!$C$21:$E$21,3)+J23*INDEX(Assumptions!$C$23:$E$23,3))/(1+INDEX(Assumptions!$C$15:$E$15,3)*INDEX(Assumptions!$C$16:$E$16,3))/100000</f>
        <v>61.1546467437438</v>
      </c>
      <c r="K34" s="2"/>
    </row>
    <row r="35" customFormat="false" ht="15" hidden="false" customHeight="false" outlineLevel="0" collapsed="false">
      <c r="A35" s="28" t="s">
        <v>824</v>
      </c>
      <c r="B35" s="6" t="n">
        <f aca="false">0</f>
        <v>0</v>
      </c>
      <c r="C35" s="6" t="n">
        <f aca="false">C22*INDEX(Assumptions!$C$213:$E$213,1)/(1+INDEX(Assumptions!$C$15:$E$15,1)*INDEX(Assumptions!$C$16:$E$16,1))/100000</f>
        <v>0</v>
      </c>
      <c r="D35" s="6" t="n">
        <f aca="false">D22*INDEX(Assumptions!$C$213:$E$213,1)/(1+INDEX(Assumptions!$C$15:$E$15,1)*INDEX(Assumptions!$C$16:$E$16,1))/100000</f>
        <v>1.26991525423729</v>
      </c>
      <c r="E35" s="6" t="n">
        <f aca="false">0</f>
        <v>0</v>
      </c>
      <c r="F35" s="6" t="n">
        <f aca="false">F22*INDEX(Assumptions!$C$213:$E$213,2)/(1+INDEX(Assumptions!$C$15:$E$15,2)*INDEX(Assumptions!$C$16:$E$16,2))/100000</f>
        <v>3.81101694915254</v>
      </c>
      <c r="G35" s="6" t="n">
        <f aca="false">G22*INDEX(Assumptions!$C$213:$E$213,2)/(1+INDEX(Assumptions!$C$15:$E$15,2)*INDEX(Assumptions!$C$16:$E$16,2))/100000</f>
        <v>11.4330508474576</v>
      </c>
      <c r="H35" s="6" t="n">
        <f aca="false">0</f>
        <v>0</v>
      </c>
      <c r="I35" s="6" t="n">
        <f aca="false">I22*INDEX(Assumptions!$C$213:$E$213,3)/(1+INDEX(Assumptions!$C$15:$E$15,3)*INDEX(Assumptions!$C$16:$E$16,3))/100000</f>
        <v>13.5525423728814</v>
      </c>
      <c r="J35" s="6" t="n">
        <f aca="false">J22*INDEX(Assumptions!$C$213:$E$213,3)/(1+INDEX(Assumptions!$C$15:$E$15,3)*INDEX(Assumptions!$C$16:$E$16,3))/100000</f>
        <v>33.8813559322034</v>
      </c>
      <c r="K35" s="2"/>
    </row>
    <row r="36" customFormat="false" ht="15" hidden="false" customHeight="false" outlineLevel="0" collapsed="false">
      <c r="A36" s="28" t="s">
        <v>825</v>
      </c>
      <c r="B36" s="6" t="n">
        <f aca="false">Outlook_Conservative!O56/100000</f>
        <v>0.0292419712230216</v>
      </c>
      <c r="C36" s="6" t="n">
        <f aca="false">(C17*C7*INDEX(Assumptions!$C$243:$E$243,1)+INDEX(Assumptions!$C$217:$E$217,1)*INDEX(Assumptions!$C$219:$E$219,1)/(1+INDEX(Assumptions!$C$15:$E$15,1)*INDEX(Assumptions!$C$16:$E$16,1))+INDEX(Assumptions!$C$220:$E$220,1))/100000</f>
        <v>1.24408652895988</v>
      </c>
      <c r="D36" s="6" t="n">
        <f aca="false">(D17*D7*INDEX(Assumptions!$C$243:$E$243,1)+INDEX(Assumptions!$C$218:$E$218,1)*INDEX(Assumptions!$C$219:$E$219,1)/(1+INDEX(Assumptions!$C$15:$E$15,1)*INDEX(Assumptions!$C$16:$E$16,1))+INDEX(Assumptions!$C$221:$E$221,1))/100000</f>
        <v>2.00417221134008</v>
      </c>
      <c r="E36" s="6" t="n">
        <f aca="false">Outlook_Base!O56/100000</f>
        <v>0.375066665472567</v>
      </c>
      <c r="F36" s="6" t="n">
        <f aca="false">(F17*F7*INDEX(Assumptions!$C$243:$E$243,2)+INDEX(Assumptions!$C$217:$E$217,2)*INDEX(Assumptions!$C$219:$E$219,2)/(1+INDEX(Assumptions!$C$15:$E$15,2)*INDEX(Assumptions!$C$16:$E$16,2))+INDEX(Assumptions!$C$220:$E$220,2))/100000</f>
        <v>3.29547281901679</v>
      </c>
      <c r="G36" s="6" t="n">
        <f aca="false">(G17*G7*INDEX(Assumptions!$C$243:$E$243,2)+INDEX(Assumptions!$C$218:$E$218,2)*INDEX(Assumptions!$C$219:$E$219,2)/(1+INDEX(Assumptions!$C$15:$E$15,2)*INDEX(Assumptions!$C$16:$E$16,2))+INDEX(Assumptions!$C$221:$E$221,2))/100000</f>
        <v>6.55213874498627</v>
      </c>
      <c r="H36" s="6" t="n">
        <f aca="false">Outlook_Aggressive!O56/100000</f>
        <v>1.03258996642628</v>
      </c>
      <c r="I36" s="6" t="n">
        <f aca="false">(I17*I7*INDEX(Assumptions!$C$243:$E$243,3)+INDEX(Assumptions!$C$217:$E$217,3)*INDEX(Assumptions!$C$219:$E$219,3)/(1+INDEX(Assumptions!$C$15:$E$15,3)*INDEX(Assumptions!$C$16:$E$16,3))+INDEX(Assumptions!$C$220:$E$220,3))/100000</f>
        <v>5.59242950594886</v>
      </c>
      <c r="J36" s="6" t="n">
        <f aca="false">(J17*J7*INDEX(Assumptions!$C$243:$E$243,3)+INDEX(Assumptions!$C$218:$E$218,3)*INDEX(Assumptions!$C$219:$E$219,3)/(1+INDEX(Assumptions!$C$15:$E$15,3)*INDEX(Assumptions!$C$16:$E$16,3))+INDEX(Assumptions!$C$221:$E$221,3))/100000</f>
        <v>10.1345404625179</v>
      </c>
      <c r="K36" s="2"/>
    </row>
    <row r="37" customFormat="false" ht="15" hidden="false" customHeight="false" outlineLevel="0" collapsed="false">
      <c r="A37" s="28" t="s">
        <v>826</v>
      </c>
      <c r="B37" s="6" t="n">
        <f aca="false">0</f>
        <v>0</v>
      </c>
      <c r="C37" s="6" t="n">
        <f aca="false">0</f>
        <v>0</v>
      </c>
      <c r="D37" s="6" t="n">
        <f aca="false">D24*D27/(1+INDEX(Assumptions!$C$15:$E$15,1)*INDEX(Assumptions!$C$16:$E$16,1))*(1-INDEX(Assumptions!$C$223:$E$223,1))/100000</f>
        <v>0</v>
      </c>
      <c r="E37" s="6" t="n">
        <f aca="false">0</f>
        <v>0</v>
      </c>
      <c r="F37" s="6" t="n">
        <f aca="false">0</f>
        <v>0</v>
      </c>
      <c r="G37" s="6" t="n">
        <f aca="false">G24*G27/(1+INDEX(Assumptions!$C$15:$E$15,2)*INDEX(Assumptions!$C$16:$E$16,2))*(1-INDEX(Assumptions!$C$223:$E$223,2))/100000</f>
        <v>0</v>
      </c>
      <c r="H37" s="6" t="n">
        <f aca="false">0</f>
        <v>0</v>
      </c>
      <c r="I37" s="6" t="n">
        <f aca="false">0</f>
        <v>0</v>
      </c>
      <c r="J37" s="6" t="n">
        <f aca="false">J24*J27/(1+INDEX(Assumptions!$C$15:$E$15,3)*INDEX(Assumptions!$C$16:$E$16,3))*(1-INDEX(Assumptions!$C$223:$E$223,3))/100000</f>
        <v>21.9661016949153</v>
      </c>
      <c r="K37" s="2"/>
    </row>
    <row r="38" customFormat="false" ht="15" hidden="false" customHeight="false" outlineLevel="0" collapsed="false">
      <c r="A38" s="3" t="s">
        <v>63</v>
      </c>
      <c r="B38" s="32" t="n">
        <f aca="false">SUM(B30:B37)</f>
        <v>16.7143963559344</v>
      </c>
      <c r="C38" s="32" t="n">
        <f aca="false">SUM(C30:C37)</f>
        <v>26.6317590733118</v>
      </c>
      <c r="D38" s="32" t="n">
        <f aca="false">SUM(D30:D37)</f>
        <v>36.6572985432959</v>
      </c>
      <c r="E38" s="32" t="n">
        <f aca="false">SUM(E30:E37)</f>
        <v>71.143532773677</v>
      </c>
      <c r="F38" s="32" t="n">
        <f aca="false">SUM(F30:F37)</f>
        <v>120.014928239282</v>
      </c>
      <c r="G38" s="32" t="n">
        <f aca="false">SUM(G30:G37)</f>
        <v>166.931164652823</v>
      </c>
      <c r="H38" s="32" t="n">
        <f aca="false">SUM(H30:H37)</f>
        <v>134.554282864859</v>
      </c>
      <c r="I38" s="32" t="n">
        <f aca="false">SUM(I30:I37)</f>
        <v>235.658210991043</v>
      </c>
      <c r="J38" s="32" t="n">
        <f aca="false">SUM(J30:J37)</f>
        <v>334.642000607154</v>
      </c>
      <c r="K38" s="2"/>
    </row>
    <row r="39" customFormat="false" ht="15" hidden="false" customHeight="false" outlineLevel="0" collapsed="false">
      <c r="A39" s="28" t="s">
        <v>827</v>
      </c>
      <c r="B39" s="7" t="n">
        <f aca="false">0</f>
        <v>0</v>
      </c>
      <c r="C39" s="7" t="n">
        <f aca="false">C38/B38-1</f>
        <v>0.593342559682464</v>
      </c>
      <c r="D39" s="7" t="n">
        <f aca="false">D38/C38-1</f>
        <v>0.376450516933031</v>
      </c>
      <c r="E39" s="7" t="n">
        <f aca="false">0</f>
        <v>0</v>
      </c>
      <c r="F39" s="7" t="n">
        <f aca="false">F38/E38-1</f>
        <v>0.686940802069462</v>
      </c>
      <c r="G39" s="7" t="n">
        <f aca="false">G38/F38-1</f>
        <v>0.390920005551316</v>
      </c>
      <c r="H39" s="7" t="n">
        <f aca="false">0</f>
        <v>0</v>
      </c>
      <c r="I39" s="7" t="n">
        <f aca="false">I38/H38-1</f>
        <v>0.751398810751556</v>
      </c>
      <c r="J39" s="7" t="n">
        <f aca="false">J38/I38-1</f>
        <v>0.420031151046433</v>
      </c>
      <c r="K39" s="2"/>
    </row>
    <row r="40" customFormat="false" ht="15" hidden="false" customHeight="false" outlineLevel="0" collapsed="false">
      <c r="A40" s="10" t="s">
        <v>828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</row>
    <row r="41" customFormat="false" ht="15" hidden="false" customHeight="false" outlineLevel="0" collapsed="false">
      <c r="A41" s="28" t="s">
        <v>829</v>
      </c>
      <c r="B41" s="6" t="n">
        <f aca="false">Outlook_Conservative!O68/100000</f>
        <v>5.83889348890341</v>
      </c>
      <c r="C41" s="6" t="n">
        <f aca="false">((C17*C7+C10*C15)*INDEX(Assumptions!$C$91:$E$91,1)+C18*(INDEX(Assumptions!$C$93:$E$93,1)+INDEX(Assumptions!$C$240:$E$240,1))+C17*(1-C7)*INDEX(Assumptions!$C$92:$E$92,1)+C19*INDEX(Assumptions!$C$94:$E$94,1)+C20*INDEX(Assumptions!$C$95:$E$95,1)+C21*INDEX(Assumptions!$C$84:$E$84,1)+C23*INDEX(Assumptions!$C$97:$E$97,1)+C17*INDEX(Assumptions!$C$198:$E$198,1)*INDEX(Assumptions!$C$69:$E$69,1)+C24*INDEX(Assumptions!$C$224:$E$224,1)+(C30+C31+C32)*100000*(1+INDEX(Assumptions!$C$15:$E$15,1)*INDEX(Assumptions!$C$16:$E$16,1))*INDEX(Assumptions!$C$70:$E$70,1)*INDEX(Assumptions!$C$71:$E$71,1)+C38*100000*(1+INDEX(Assumptions!$C$15:$E$15,1)*INDEX(Assumptions!$C$16:$E$16,1))*INDEX(Assumptions!$C$76:$E$76,1)+C35*100000*INDEX(Assumptions!$C$216:$E$216,1))/100000</f>
        <v>6.07595144711581</v>
      </c>
      <c r="D41" s="6" t="n">
        <f aca="false">((D17*D7+D10*D15)*INDEX(Assumptions!$C$91:$E$91,1)+D18*(INDEX(Assumptions!$C$93:$E$93,1)+INDEX(Assumptions!$C$240:$E$240,1))+D17*(1-D7)*INDEX(Assumptions!$C$92:$E$92,1)+D19*INDEX(Assumptions!$C$94:$E$94,1)+D20*INDEX(Assumptions!$C$95:$E$95,1)+D21*INDEX(Assumptions!$C$84:$E$84,1)+D23*INDEX(Assumptions!$C$97:$E$97,1)+D17*INDEX(Assumptions!$C$198:$E$198,1)*INDEX(Assumptions!$C$69:$E$69,1)+D24*INDEX(Assumptions!$C$224:$E$224,1)+(D30+D31+D32)*100000*(1+INDEX(Assumptions!$C$15:$E$15,1)*INDEX(Assumptions!$C$16:$E$16,1))*INDEX(Assumptions!$C$70:$E$70,1)*INDEX(Assumptions!$C$71:$E$71,1)+D38*100000*(1+INDEX(Assumptions!$C$15:$E$15,1)*INDEX(Assumptions!$C$16:$E$16,1))*INDEX(Assumptions!$C$76:$E$76,1)+D35*100000*INDEX(Assumptions!$C$216:$E$216,1))/100000</f>
        <v>9.32548037673012</v>
      </c>
      <c r="E41" s="6" t="n">
        <f aca="false">Outlook_Base!O68/100000</f>
        <v>12.8979176719956</v>
      </c>
      <c r="F41" s="6" t="n">
        <f aca="false">((F17*F7+F10*F15)*INDEX(Assumptions!$C$91:$E$91,2)+F18*(INDEX(Assumptions!$C$93:$E$93,2)+INDEX(Assumptions!$C$240:$E$240,2))+F17*(1-F7)*INDEX(Assumptions!$C$92:$E$92,2)+F19*INDEX(Assumptions!$C$94:$E$94,2)+F20*INDEX(Assumptions!$C$95:$E$95,2)+F21*INDEX(Assumptions!$C$84:$E$84,2)+F23*INDEX(Assumptions!$C$97:$E$97,2)+F17*INDEX(Assumptions!$C$198:$E$198,2)*INDEX(Assumptions!$C$69:$E$69,2)+F24*INDEX(Assumptions!$C$224:$E$224,2)+(F30+F31+F32)*100000*(1+INDEX(Assumptions!$C$15:$E$15,2)*INDEX(Assumptions!$C$16:$E$16,2))*INDEX(Assumptions!$C$70:$E$70,2)*INDEX(Assumptions!$C$71:$E$71,2)+F38*100000*(1+INDEX(Assumptions!$C$15:$E$15,2)*INDEX(Assumptions!$C$16:$E$16,2))*INDEX(Assumptions!$C$76:$E$76,2)+F35*100000*INDEX(Assumptions!$C$216:$E$216,2))/100000</f>
        <v>19.8111148769189</v>
      </c>
      <c r="G41" s="6" t="n">
        <f aca="false">((G17*G7+G10*G15)*INDEX(Assumptions!$C$91:$E$91,2)+G18*(INDEX(Assumptions!$C$93:$E$93,2)+INDEX(Assumptions!$C$240:$E$240,2))+G17*(1-G7)*INDEX(Assumptions!$C$92:$E$92,2)+G19*INDEX(Assumptions!$C$94:$E$94,2)+G20*INDEX(Assumptions!$C$95:$E$95,2)+G21*INDEX(Assumptions!$C$84:$E$84,2)+G23*INDEX(Assumptions!$C$97:$E$97,2)+G17*INDEX(Assumptions!$C$198:$E$198,2)*INDEX(Assumptions!$C$69:$E$69,2)+G24*INDEX(Assumptions!$C$224:$E$224,2)+(G30+G31+G32)*100000*(1+INDEX(Assumptions!$C$15:$E$15,2)*INDEX(Assumptions!$C$16:$E$16,2))*INDEX(Assumptions!$C$70:$E$70,2)*INDEX(Assumptions!$C$71:$E$71,2)+G38*100000*(1+INDEX(Assumptions!$C$15:$E$15,2)*INDEX(Assumptions!$C$16:$E$16,2))*INDEX(Assumptions!$C$76:$E$76,2)+G35*100000*INDEX(Assumptions!$C$216:$E$216,2))/100000</f>
        <v>28.6676476067306</v>
      </c>
      <c r="H41" s="6" t="n">
        <f aca="false">Outlook_Aggressive!O68/100000</f>
        <v>16.7797652102278</v>
      </c>
      <c r="I41" s="6" t="n">
        <f aca="false">((I17*I7+I10*I15)*INDEX(Assumptions!$C$91:$E$91,3)+I18*(INDEX(Assumptions!$C$93:$E$93,3)+INDEX(Assumptions!$C$240:$E$240,3))+I17*(1-I7)*INDEX(Assumptions!$C$92:$E$92,3)+I19*INDEX(Assumptions!$C$94:$E$94,3)+I20*INDEX(Assumptions!$C$95:$E$95,3)+I21*INDEX(Assumptions!$C$84:$E$84,3)+I23*INDEX(Assumptions!$C$97:$E$97,3)+I17*INDEX(Assumptions!$C$198:$E$198,3)*INDEX(Assumptions!$C$69:$E$69,3)+I24*INDEX(Assumptions!$C$224:$E$224,3)+(I30+I31+I32)*100000*(1+INDEX(Assumptions!$C$15:$E$15,3)*INDEX(Assumptions!$C$16:$E$16,3))*INDEX(Assumptions!$C$70:$E$70,3)*INDEX(Assumptions!$C$71:$E$71,3)+I38*100000*(1+INDEX(Assumptions!$C$15:$E$15,3)*INDEX(Assumptions!$C$16:$E$16,3))*INDEX(Assumptions!$C$76:$E$76,3)+I35*100000*INDEX(Assumptions!$C$216:$E$216,3))/100000</f>
        <v>27.101613624538</v>
      </c>
      <c r="J41" s="6" t="n">
        <f aca="false">((J17*J7+J10*J15)*INDEX(Assumptions!$C$91:$E$91,3)+J18*(INDEX(Assumptions!$C$93:$E$93,3)+INDEX(Assumptions!$C$240:$E$240,3))+J17*(1-J7)*INDEX(Assumptions!$C$92:$E$92,3)+J19*INDEX(Assumptions!$C$94:$E$94,3)+J20*INDEX(Assumptions!$C$95:$E$95,3)+J21*INDEX(Assumptions!$C$84:$E$84,3)+J23*INDEX(Assumptions!$C$97:$E$97,3)+J17*INDEX(Assumptions!$C$198:$E$198,3)*INDEX(Assumptions!$C$69:$E$69,3)+J24*INDEX(Assumptions!$C$224:$E$224,3)+(J30+J31+J32)*100000*(1+INDEX(Assumptions!$C$15:$E$15,3)*INDEX(Assumptions!$C$16:$E$16,3))*INDEX(Assumptions!$C$70:$E$70,3)*INDEX(Assumptions!$C$71:$E$71,3)+J38*100000*(1+INDEX(Assumptions!$C$15:$E$15,3)*INDEX(Assumptions!$C$16:$E$16,3))*INDEX(Assumptions!$C$76:$E$76,3)+J35*100000*INDEX(Assumptions!$C$216:$E$216,3))/100000</f>
        <v>38.5281232835931</v>
      </c>
      <c r="K41" s="2"/>
    </row>
    <row r="42" customFormat="false" ht="15" hidden="false" customHeight="false" outlineLevel="0" collapsed="false">
      <c r="A42" s="28" t="s">
        <v>830</v>
      </c>
      <c r="B42" s="6" t="n">
        <f aca="false">SUM(Outlook_Conservative!C77:N77)/100000</f>
        <v>6.15</v>
      </c>
      <c r="C42" s="6" t="n">
        <f aca="false">(MAX(1,ROUNDUP(C14*C15/12/INDEX(Assumptions!$C$102:$E$102,1)*(1-C25)/INDEX(Assumptions!$C$101:$E$101,1),0))*(INDEX(Assumptions!$C$98:$E$98,1)+INDEX(Assumptions!$C$99:$E$99,1))/2+ROUNDUP(C14*C15/12/INDEX(Assumptions!$C$102:$E$102,1)/2,0)*INDEX(Assumptions!$C$100:$E$100,1))*12*(1+INDEX(Assumptions!$C$227:$E$227,1))^1/100000</f>
        <v>10.56</v>
      </c>
      <c r="D42" s="6" t="n">
        <f aca="false">(MAX(1,ROUNDUP(D14*D15/12/INDEX(Assumptions!$C$102:$E$102,1)*(1-D25)/INDEX(Assumptions!$C$101:$E$101,1),0))*(INDEX(Assumptions!$C$98:$E$98,1)+INDEX(Assumptions!$C$99:$E$99,1))/2+ROUNDUP(D14*D15/12/INDEX(Assumptions!$C$102:$E$102,1)/2,0)*INDEX(Assumptions!$C$100:$E$100,1))*12*(1+INDEX(Assumptions!$C$227:$E$227,1))^2/100000</f>
        <v>11.616</v>
      </c>
      <c r="E42" s="6" t="n">
        <f aca="false">SUM(Outlook_Base!C77:N77)/100000</f>
        <v>9.84</v>
      </c>
      <c r="F42" s="6" t="n">
        <f aca="false">(MAX(1,ROUNDUP(F14*F15/12/INDEX(Assumptions!$C$102:$E$102,2)*(1-F25)/INDEX(Assumptions!$C$101:$E$101,2),0))*(INDEX(Assumptions!$C$98:$E$98,2)+INDEX(Assumptions!$C$99:$E$99,2))/2+ROUNDUP(F14*F15/12/INDEX(Assumptions!$C$102:$E$102,2)/2,0)*INDEX(Assumptions!$C$100:$E$100,2))*12*(1+INDEX(Assumptions!$C$227:$E$227,2))^1/100000</f>
        <v>17.3664</v>
      </c>
      <c r="G42" s="6" t="n">
        <f aca="false">(MAX(1,ROUNDUP(G14*G15/12/INDEX(Assumptions!$C$102:$E$102,2)*(1-G25)/INDEX(Assumptions!$C$101:$E$101,2),0))*(INDEX(Assumptions!$C$98:$E$98,2)+INDEX(Assumptions!$C$99:$E$99,2))/2+ROUNDUP(G14*G15/12/INDEX(Assumptions!$C$102:$E$102,2)/2,0)*INDEX(Assumptions!$C$100:$E$100,2))*12*(1+INDEX(Assumptions!$C$227:$E$227,2))^2/100000</f>
        <v>18.755712</v>
      </c>
      <c r="H42" s="6" t="n">
        <f aca="false">SUM(Outlook_Aggressive!C77:N77)/100000</f>
        <v>11.56</v>
      </c>
      <c r="I42" s="6" t="n">
        <f aca="false">(MAX(1,ROUNDUP(I14*I15/12/INDEX(Assumptions!$C$102:$E$102,3)*(1-I25)/INDEX(Assumptions!$C$101:$E$101,3),0))*(INDEX(Assumptions!$C$98:$E$98,3)+INDEX(Assumptions!$C$99:$E$99,3))/2+ROUNDUP(I14*I15/12/INDEX(Assumptions!$C$102:$E$102,3)/2,0)*INDEX(Assumptions!$C$100:$E$100,3))*12*(1+INDEX(Assumptions!$C$227:$E$227,3))^1/100000</f>
        <v>15.4224</v>
      </c>
      <c r="J42" s="6" t="n">
        <f aca="false">(MAX(1,ROUNDUP(J14*J15/12/INDEX(Assumptions!$C$102:$E$102,3)*(1-J25)/INDEX(Assumptions!$C$101:$E$101,3),0))*(INDEX(Assumptions!$C$98:$E$98,3)+INDEX(Assumptions!$C$99:$E$99,3))/2+ROUNDUP(J14*J15/12/INDEX(Assumptions!$C$102:$E$102,3)/2,0)*INDEX(Assumptions!$C$100:$E$100,3))*12*(1+INDEX(Assumptions!$C$227:$E$227,3))^2/100000</f>
        <v>24.984288</v>
      </c>
      <c r="K42" s="2"/>
    </row>
    <row r="43" customFormat="false" ht="15" hidden="false" customHeight="false" outlineLevel="0" collapsed="false">
      <c r="A43" s="28" t="s">
        <v>831</v>
      </c>
      <c r="B43" s="6" t="n">
        <f aca="false">SUM(Outlook_Conservative!C78:N79)/100000</f>
        <v>3.44</v>
      </c>
      <c r="C43" s="6" t="n">
        <f aca="false">(INDEX(Assumptions!$C$233:$E$233,1)*INDEX(Assumptions!$C$108:$E$108,1)+Outlook_Conservative!N79)*12*(1+INDEX(Assumptions!$C$227:$E$227,1))^1/100000</f>
        <v>4.224</v>
      </c>
      <c r="D43" s="6" t="n">
        <f aca="false">(INDEX(Assumptions!$C$234:$E$234,1)*INDEX(Assumptions!$C$108:$E$108,1)+Outlook_Conservative!N79)*12*(1+INDEX(Assumptions!$C$227:$E$227,1))^2/100000</f>
        <v>4.6464</v>
      </c>
      <c r="E43" s="6" t="n">
        <f aca="false">SUM(Outlook_Base!C78:N79)/100000</f>
        <v>13.825</v>
      </c>
      <c r="F43" s="6" t="n">
        <f aca="false">(INDEX(Assumptions!$C$233:$E$233,2)*INDEX(Assumptions!$C$108:$E$108,2)+Outlook_Base!N79)*12*(1+INDEX(Assumptions!$C$227:$E$227,2))^1/100000</f>
        <v>16.524</v>
      </c>
      <c r="G43" s="6" t="n">
        <f aca="false">(INDEX(Assumptions!$C$234:$E$234,2)*INDEX(Assumptions!$C$108:$E$108,2)+Outlook_Base!N79)*12*(1+INDEX(Assumptions!$C$227:$E$227,2))^2/100000</f>
        <v>19.59552</v>
      </c>
      <c r="H43" s="6" t="n">
        <f aca="false">SUM(Outlook_Aggressive!C78:N79)/100000</f>
        <v>22.85</v>
      </c>
      <c r="I43" s="6" t="n">
        <f aca="false">(INDEX(Assumptions!$C$233:$E$233,3)*INDEX(Assumptions!$C$108:$E$108,3)+Outlook_Aggressive!N79)*12*(1+INDEX(Assumptions!$C$227:$E$227,3))^1/100000</f>
        <v>27.216</v>
      </c>
      <c r="J43" s="6" t="n">
        <f aca="false">(INDEX(Assumptions!$C$234:$E$234,3)*INDEX(Assumptions!$C$108:$E$108,3)+Outlook_Aggressive!N79)*12*(1+INDEX(Assumptions!$C$227:$E$227,3))^2/100000</f>
        <v>31.14288</v>
      </c>
      <c r="K43" s="2"/>
    </row>
    <row r="44" customFormat="false" ht="15" hidden="false" customHeight="false" outlineLevel="0" collapsed="false">
      <c r="A44" s="28" t="s">
        <v>832</v>
      </c>
      <c r="B44" s="6" t="n">
        <f aca="false">SUM(Outlook_Conservative!C80:N81)/100000</f>
        <v>0</v>
      </c>
      <c r="C44" s="6" t="n">
        <f aca="false">(INDEX(Assumptions!$C$235:$E$235,1)*INDEX(Assumptions!$C$186:$E$186,1)+Outlook_Conservative!N80)*12*(1+INDEX(Assumptions!$C$227:$E$227,1))^1/100000</f>
        <v>0</v>
      </c>
      <c r="D44" s="6" t="n">
        <f aca="false">(INDEX(Assumptions!$C$236:$E$236,1)*INDEX(Assumptions!$C$186:$E$186,1)+Outlook_Conservative!N80)*12*(1+INDEX(Assumptions!$C$227:$E$227,1))^2/100000</f>
        <v>4.719</v>
      </c>
      <c r="E44" s="6" t="n">
        <f aca="false">SUM(Outlook_Base!C80:N81)/100000</f>
        <v>1.08</v>
      </c>
      <c r="F44" s="6" t="n">
        <f aca="false">(INDEX(Assumptions!$C$235:$E$235,2)*INDEX(Assumptions!$C$186:$E$186,2)+Outlook_Base!N80)*12*(1+INDEX(Assumptions!$C$227:$E$227,2))^1/100000</f>
        <v>10.7568</v>
      </c>
      <c r="G44" s="6" t="n">
        <f aca="false">(INDEX(Assumptions!$C$236:$E$236,2)*INDEX(Assumptions!$C$186:$E$186,2)+Outlook_Base!N80)*12*(1+INDEX(Assumptions!$C$227:$E$227,2))^2/100000</f>
        <v>11.617344</v>
      </c>
      <c r="H44" s="6" t="n">
        <f aca="false">SUM(Outlook_Aggressive!C80:N81)/100000</f>
        <v>3.57</v>
      </c>
      <c r="I44" s="6" t="n">
        <f aca="false">(INDEX(Assumptions!$C$235:$E$235,3)*INDEX(Assumptions!$C$186:$E$186,3)+Outlook_Aggressive!N80)*12*(1+INDEX(Assumptions!$C$227:$E$227,3))^1/100000</f>
        <v>10.7568</v>
      </c>
      <c r="J44" s="6" t="n">
        <f aca="false">(INDEX(Assumptions!$C$236:$E$236,3)*INDEX(Assumptions!$C$186:$E$186,3)+Outlook_Aggressive!N80)*12*(1+INDEX(Assumptions!$C$227:$E$227,3))^2/100000</f>
        <v>11.617344</v>
      </c>
      <c r="K44" s="2"/>
    </row>
    <row r="45" customFormat="false" ht="15" hidden="false" customHeight="false" outlineLevel="0" collapsed="false">
      <c r="A45" s="28" t="s">
        <v>833</v>
      </c>
      <c r="B45" s="6" t="n">
        <f aca="false">(Outlook_Conservative!O84+Outlook_Conservative!O85)/100000</f>
        <v>6.84</v>
      </c>
      <c r="C45" s="6" t="n">
        <f aca="false">(Outlook_Conservative!N84+Outlook_Conservative!N85)*12*(1+INDEX(Assumptions!$C$228:$E$228,1))^1/100000</f>
        <v>7.182</v>
      </c>
      <c r="D45" s="6" t="n">
        <f aca="false">(Outlook_Conservative!N84+Outlook_Conservative!N85)*12*(1+INDEX(Assumptions!$C$228:$E$228,1))^2/100000</f>
        <v>7.5411</v>
      </c>
      <c r="E45" s="6" t="n">
        <f aca="false">(Outlook_Base!O84+Outlook_Base!O85)/100000</f>
        <v>9.876</v>
      </c>
      <c r="F45" s="6" t="n">
        <f aca="false">(Outlook_Base!N84+Outlook_Base!N85)*12*(1+INDEX(Assumptions!$C$228:$E$228,2))^1/100000</f>
        <v>15.0696</v>
      </c>
      <c r="G45" s="6" t="n">
        <f aca="false">(Outlook_Base!N84+Outlook_Base!N85)*12*(1+INDEX(Assumptions!$C$228:$E$228,2))^2/100000</f>
        <v>15.82308</v>
      </c>
      <c r="H45" s="6" t="n">
        <f aca="false">(Outlook_Aggressive!O84+Outlook_Aggressive!O85)/100000</f>
        <v>14.598</v>
      </c>
      <c r="I45" s="6" t="n">
        <f aca="false">(Outlook_Aggressive!N84+Outlook_Aggressive!N85)*12*(1+INDEX(Assumptions!$C$228:$E$228,3))^1/100000</f>
        <v>18.5472</v>
      </c>
      <c r="J45" s="6" t="n">
        <f aca="false">(Outlook_Aggressive!N84+Outlook_Aggressive!N85)*12*(1+INDEX(Assumptions!$C$228:$E$228,3))^2/100000</f>
        <v>19.47456</v>
      </c>
      <c r="K45" s="2"/>
    </row>
    <row r="46" customFormat="false" ht="15" hidden="false" customHeight="false" outlineLevel="0" collapsed="false">
      <c r="A46" s="28" t="s">
        <v>834</v>
      </c>
      <c r="B46" s="6" t="n">
        <f aca="false">Outlook_Conservative!O87/100000</f>
        <v>4.2</v>
      </c>
      <c r="C46" s="6" t="n">
        <f aca="false">(INDEX(Assumptions!$C$237:$E$237,1)+C18*INDEX(Assumptions!$C$239:$E$239,1)+C22*INDEX(Assumptions!$C$214:$E$214,1)*0.5)/100000</f>
        <v>3</v>
      </c>
      <c r="D46" s="6" t="n">
        <f aca="false">(INDEX(Assumptions!$C$238:$E$238,1)+D18*INDEX(Assumptions!$C$239:$E$239,1)+D22*INDEX(Assumptions!$C$214:$E$214,1)*0.5)/100000</f>
        <v>4.65</v>
      </c>
      <c r="E46" s="6" t="n">
        <f aca="false">Outlook_Base!O87/100000</f>
        <v>9.35</v>
      </c>
      <c r="F46" s="6" t="n">
        <f aca="false">(INDEX(Assumptions!$C$237:$E$237,2)+F18*INDEX(Assumptions!$C$239:$E$239,2)+F22*INDEX(Assumptions!$C$214:$E$214,2)*0.5)/100000</f>
        <v>14.475</v>
      </c>
      <c r="G46" s="6" t="n">
        <f aca="false">(INDEX(Assumptions!$C$238:$E$238,2)+G18*INDEX(Assumptions!$C$239:$E$239,2)+G22*INDEX(Assumptions!$C$214:$E$214,2)*0.5)/100000</f>
        <v>19.175</v>
      </c>
      <c r="H46" s="6" t="n">
        <f aca="false">Outlook_Aggressive!O87/100000</f>
        <v>16.85</v>
      </c>
      <c r="I46" s="6" t="n">
        <f aca="false">(INDEX(Assumptions!$C$237:$E$237,3)+I18*INDEX(Assumptions!$C$239:$E$239,3)+I22*INDEX(Assumptions!$C$214:$E$214,3)*0.5)/100000</f>
        <v>27.9877315289719</v>
      </c>
      <c r="J46" s="6" t="n">
        <f aca="false">(INDEX(Assumptions!$C$238:$E$238,3)+J18*INDEX(Assumptions!$C$239:$E$239,3)+J22*INDEX(Assumptions!$C$214:$E$214,3)*0.5)/100000</f>
        <v>33.8917447999714</v>
      </c>
      <c r="K46" s="2"/>
    </row>
    <row r="47" customFormat="false" ht="15" hidden="false" customHeight="false" outlineLevel="0" collapsed="false">
      <c r="A47" s="28" t="s">
        <v>835</v>
      </c>
      <c r="B47" s="6" t="n">
        <f aca="false">(Outlook_Conservative!O86+Outlook_Conservative!O88+Outlook_Conservative!O89+Outlook_Conservative!O90)/100000</f>
        <v>3.79996</v>
      </c>
      <c r="C47" s="6" t="n">
        <f aca="false">((Outlook_Conservative!N86+INDEX(Assumptions!$C$170:$E$170,1)+INDEX(Assumptions!$C$195:$E$195,1))*12+IF(C22&gt;0,INDEX(Assumptions!$C$215:$E$215,1),0))/100000</f>
        <v>2.79996</v>
      </c>
      <c r="D47" s="6" t="n">
        <f aca="false">((Outlook_Conservative!N86+INDEX(Assumptions!$C$170:$E$170,1)+INDEX(Assumptions!$C$195:$E$195,1))*12+IF(D22&gt;0,INDEX(Assumptions!$C$215:$E$215,1),0))/100000</f>
        <v>3.79996</v>
      </c>
      <c r="E47" s="6" t="n">
        <f aca="false">(Outlook_Base!O86+Outlook_Base!O88+Outlook_Base!O89+Outlook_Base!O90)/100000</f>
        <v>8.75996</v>
      </c>
      <c r="F47" s="6" t="n">
        <f aca="false">((Outlook_Base!N86+INDEX(Assumptions!$C$170:$E$170,2)+INDEX(Assumptions!$C$195:$E$195,2))*12+IF(F22&gt;0,INDEX(Assumptions!$C$215:$E$215,2),0))/100000</f>
        <v>8.45996</v>
      </c>
      <c r="G47" s="6" t="n">
        <f aca="false">((Outlook_Base!N86+INDEX(Assumptions!$C$170:$E$170,2)+INDEX(Assumptions!$C$195:$E$195,2))*12+IF(G22&gt;0,INDEX(Assumptions!$C$215:$E$215,2),0))/100000</f>
        <v>8.45996</v>
      </c>
      <c r="H47" s="6" t="n">
        <f aca="false">(Outlook_Aggressive!O86+Outlook_Aggressive!O88+Outlook_Aggressive!O89+Outlook_Aggressive!O90)/100000</f>
        <v>13.28004</v>
      </c>
      <c r="I47" s="6" t="n">
        <f aca="false">((Outlook_Aggressive!N86+INDEX(Assumptions!$C$170:$E$170,3)+INDEX(Assumptions!$C$195:$E$195,3))*12+IF(I22&gt;0,INDEX(Assumptions!$C$215:$E$215,3),0))/100000</f>
        <v>12.26004</v>
      </c>
      <c r="J47" s="6" t="n">
        <f aca="false">((Outlook_Aggressive!N86+INDEX(Assumptions!$C$170:$E$170,3)+INDEX(Assumptions!$C$195:$E$195,3))*12+IF(J22&gt;0,INDEX(Assumptions!$C$215:$E$215,3),0))/100000</f>
        <v>12.26004</v>
      </c>
      <c r="K47" s="2"/>
    </row>
    <row r="48" customFormat="false" ht="15" hidden="false" customHeight="false" outlineLevel="0" collapsed="false">
      <c r="A48" s="3" t="s">
        <v>836</v>
      </c>
      <c r="B48" s="32" t="n">
        <f aca="false">SUM(B41:B47)</f>
        <v>30.2688534889034</v>
      </c>
      <c r="C48" s="32" t="n">
        <f aca="false">SUM(C41:C47)</f>
        <v>33.8419114471158</v>
      </c>
      <c r="D48" s="32" t="n">
        <f aca="false">SUM(D41:D47)</f>
        <v>46.2979403767301</v>
      </c>
      <c r="E48" s="32" t="n">
        <f aca="false">SUM(E41:E47)</f>
        <v>65.6288776719956</v>
      </c>
      <c r="F48" s="32" t="n">
        <f aca="false">SUM(F41:F47)</f>
        <v>102.462874876919</v>
      </c>
      <c r="G48" s="32" t="n">
        <f aca="false">SUM(G41:G47)</f>
        <v>122.094263606731</v>
      </c>
      <c r="H48" s="32" t="n">
        <f aca="false">SUM(H41:H47)</f>
        <v>99.4878052102279</v>
      </c>
      <c r="I48" s="32" t="n">
        <f aca="false">SUM(I41:I47)</f>
        <v>139.29178515351</v>
      </c>
      <c r="J48" s="32" t="n">
        <f aca="false">SUM(J41:J47)</f>
        <v>171.898980083565</v>
      </c>
      <c r="K48" s="2"/>
    </row>
    <row r="49" customFormat="false" ht="15" hidden="false" customHeight="false" outlineLevel="0" collapsed="false">
      <c r="A49" s="3" t="s">
        <v>64</v>
      </c>
      <c r="B49" s="32" t="n">
        <f aca="false">B38-B48</f>
        <v>-13.554457132969</v>
      </c>
      <c r="C49" s="32" t="n">
        <f aca="false">C38-C48</f>
        <v>-7.21015237380403</v>
      </c>
      <c r="D49" s="32" t="n">
        <f aca="false">D38-D48</f>
        <v>-9.64064183343418</v>
      </c>
      <c r="E49" s="32" t="n">
        <f aca="false">E38-E48</f>
        <v>5.5146551016814</v>
      </c>
      <c r="F49" s="32" t="n">
        <f aca="false">F38-F48</f>
        <v>17.5520533623628</v>
      </c>
      <c r="G49" s="32" t="n">
        <f aca="false">G38-G48</f>
        <v>44.8369010460919</v>
      </c>
      <c r="H49" s="32" t="n">
        <f aca="false">H38-H48</f>
        <v>35.0664776546316</v>
      </c>
      <c r="I49" s="32" t="n">
        <f aca="false">I38-I48</f>
        <v>96.3664258375332</v>
      </c>
      <c r="J49" s="32" t="n">
        <f aca="false">J38-J48</f>
        <v>162.74302052359</v>
      </c>
      <c r="K49" s="2"/>
    </row>
    <row r="50" customFormat="false" ht="15" hidden="false" customHeight="false" outlineLevel="0" collapsed="false">
      <c r="A50" s="3" t="s">
        <v>65</v>
      </c>
      <c r="B50" s="30" t="n">
        <f aca="false">IFERROR(B49/B38,0)</f>
        <v>-0.810945058638418</v>
      </c>
      <c r="C50" s="30" t="n">
        <f aca="false">IFERROR(C49/C38,0)</f>
        <v>-0.270735115692356</v>
      </c>
      <c r="D50" s="30" t="n">
        <f aca="false">IFERROR(D49/D38,0)</f>
        <v>-0.262993788864382</v>
      </c>
      <c r="E50" s="30" t="n">
        <f aca="false">IFERROR(E49/E38,0)</f>
        <v>0.0775144962118301</v>
      </c>
      <c r="F50" s="30" t="n">
        <f aca="false">IFERROR(F49/F38,0)</f>
        <v>0.14624891769604</v>
      </c>
      <c r="G50" s="30" t="n">
        <f aca="false">IFERROR(G49/G38,0)</f>
        <v>0.268595149020509</v>
      </c>
      <c r="H50" s="30" t="n">
        <f aca="false">IFERROR(H49/H38,0)</f>
        <v>0.26061212551555</v>
      </c>
      <c r="I50" s="30" t="n">
        <f aca="false">IFERROR(I49/I38,0)</f>
        <v>0.408924541318851</v>
      </c>
      <c r="J50" s="30" t="n">
        <f aca="false">IFERROR(J49/J38,0)</f>
        <v>0.486319769270799</v>
      </c>
      <c r="K50" s="2"/>
    </row>
    <row r="51" customFormat="false" ht="15" hidden="false" customHeight="false" outlineLevel="0" collapsed="false">
      <c r="A51" s="28" t="s">
        <v>837</v>
      </c>
      <c r="B51" s="6" t="n">
        <f aca="false">Outlook_Conservative!O101/100000</f>
        <v>0.5</v>
      </c>
      <c r="C51" s="6" t="n">
        <f aca="false">(INDEX(Assumptions!$C$241:$E$241,1)+MAX(0,C11-B11)*INDEX(Assumptions!$C$183:$E$183,1)+IF(C24&gt;0,INDEX(Assumptions!$C$225:$E$225,1),0))/100000</f>
        <v>3</v>
      </c>
      <c r="D51" s="6" t="n">
        <f aca="false">(INDEX(Assumptions!$C$242:$E$242,1)+MAX(0,D11-C11)*INDEX(Assumptions!$C$183:$E$183,1)+IF(D24&gt;0,INDEX(Assumptions!$C$225:$E$225,1),0))/100000</f>
        <v>2.7</v>
      </c>
      <c r="E51" s="6" t="n">
        <f aca="false">Outlook_Base!O101/100000</f>
        <v>19.72</v>
      </c>
      <c r="F51" s="6" t="n">
        <f aca="false">(INDEX(Assumptions!$C$241:$E$241,2)+MAX(0,F11-E11)*INDEX(Assumptions!$C$183:$E$183,2)+IF(F24&gt;0,INDEX(Assumptions!$C$225:$E$225,2),0))/100000</f>
        <v>3</v>
      </c>
      <c r="G51" s="6" t="n">
        <f aca="false">(INDEX(Assumptions!$C$242:$E$242,2)+MAX(0,G11-F11)*INDEX(Assumptions!$C$183:$E$183,2)+IF(G24&gt;0,INDEX(Assumptions!$C$225:$E$225,2),0))/100000</f>
        <v>3.6</v>
      </c>
      <c r="H51" s="6" t="n">
        <f aca="false">Outlook_Aggressive!O101/100000</f>
        <v>27.04</v>
      </c>
      <c r="I51" s="6" t="n">
        <f aca="false">(INDEX(Assumptions!$C$241:$E$241,3)+MAX(0,I11-H11)*INDEX(Assumptions!$C$183:$E$183,3)+IF(I24&gt;0,INDEX(Assumptions!$C$225:$E$225,3),0))/100000</f>
        <v>5</v>
      </c>
      <c r="J51" s="6" t="n">
        <f aca="false">(INDEX(Assumptions!$C$242:$E$242,3)+MAX(0,J11-I11)*INDEX(Assumptions!$C$183:$E$183,3)+IF(J24&gt;0,INDEX(Assumptions!$C$225:$E$225,3),0))/100000</f>
        <v>8.1</v>
      </c>
      <c r="K51" s="2"/>
    </row>
    <row r="52" customFormat="false" ht="15" hidden="false" customHeight="false" outlineLevel="0" collapsed="false">
      <c r="A52" s="3" t="s">
        <v>838</v>
      </c>
      <c r="B52" s="32" t="n">
        <f aca="false">Outlook_Conservative!N104/100000</f>
        <v>-15.4432169386837</v>
      </c>
      <c r="C52" s="32" t="n">
        <f aca="false">C49-C51</f>
        <v>-10.210152373804</v>
      </c>
      <c r="D52" s="32" t="n">
        <f aca="false">D49-D51</f>
        <v>-12.3406418334342</v>
      </c>
      <c r="E52" s="32" t="n">
        <f aca="false">Outlook_Base!N104/100000</f>
        <v>-17.129607610183</v>
      </c>
      <c r="F52" s="32" t="n">
        <f aca="false">F49-F51</f>
        <v>14.5520533623628</v>
      </c>
      <c r="G52" s="32" t="n">
        <f aca="false">G49-G51</f>
        <v>41.2369010460919</v>
      </c>
      <c r="H52" s="32" t="n">
        <f aca="false">Outlook_Aggressive!N104/100000</f>
        <v>8.02647765463154</v>
      </c>
      <c r="I52" s="32" t="n">
        <f aca="false">I49-I51</f>
        <v>91.3664258375332</v>
      </c>
      <c r="J52" s="32" t="n">
        <f aca="false">J49-J51</f>
        <v>154.64302052359</v>
      </c>
      <c r="K52" s="2"/>
    </row>
    <row r="53" customFormat="false" ht="15" hidden="false" customHeight="false" outlineLevel="0" collapsed="false">
      <c r="A53" s="3" t="s">
        <v>839</v>
      </c>
      <c r="B53" s="32" t="n">
        <f aca="false">B52</f>
        <v>-15.4432169386837</v>
      </c>
      <c r="C53" s="32" t="n">
        <f aca="false">B53+C52</f>
        <v>-25.6533693124878</v>
      </c>
      <c r="D53" s="32" t="n">
        <f aca="false">C53+D52</f>
        <v>-37.9940111459219</v>
      </c>
      <c r="E53" s="32" t="n">
        <f aca="false">E52</f>
        <v>-17.129607610183</v>
      </c>
      <c r="F53" s="32" t="n">
        <f aca="false">E53+F52</f>
        <v>-2.57755424782021</v>
      </c>
      <c r="G53" s="32" t="n">
        <f aca="false">F53+G52</f>
        <v>38.6593467982717</v>
      </c>
      <c r="H53" s="32" t="n">
        <f aca="false">H52</f>
        <v>8.02647765463154</v>
      </c>
      <c r="I53" s="32" t="n">
        <f aca="false">H53+I52</f>
        <v>99.3929034921648</v>
      </c>
      <c r="J53" s="32" t="n">
        <f aca="false">I53+J52</f>
        <v>254.035924015754</v>
      </c>
      <c r="K53" s="2"/>
    </row>
    <row r="54" customFormat="false" ht="15" hidden="false" customHeight="false" outlineLevel="0" collapsed="false">
      <c r="A54" s="3" t="s">
        <v>840</v>
      </c>
      <c r="B54" s="32" t="n">
        <f aca="false">Outlook_Conservative!O105/100000</f>
        <v>15.4432169386837</v>
      </c>
      <c r="C54" s="32" t="n">
        <f aca="false">MAX(B54,-MIN(0,C53))</f>
        <v>25.6533693124878</v>
      </c>
      <c r="D54" s="32" t="n">
        <f aca="false">MAX(C54,-MIN(0,D53))</f>
        <v>37.9940111459219</v>
      </c>
      <c r="E54" s="32" t="n">
        <f aca="false">Outlook_Base!O105/100000</f>
        <v>26.1422351919159</v>
      </c>
      <c r="F54" s="32" t="n">
        <f aca="false">MAX(E54,-MIN(0,F53))</f>
        <v>26.1422351919159</v>
      </c>
      <c r="G54" s="32" t="n">
        <f aca="false">MAX(F54,-MIN(0,G53))</f>
        <v>26.1422351919159</v>
      </c>
      <c r="H54" s="32" t="n">
        <f aca="false">Outlook_Aggressive!O105/100000</f>
        <v>28.8070601613908</v>
      </c>
      <c r="I54" s="32" t="n">
        <f aca="false">MAX(H54,-MIN(0,I53))</f>
        <v>28.8070601613908</v>
      </c>
      <c r="J54" s="32" t="n">
        <f aca="false">MAX(I54,-MIN(0,J53))</f>
        <v>28.8070601613908</v>
      </c>
      <c r="K54" s="2"/>
    </row>
    <row r="55" customFormat="false" ht="15" hidden="false" customHeight="false" outlineLevel="0" collapsed="false">
      <c r="A55" s="10" t="s">
        <v>841</v>
      </c>
      <c r="B55" s="11"/>
      <c r="C55" s="11"/>
      <c r="D55" s="11"/>
      <c r="E55" s="11"/>
      <c r="F55" s="11"/>
      <c r="G55" s="11"/>
      <c r="H55" s="11"/>
      <c r="I55" s="11"/>
      <c r="J55" s="11"/>
      <c r="K55" s="11"/>
    </row>
    <row r="56" customFormat="false" ht="15" hidden="false" customHeight="false" outlineLevel="0" collapsed="false">
      <c r="A56" s="28" t="s">
        <v>842</v>
      </c>
      <c r="B56" s="6" t="n">
        <f aca="false">B30+B33</f>
        <v>12.1333786753372</v>
      </c>
      <c r="C56" s="6" t="n">
        <f aca="false">C30+C33</f>
        <v>17.8831048336301</v>
      </c>
      <c r="D56" s="6" t="n">
        <f aca="false">D30+D33</f>
        <v>19.5129438020979</v>
      </c>
      <c r="E56" s="6" t="n">
        <f aca="false">E30+E33</f>
        <v>44.7422755777377</v>
      </c>
      <c r="F56" s="6" t="n">
        <f aca="false">F30+F33</f>
        <v>63.7980155145055</v>
      </c>
      <c r="G56" s="6" t="n">
        <f aca="false">G30+G33</f>
        <v>71.874763695987</v>
      </c>
      <c r="H56" s="6" t="n">
        <f aca="false">H30+H33</f>
        <v>75.1876661716312</v>
      </c>
      <c r="I56" s="6" t="n">
        <f aca="false">I30+I33</f>
        <v>100.277848500593</v>
      </c>
      <c r="J56" s="6" t="n">
        <f aca="false">J30+J33</f>
        <v>104.56650748773</v>
      </c>
      <c r="K56" s="2"/>
    </row>
    <row r="57" customFormat="false" ht="15" hidden="false" customHeight="false" outlineLevel="0" collapsed="false">
      <c r="A57" s="28" t="s">
        <v>843</v>
      </c>
      <c r="B57" s="6" t="n">
        <f aca="false">B31+B37</f>
        <v>1.59152030683187</v>
      </c>
      <c r="C57" s="6" t="n">
        <f aca="false">C31+C37</f>
        <v>2.57106314778686</v>
      </c>
      <c r="D57" s="6" t="n">
        <f aca="false">D31+D37</f>
        <v>3.40151654452201</v>
      </c>
      <c r="E57" s="6" t="n">
        <f aca="false">E31+E37</f>
        <v>12.1525524796193</v>
      </c>
      <c r="F57" s="6" t="n">
        <f aca="false">F31+F37</f>
        <v>17.763987301701</v>
      </c>
      <c r="G57" s="6" t="n">
        <f aca="false">G31+G37</f>
        <v>24.85537103254</v>
      </c>
      <c r="H57" s="6" t="n">
        <f aca="false">H31+H37</f>
        <v>31.3056652861239</v>
      </c>
      <c r="I57" s="6" t="n">
        <f aca="false">I31+I37</f>
        <v>42.9633110901707</v>
      </c>
      <c r="J57" s="6" t="n">
        <f aca="false">J31+J37</f>
        <v>75.5567772354576</v>
      </c>
      <c r="K57" s="2"/>
    </row>
    <row r="58" customFormat="false" ht="15" hidden="false" customHeight="false" outlineLevel="0" collapsed="false">
      <c r="A58" s="28" t="s">
        <v>844</v>
      </c>
      <c r="B58" s="6" t="n">
        <f aca="false">B32</f>
        <v>0</v>
      </c>
      <c r="C58" s="6" t="n">
        <f aca="false">C32</f>
        <v>0</v>
      </c>
      <c r="D58" s="6" t="n">
        <f aca="false">D32</f>
        <v>4.6271186440678</v>
      </c>
      <c r="E58" s="6" t="n">
        <f aca="false">E32</f>
        <v>0</v>
      </c>
      <c r="F58" s="6" t="n">
        <f aca="false">F32</f>
        <v>10.1694915254237</v>
      </c>
      <c r="G58" s="6" t="n">
        <f aca="false">G32</f>
        <v>25.1525423728814</v>
      </c>
      <c r="H58" s="6" t="n">
        <f aca="false">H32</f>
        <v>0</v>
      </c>
      <c r="I58" s="6" t="n">
        <f aca="false">I32</f>
        <v>25.3197587201006</v>
      </c>
      <c r="J58" s="6" t="n">
        <f aca="false">J32</f>
        <v>49.3481727455011</v>
      </c>
      <c r="K58" s="2"/>
    </row>
    <row r="59" customFormat="false" ht="15" hidden="false" customHeight="false" outlineLevel="0" collapsed="false">
      <c r="A59" s="28" t="s">
        <v>845</v>
      </c>
      <c r="B59" s="6" t="n">
        <f aca="false">B34</f>
        <v>2.96025540254237</v>
      </c>
      <c r="C59" s="6" t="n">
        <f aca="false">C34</f>
        <v>4.933504562935</v>
      </c>
      <c r="D59" s="6" t="n">
        <f aca="false">D34</f>
        <v>5.84163208703085</v>
      </c>
      <c r="E59" s="6" t="n">
        <f aca="false">E34</f>
        <v>13.8736380508475</v>
      </c>
      <c r="F59" s="6" t="n">
        <f aca="false">F34</f>
        <v>21.1769441294822</v>
      </c>
      <c r="G59" s="6" t="n">
        <f aca="false">G34</f>
        <v>27.0632979589702</v>
      </c>
      <c r="H59" s="6" t="n">
        <f aca="false">H34</f>
        <v>27.028361440678</v>
      </c>
      <c r="I59" s="6" t="n">
        <f aca="false">I34</f>
        <v>47.9523208013484</v>
      </c>
      <c r="J59" s="6" t="n">
        <f aca="false">J34</f>
        <v>61.1546467437438</v>
      </c>
      <c r="K59" s="2"/>
    </row>
    <row r="60" customFormat="false" ht="15" hidden="false" customHeight="false" outlineLevel="0" collapsed="false">
      <c r="A60" s="28" t="s">
        <v>846</v>
      </c>
      <c r="B60" s="6" t="n">
        <f aca="false">B35</f>
        <v>0</v>
      </c>
      <c r="C60" s="6" t="n">
        <f aca="false">C35</f>
        <v>0</v>
      </c>
      <c r="D60" s="6" t="n">
        <f aca="false">D35</f>
        <v>1.26991525423729</v>
      </c>
      <c r="E60" s="6" t="n">
        <f aca="false">E35</f>
        <v>0</v>
      </c>
      <c r="F60" s="6" t="n">
        <f aca="false">F35</f>
        <v>3.81101694915254</v>
      </c>
      <c r="G60" s="6" t="n">
        <f aca="false">G35</f>
        <v>11.4330508474576</v>
      </c>
      <c r="H60" s="6" t="n">
        <f aca="false">H35</f>
        <v>0</v>
      </c>
      <c r="I60" s="6" t="n">
        <f aca="false">I35</f>
        <v>13.5525423728814</v>
      </c>
      <c r="J60" s="6" t="n">
        <f aca="false">J35</f>
        <v>33.8813559322034</v>
      </c>
      <c r="K60" s="2"/>
    </row>
    <row r="61" customFormat="false" ht="15" hidden="false" customHeight="false" outlineLevel="0" collapsed="false">
      <c r="A61" s="28" t="s">
        <v>847</v>
      </c>
      <c r="B61" s="6" t="n">
        <f aca="false">B36</f>
        <v>0.0292419712230216</v>
      </c>
      <c r="C61" s="6" t="n">
        <f aca="false">C36</f>
        <v>1.24408652895988</v>
      </c>
      <c r="D61" s="6" t="n">
        <f aca="false">D36</f>
        <v>2.00417221134008</v>
      </c>
      <c r="E61" s="6" t="n">
        <f aca="false">E36</f>
        <v>0.375066665472567</v>
      </c>
      <c r="F61" s="6" t="n">
        <f aca="false">F36</f>
        <v>3.29547281901679</v>
      </c>
      <c r="G61" s="6" t="n">
        <f aca="false">G36</f>
        <v>6.55213874498627</v>
      </c>
      <c r="H61" s="6" t="n">
        <f aca="false">H36</f>
        <v>1.03258996642628</v>
      </c>
      <c r="I61" s="6" t="n">
        <f aca="false">I36</f>
        <v>5.59242950594886</v>
      </c>
      <c r="J61" s="6" t="n">
        <f aca="false">J36</f>
        <v>10.1345404625179</v>
      </c>
      <c r="K61" s="2"/>
    </row>
    <row r="62" customFormat="false" ht="15" hidden="false" customHeight="false" outlineLevel="0" collapsed="false">
      <c r="A62" s="28" t="s">
        <v>848</v>
      </c>
      <c r="B62" s="8" t="n">
        <f aca="false">B17*(1-B8)</f>
        <v>25.8199408408273</v>
      </c>
      <c r="C62" s="8" t="n">
        <f aca="false">C17*(1-C8)</f>
        <v>33.1409007194245</v>
      </c>
      <c r="D62" s="8" t="n">
        <f aca="false">D17*(1-D8)</f>
        <v>33.5697829640288</v>
      </c>
      <c r="E62" s="8" t="n">
        <f aca="false">E17*(1-E8)</f>
        <v>67.0876380595926</v>
      </c>
      <c r="F62" s="8" t="n">
        <f aca="false">F17*(1-F8)</f>
        <v>91.4391250043935</v>
      </c>
      <c r="G62" s="8" t="n">
        <f aca="false">G17*(1-G8)</f>
        <v>93.8775016711773</v>
      </c>
      <c r="H62" s="8" t="n">
        <f aca="false">H17*(1-H8)</f>
        <v>80.0994500180697</v>
      </c>
      <c r="I62" s="8" t="n">
        <f aca="false">I17*(1-I8)</f>
        <v>104.496145889206</v>
      </c>
      <c r="J62" s="8" t="n">
        <f aca="false">J17*(1-J8)</f>
        <v>97.4796478262423</v>
      </c>
      <c r="K62" s="2"/>
    </row>
    <row r="63" customFormat="false" ht="15" hidden="false" customHeight="false" outlineLevel="0" collapsed="false">
      <c r="A63" s="28" t="s">
        <v>849</v>
      </c>
      <c r="B63" s="8" t="n">
        <f aca="false">B17*B8+B24</f>
        <v>4.5564601483813</v>
      </c>
      <c r="C63" s="8" t="n">
        <f aca="false">C17*C8+C24</f>
        <v>5.84839424460432</v>
      </c>
      <c r="D63" s="8" t="n">
        <f aca="false">D17*D8+D24</f>
        <v>7.36897674820144</v>
      </c>
      <c r="E63" s="8" t="n">
        <f aca="false">E17*E8+E24</f>
        <v>22.3625460198642</v>
      </c>
      <c r="F63" s="8" t="n">
        <f aca="false">F17*F8+F24</f>
        <v>30.4797083347978</v>
      </c>
      <c r="G63" s="8" t="n">
        <f aca="false">G17*G8+G24</f>
        <v>40.2332150019331</v>
      </c>
      <c r="H63" s="8" t="n">
        <f aca="false">H17*H8+H24</f>
        <v>43.1304730866529</v>
      </c>
      <c r="I63" s="8" t="n">
        <f aca="false">I17*I8+I24</f>
        <v>56.267155478803</v>
      </c>
      <c r="J63" s="8" t="n">
        <f aca="false">J17*J8+J24</f>
        <v>94.9864318841616</v>
      </c>
      <c r="K63" s="2"/>
    </row>
    <row r="64" customFormat="false" ht="15" hidden="false" customHeight="false" outlineLevel="0" collapsed="false">
      <c r="A64" s="28" t="s">
        <v>850</v>
      </c>
      <c r="B64" s="8" t="n">
        <f aca="false">B18</f>
        <v>0</v>
      </c>
      <c r="C64" s="8" t="n">
        <f aca="false">C18</f>
        <v>0</v>
      </c>
      <c r="D64" s="8" t="n">
        <f aca="false">D18</f>
        <v>8</v>
      </c>
      <c r="E64" s="8" t="n">
        <f aca="false">E18</f>
        <v>0</v>
      </c>
      <c r="F64" s="8" t="n">
        <f aca="false">F18</f>
        <v>15</v>
      </c>
      <c r="G64" s="8" t="n">
        <f aca="false">G18</f>
        <v>35</v>
      </c>
      <c r="H64" s="8" t="n">
        <f aca="false">H18</f>
        <v>0</v>
      </c>
      <c r="I64" s="8" t="n">
        <f aca="false">I18</f>
        <v>29.8773152897187</v>
      </c>
      <c r="J64" s="8" t="n">
        <f aca="false">J18</f>
        <v>53.9174479997141</v>
      </c>
      <c r="K64" s="2"/>
    </row>
    <row r="65" customFormat="false" ht="15" hidden="false" customHeight="false" outlineLevel="0" collapsed="false">
      <c r="A65" s="10" t="s">
        <v>851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</row>
    <row r="66" customFormat="false" ht="15" hidden="false" customHeight="false" outlineLevel="0" collapsed="false">
      <c r="A66" s="28" t="s">
        <v>852</v>
      </c>
      <c r="B66" s="27" t="n">
        <f aca="false">ROUND(B38-SUM(B56:B61),6)</f>
        <v>0</v>
      </c>
      <c r="C66" s="27" t="n">
        <f aca="false">ROUND(C38-SUM(C56:C61),6)</f>
        <v>0</v>
      </c>
      <c r="D66" s="27" t="n">
        <f aca="false">ROUND(D38-SUM(D56:D61),6)</f>
        <v>0</v>
      </c>
      <c r="E66" s="27" t="n">
        <f aca="false">ROUND(E38-SUM(E56:E61),6)</f>
        <v>0</v>
      </c>
      <c r="F66" s="27" t="n">
        <f aca="false">ROUND(F38-SUM(F56:F61),6)</f>
        <v>0</v>
      </c>
      <c r="G66" s="27" t="n">
        <f aca="false">ROUND(G38-SUM(G56:G61),6)</f>
        <v>0</v>
      </c>
      <c r="H66" s="27" t="n">
        <f aca="false">ROUND(H38-SUM(H56:H61),6)</f>
        <v>0</v>
      </c>
      <c r="I66" s="27" t="n">
        <f aca="false">ROUND(I38-SUM(I56:I61),6)</f>
        <v>0</v>
      </c>
      <c r="J66" s="27" t="n">
        <f aca="false">ROUND(J38-SUM(J56:J61),6)</f>
        <v>0</v>
      </c>
      <c r="K6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8"/>
    <col collapsed="false" customWidth="true" hidden="false" outlineLevel="0" max="12" min="3" style="0" width="16"/>
  </cols>
  <sheetData>
    <row r="1" customFormat="false" ht="17.35" hidden="false" customHeight="false" outlineLevel="0" collapsed="false">
      <c r="A1" s="1" t="s">
        <v>853</v>
      </c>
    </row>
    <row r="2" customFormat="false" ht="15" hidden="false" customHeight="false" outlineLevel="0" collapsed="false">
      <c r="A2" s="2" t="s">
        <v>854</v>
      </c>
    </row>
    <row r="4" customFormat="false" ht="15" hidden="false" customHeight="false" outlineLevel="0" collapsed="false">
      <c r="A4" s="5" t="s">
        <v>855</v>
      </c>
      <c r="B4" s="5" t="s">
        <v>75</v>
      </c>
      <c r="C4" s="5" t="s">
        <v>856</v>
      </c>
      <c r="D4" s="5" t="s">
        <v>76</v>
      </c>
      <c r="E4" s="5" t="s">
        <v>857</v>
      </c>
    </row>
    <row r="5" customFormat="false" ht="15" hidden="false" customHeight="false" outlineLevel="0" collapsed="false">
      <c r="A5" s="3" t="s">
        <v>858</v>
      </c>
      <c r="B5" s="13" t="s">
        <v>859</v>
      </c>
      <c r="C5" s="15" t="n">
        <v>2910000</v>
      </c>
      <c r="D5" s="13" t="s">
        <v>135</v>
      </c>
      <c r="E5" s="2" t="s">
        <v>860</v>
      </c>
    </row>
    <row r="6" customFormat="false" ht="15" hidden="false" customHeight="false" outlineLevel="0" collapsed="false">
      <c r="A6" s="3" t="s">
        <v>861</v>
      </c>
      <c r="B6" s="13" t="s">
        <v>862</v>
      </c>
      <c r="C6" s="15" t="n">
        <v>1650000</v>
      </c>
      <c r="D6" s="13" t="s">
        <v>90</v>
      </c>
      <c r="E6" s="2" t="s">
        <v>863</v>
      </c>
    </row>
    <row r="7" customFormat="false" ht="15" hidden="false" customHeight="false" outlineLevel="0" collapsed="false">
      <c r="A7" s="3" t="s">
        <v>864</v>
      </c>
      <c r="B7" s="13" t="s">
        <v>865</v>
      </c>
      <c r="C7" s="15" t="n">
        <v>46</v>
      </c>
      <c r="D7" s="13" t="s">
        <v>353</v>
      </c>
      <c r="E7" s="2" t="s">
        <v>866</v>
      </c>
    </row>
    <row r="8" customFormat="false" ht="15" hidden="false" customHeight="false" outlineLevel="0" collapsed="false">
      <c r="A8" s="3" t="s">
        <v>867</v>
      </c>
      <c r="B8" s="13" t="s">
        <v>868</v>
      </c>
      <c r="C8" s="15" t="n">
        <v>25</v>
      </c>
      <c r="D8" s="13" t="s">
        <v>353</v>
      </c>
      <c r="E8" s="2" t="s">
        <v>869</v>
      </c>
    </row>
    <row r="9" customFormat="false" ht="15" hidden="false" customHeight="false" outlineLevel="0" collapsed="false">
      <c r="A9" s="3" t="s">
        <v>870</v>
      </c>
      <c r="B9" s="13" t="s">
        <v>871</v>
      </c>
      <c r="C9" s="19" t="n">
        <v>0.15</v>
      </c>
      <c r="D9" s="13" t="s">
        <v>99</v>
      </c>
      <c r="E9" s="2" t="s">
        <v>872</v>
      </c>
    </row>
    <row r="10" customFormat="false" ht="15" hidden="false" customHeight="false" outlineLevel="0" collapsed="false">
      <c r="A10" s="3" t="s">
        <v>873</v>
      </c>
      <c r="B10" s="13" t="s">
        <v>874</v>
      </c>
      <c r="C10" s="15" t="n">
        <v>4000000</v>
      </c>
      <c r="D10" s="13" t="s">
        <v>135</v>
      </c>
      <c r="E10" s="2" t="s">
        <v>875</v>
      </c>
    </row>
    <row r="11" customFormat="false" ht="15" hidden="false" customHeight="false" outlineLevel="0" collapsed="false">
      <c r="A11" s="3" t="s">
        <v>876</v>
      </c>
      <c r="B11" s="13" t="s">
        <v>877</v>
      </c>
      <c r="C11" s="15" t="n">
        <v>400000</v>
      </c>
      <c r="D11" s="13" t="s">
        <v>135</v>
      </c>
      <c r="E11" s="2" t="s">
        <v>878</v>
      </c>
    </row>
    <row r="12" customFormat="false" ht="15" hidden="false" customHeight="false" outlineLevel="0" collapsed="false">
      <c r="A12" s="3" t="s">
        <v>879</v>
      </c>
      <c r="B12" s="13" t="s">
        <v>880</v>
      </c>
      <c r="C12" s="15" t="n">
        <v>450000</v>
      </c>
      <c r="D12" s="13" t="s">
        <v>90</v>
      </c>
      <c r="E12" s="2" t="s">
        <v>881</v>
      </c>
    </row>
    <row r="13" customFormat="false" ht="15" hidden="false" customHeight="false" outlineLevel="0" collapsed="false">
      <c r="A13" s="3" t="s">
        <v>882</v>
      </c>
      <c r="B13" s="13" t="s">
        <v>883</v>
      </c>
      <c r="C13" s="15" t="n">
        <v>750000</v>
      </c>
      <c r="D13" s="13" t="s">
        <v>90</v>
      </c>
      <c r="E13" s="2" t="s">
        <v>884</v>
      </c>
    </row>
    <row r="14" customFormat="false" ht="15" hidden="false" customHeight="false" outlineLevel="0" collapsed="false">
      <c r="A14" s="3" t="s">
        <v>885</v>
      </c>
      <c r="B14" s="13" t="s">
        <v>886</v>
      </c>
      <c r="C14" s="15" t="n">
        <v>2000</v>
      </c>
      <c r="D14" s="13" t="s">
        <v>649</v>
      </c>
      <c r="E14" s="2" t="s">
        <v>887</v>
      </c>
    </row>
    <row r="15" customFormat="false" ht="15" hidden="false" customHeight="false" outlineLevel="0" collapsed="false">
      <c r="A15" s="3" t="s">
        <v>888</v>
      </c>
      <c r="B15" s="13" t="s">
        <v>889</v>
      </c>
      <c r="C15" s="15" t="n">
        <v>600000</v>
      </c>
      <c r="D15" s="13" t="s">
        <v>135</v>
      </c>
      <c r="E15" s="2" t="s">
        <v>890</v>
      </c>
    </row>
    <row r="16" customFormat="false" ht="15" hidden="false" customHeight="false" outlineLevel="0" collapsed="false">
      <c r="A16" s="3" t="s">
        <v>891</v>
      </c>
      <c r="B16" s="13" t="s">
        <v>892</v>
      </c>
      <c r="C16" s="15" t="n">
        <v>6000</v>
      </c>
      <c r="D16" s="13" t="s">
        <v>90</v>
      </c>
      <c r="E16" s="2" t="s">
        <v>893</v>
      </c>
    </row>
    <row r="17" customFormat="false" ht="15" hidden="false" customHeight="false" outlineLevel="0" collapsed="false">
      <c r="A17" s="3" t="s">
        <v>894</v>
      </c>
      <c r="B17" s="13" t="s">
        <v>895</v>
      </c>
      <c r="C17" s="19" t="n">
        <v>0.2</v>
      </c>
      <c r="D17" s="13" t="s">
        <v>99</v>
      </c>
      <c r="E17" s="2" t="s">
        <v>896</v>
      </c>
    </row>
    <row r="18" customFormat="false" ht="15" hidden="false" customHeight="false" outlineLevel="0" collapsed="false">
      <c r="A18" s="3" t="s">
        <v>897</v>
      </c>
      <c r="B18" s="13" t="s">
        <v>898</v>
      </c>
      <c r="C18" s="15" t="n">
        <v>400</v>
      </c>
      <c r="D18" s="13" t="s">
        <v>90</v>
      </c>
      <c r="E18" s="2" t="s">
        <v>899</v>
      </c>
    </row>
    <row r="19" customFormat="false" ht="15" hidden="false" customHeight="false" outlineLevel="0" collapsed="false">
      <c r="A19" s="3" t="s">
        <v>900</v>
      </c>
      <c r="B19" s="13" t="s">
        <v>901</v>
      </c>
      <c r="C19" s="15" t="n">
        <v>2000</v>
      </c>
      <c r="D19" s="13" t="s">
        <v>90</v>
      </c>
      <c r="E19" s="2" t="s">
        <v>902</v>
      </c>
    </row>
    <row r="20" customFormat="false" ht="15" hidden="false" customHeight="false" outlineLevel="0" collapsed="false">
      <c r="A20" s="3" t="s">
        <v>903</v>
      </c>
      <c r="B20" s="13" t="s">
        <v>904</v>
      </c>
      <c r="C20" s="15" t="n">
        <v>1.4</v>
      </c>
      <c r="D20" s="13" t="s">
        <v>665</v>
      </c>
      <c r="E20" s="2" t="s">
        <v>905</v>
      </c>
    </row>
    <row r="21" customFormat="false" ht="15" hidden="false" customHeight="false" outlineLevel="0" collapsed="false">
      <c r="A21" s="3" t="s">
        <v>906</v>
      </c>
      <c r="B21" s="13" t="s">
        <v>907</v>
      </c>
      <c r="C21" s="15" t="n">
        <v>2400000</v>
      </c>
      <c r="D21" s="13" t="s">
        <v>135</v>
      </c>
      <c r="E21" s="2" t="s">
        <v>908</v>
      </c>
    </row>
    <row r="22" customFormat="false" ht="15" hidden="false" customHeight="false" outlineLevel="0" collapsed="false">
      <c r="A22" s="3" t="s">
        <v>909</v>
      </c>
      <c r="B22" s="13" t="s">
        <v>910</v>
      </c>
      <c r="C22" s="15" t="n">
        <v>800</v>
      </c>
      <c r="D22" s="13" t="s">
        <v>665</v>
      </c>
      <c r="E22" s="2" t="s">
        <v>911</v>
      </c>
    </row>
    <row r="23" customFormat="false" ht="15" hidden="false" customHeight="false" outlineLevel="0" collapsed="false">
      <c r="A23" s="3" t="s">
        <v>912</v>
      </c>
      <c r="B23" s="13" t="s">
        <v>913</v>
      </c>
      <c r="C23" s="19" t="n">
        <v>0.15</v>
      </c>
      <c r="D23" s="13" t="s">
        <v>99</v>
      </c>
      <c r="E23" s="2" t="s">
        <v>914</v>
      </c>
    </row>
    <row r="24" customFormat="false" ht="15" hidden="false" customHeight="false" outlineLevel="0" collapsed="false">
      <c r="A24" s="3" t="s">
        <v>915</v>
      </c>
      <c r="B24" s="13" t="s">
        <v>916</v>
      </c>
      <c r="C24" s="15" t="n">
        <v>10</v>
      </c>
      <c r="D24" s="13" t="s">
        <v>353</v>
      </c>
      <c r="E24" s="2" t="s">
        <v>917</v>
      </c>
    </row>
    <row r="27" customFormat="false" ht="55.2" hidden="false" customHeight="false" outlineLevel="0" collapsed="false">
      <c r="A27" s="5" t="s">
        <v>53</v>
      </c>
      <c r="B27" s="5" t="s">
        <v>918</v>
      </c>
      <c r="C27" s="5" t="s">
        <v>919</v>
      </c>
      <c r="D27" s="5" t="s">
        <v>920</v>
      </c>
      <c r="E27" s="5" t="s">
        <v>921</v>
      </c>
      <c r="F27" s="5" t="s">
        <v>922</v>
      </c>
      <c r="G27" s="5" t="s">
        <v>923</v>
      </c>
      <c r="H27" s="5" t="s">
        <v>924</v>
      </c>
      <c r="I27" s="5" t="s">
        <v>925</v>
      </c>
      <c r="J27" s="5" t="s">
        <v>926</v>
      </c>
      <c r="K27" s="5" t="s">
        <v>927</v>
      </c>
      <c r="L27" s="5" t="s">
        <v>928</v>
      </c>
    </row>
    <row r="28" customFormat="false" ht="15" hidden="false" customHeight="false" outlineLevel="0" collapsed="false">
      <c r="A28" s="28" t="s">
        <v>929</v>
      </c>
      <c r="B28" s="13" t="s">
        <v>930</v>
      </c>
      <c r="C28" s="13" t="s">
        <v>931</v>
      </c>
      <c r="D28" s="13" t="s">
        <v>931</v>
      </c>
      <c r="E28" s="13" t="s">
        <v>932</v>
      </c>
      <c r="F28" s="13" t="s">
        <v>933</v>
      </c>
      <c r="G28" s="13" t="s">
        <v>934</v>
      </c>
      <c r="H28" s="13" t="s">
        <v>935</v>
      </c>
      <c r="I28" s="13" t="s">
        <v>936</v>
      </c>
      <c r="J28" s="13" t="s">
        <v>937</v>
      </c>
      <c r="K28" s="13" t="s">
        <v>938</v>
      </c>
      <c r="L28" s="13" t="s">
        <v>939</v>
      </c>
    </row>
    <row r="29" customFormat="false" ht="15" hidden="false" customHeight="false" outlineLevel="0" collapsed="false">
      <c r="A29" s="28" t="s">
        <v>940</v>
      </c>
      <c r="B29" s="8" t="n">
        <f aca="false">3yr_Scenarios!G27</f>
        <v>84800</v>
      </c>
      <c r="C29" s="8" t="n">
        <f aca="false">Assumptions!$D$20</f>
        <v>80000</v>
      </c>
      <c r="D29" s="8" t="n">
        <f aca="false">Assumptions!$D$20</f>
        <v>80000</v>
      </c>
      <c r="E29" s="8" t="n">
        <f aca="false">$C$10</f>
        <v>4000000</v>
      </c>
      <c r="F29" s="8" t="n">
        <f aca="false">Assumptions!$D$213</f>
        <v>1499</v>
      </c>
      <c r="G29" s="8" t="n">
        <f aca="false">Assumptions!$D$20</f>
        <v>80000</v>
      </c>
      <c r="H29" s="8" t="n">
        <f aca="false">$C$16</f>
        <v>6000</v>
      </c>
      <c r="I29" s="8" t="n">
        <f aca="false">Assumptions!$D$219</f>
        <v>1750</v>
      </c>
      <c r="J29" s="8" t="n">
        <f aca="false">Assumptions!$D$21</f>
        <v>10000</v>
      </c>
      <c r="K29" s="8" t="n">
        <f aca="false">20000</f>
        <v>20000</v>
      </c>
      <c r="L29" s="8" t="n">
        <f aca="false">Assumptions!$D$23</f>
        <v>9999</v>
      </c>
    </row>
    <row r="30" customFormat="false" ht="15" hidden="false" customHeight="false" outlineLevel="0" collapsed="false">
      <c r="A30" s="28" t="s">
        <v>941</v>
      </c>
      <c r="B30" s="8" t="n">
        <f aca="false">B29/(1+Assumptions!$D$15*Assumptions!$D$16)</f>
        <v>71864.406779661</v>
      </c>
      <c r="C30" s="8" t="n">
        <f aca="false">Assumptions!$D$20/(1+Assumptions!$D$15*Assumptions!$D$16)</f>
        <v>67796.6101694915</v>
      </c>
      <c r="D30" s="8" t="n">
        <f aca="false">Assumptions!$D$20/(1+Assumptions!$D$15*Assumptions!$D$16)*(1-Assumptions!$D$223)</f>
        <v>50847.4576271186</v>
      </c>
      <c r="E30" s="8" t="n">
        <f aca="false">$C$10*$C$9</f>
        <v>600000</v>
      </c>
      <c r="F30" s="8" t="n">
        <f aca="false">F29/(1+Assumptions!$D$15*Assumptions!$D$16)</f>
        <v>1270.33898305085</v>
      </c>
      <c r="G30" s="8" t="n">
        <f aca="false">Assumptions!$D$20/(1+Assumptions!$D$15*Assumptions!$D$16)</f>
        <v>67796.6101694915</v>
      </c>
      <c r="H30" s="8" t="n">
        <f aca="false">H29/(1+Assumptions!$D$15*Assumptions!$D$16)*$C$17</f>
        <v>1016.94915254237</v>
      </c>
      <c r="I30" s="8" t="n">
        <f aca="false">I29/(1+Assumptions!$D$15*Assumptions!$D$16)</f>
        <v>1483.05084745763</v>
      </c>
      <c r="J30" s="8" t="n">
        <f aca="false">J29/(1+Assumptions!$D$15*Assumptions!$D$16)</f>
        <v>8474.57627118644</v>
      </c>
      <c r="K30" s="8" t="n">
        <f aca="false">Assumptions!$D$243</f>
        <v>960</v>
      </c>
      <c r="L30" s="8" t="n">
        <f aca="false">L29/(1+Assumptions!$D$15*Assumptions!$D$16)</f>
        <v>8473.72881355932</v>
      </c>
    </row>
    <row r="31" customFormat="false" ht="15" hidden="false" customHeight="false" outlineLevel="0" collapsed="false">
      <c r="A31" s="28" t="s">
        <v>942</v>
      </c>
      <c r="B31" s="8" t="n">
        <f aca="false">3yr_Scenarios!G17</f>
        <v>134.11071667311</v>
      </c>
      <c r="C31" s="8" t="n">
        <f aca="false">$C$7</f>
        <v>46</v>
      </c>
      <c r="D31" s="8" t="n">
        <f aca="false">$C$8</f>
        <v>25</v>
      </c>
      <c r="E31" s="8" t="n">
        <f aca="false">3</f>
        <v>3</v>
      </c>
      <c r="F31" s="8" t="n">
        <f aca="false">$C$14</f>
        <v>2000</v>
      </c>
      <c r="G31" s="8" t="n">
        <f aca="false">3yr_Scenarios!G18</f>
        <v>35</v>
      </c>
      <c r="H31" s="8" t="n">
        <f aca="false">$C$22</f>
        <v>800</v>
      </c>
      <c r="I31" s="8" t="n">
        <f aca="false">Assumptions!$D$218</f>
        <v>120</v>
      </c>
      <c r="J31" s="8" t="n">
        <f aca="false">3yr_Scenarios!G19</f>
        <v>280</v>
      </c>
      <c r="K31" s="8" t="n">
        <f aca="false">3yr_Scenarios!G17*3yr_Scenarios!G7</f>
        <v>80.4664300038663</v>
      </c>
      <c r="L31" s="8" t="n">
        <f aca="false">3yr_Scenarios!G23</f>
        <v>39.350851000949</v>
      </c>
    </row>
    <row r="32" customFormat="false" ht="15" hidden="false" customHeight="false" outlineLevel="0" collapsed="false">
      <c r="A32" s="28" t="s">
        <v>943</v>
      </c>
      <c r="B32" s="6" t="n">
        <f aca="false">3yr_Scenarios!G38</f>
        <v>166.931164652823</v>
      </c>
      <c r="C32" s="6" t="n">
        <f aca="false">C31*C30/100000</f>
        <v>31.1864406779661</v>
      </c>
      <c r="D32" s="6" t="n">
        <f aca="false">D31*D30/100000</f>
        <v>12.7118644067797</v>
      </c>
      <c r="E32" s="6" t="n">
        <f aca="false">E31*E30/100000</f>
        <v>18</v>
      </c>
      <c r="F32" s="6" t="n">
        <f aca="false">F31*F30/100000</f>
        <v>25.4067796610169</v>
      </c>
      <c r="G32" s="6" t="n">
        <f aca="false">G31*G30/100000</f>
        <v>23.728813559322</v>
      </c>
      <c r="H32" s="6" t="n">
        <f aca="false">H31*H30/100000</f>
        <v>8.13559322033898</v>
      </c>
      <c r="I32" s="6" t="n">
        <f aca="false">I31*I30/100000</f>
        <v>1.77966101694915</v>
      </c>
      <c r="J32" s="6" t="n">
        <f aca="false">J31*J30/100000</f>
        <v>23.728813559322</v>
      </c>
      <c r="K32" s="6" t="n">
        <f aca="false">K31*K30/100000+Assumptions!$D$221/100000</f>
        <v>4.77247772803712</v>
      </c>
      <c r="L32" s="6" t="n">
        <f aca="false">L31*L30/100000</f>
        <v>3.33448439964821</v>
      </c>
    </row>
    <row r="33" customFormat="false" ht="15" hidden="false" customHeight="false" outlineLevel="0" collapsed="false">
      <c r="A33" s="28" t="s">
        <v>944</v>
      </c>
      <c r="B33" s="8" t="n">
        <f aca="false">IFERROR(3yr_Scenarios!G41*100000/B31,0)</f>
        <v>21376.1049958497</v>
      </c>
      <c r="C33" s="8" t="n">
        <f aca="false">Assumptions!$D$91+Assumptions!$D$20*(Assumptions!$D$76+Assumptions!$D$70*Assumptions!$D$71)+Assumptions!$D$115*Assumptions!$D$120</f>
        <v>20666.6666666667</v>
      </c>
      <c r="D33" s="8" t="n">
        <f aca="false">Assumptions!$D$91+Assumptions!$D$224+Assumptions!$D$20*(Assumptions!$D$76+Assumptions!$D$70*Assumptions!$D$71)+Assumptions!$D$239</f>
        <v>31500</v>
      </c>
      <c r="E33" s="8" t="n">
        <f aca="false">$C$11</f>
        <v>400000</v>
      </c>
      <c r="F33" s="8" t="n">
        <f aca="false">F30*Assumptions!$D$216+Assumptions!$D$214*0.5</f>
        <v>301.627118644068</v>
      </c>
      <c r="G33" s="8" t="n">
        <f aca="false">Assumptions!$D$93+Assumptions!$D$240+Assumptions!$D$20*(Assumptions!$D$76+Assumptions!$D$70*Assumptions!$D$71)+Assumptions!$D$104*(Assumptions!$D$99+Assumptions!$D$100)/Assumptions!$D$101/Assumptions!$D$102+Assumptions!$D$239</f>
        <v>32000</v>
      </c>
      <c r="H33" s="8" t="n">
        <f aca="false">$C$18+H29*Assumptions!$D$76+$C$19/$C$20</f>
        <v>1948.57142857143</v>
      </c>
      <c r="I33" s="8" t="n">
        <f aca="false">250</f>
        <v>250</v>
      </c>
      <c r="J33" s="8" t="n">
        <f aca="false">Assumptions!$D$94+J29*Assumptions!$D$76+300</f>
        <v>1500</v>
      </c>
      <c r="K33" s="8" t="n">
        <f aca="false">0</f>
        <v>0</v>
      </c>
      <c r="L33" s="8" t="n">
        <f aca="false">Assumptions!$D$97+L29*Assumptions!$D$76</f>
        <v>2199.98</v>
      </c>
    </row>
    <row r="34" customFormat="false" ht="15" hidden="false" customHeight="false" outlineLevel="0" collapsed="false">
      <c r="A34" s="3" t="s">
        <v>945</v>
      </c>
      <c r="B34" s="8" t="n">
        <f aca="false">IFERROR((B32-3yr_Scenarios!G41)*100000/B31,0)</f>
        <v>103096.546253722</v>
      </c>
      <c r="C34" s="8" t="n">
        <f aca="false">C30-C33</f>
        <v>47129.9435028249</v>
      </c>
      <c r="D34" s="8" t="n">
        <f aca="false">D30-D33</f>
        <v>19347.4576271186</v>
      </c>
      <c r="E34" s="8" t="n">
        <f aca="false">E30-E33</f>
        <v>200000</v>
      </c>
      <c r="F34" s="8" t="n">
        <f aca="false">F30-F33</f>
        <v>968.71186440678</v>
      </c>
      <c r="G34" s="8" t="n">
        <f aca="false">G30-G33</f>
        <v>35796.6101694915</v>
      </c>
      <c r="H34" s="8" t="n">
        <f aca="false">H30-H33</f>
        <v>-931.622276029056</v>
      </c>
      <c r="I34" s="8" t="n">
        <f aca="false">I30-I33</f>
        <v>1233.05084745763</v>
      </c>
      <c r="J34" s="8" t="n">
        <f aca="false">J30-J33</f>
        <v>6974.57627118644</v>
      </c>
      <c r="K34" s="8" t="n">
        <f aca="false">K30</f>
        <v>960</v>
      </c>
      <c r="L34" s="8" t="n">
        <f aca="false">L30-L33</f>
        <v>6273.74881355932</v>
      </c>
    </row>
    <row r="35" customFormat="false" ht="15" hidden="false" customHeight="false" outlineLevel="0" collapsed="false">
      <c r="A35" s="28" t="s">
        <v>759</v>
      </c>
      <c r="B35" s="7" t="n">
        <f aca="false">IFERROR((3yr_Scenarios!G38-3yr_Scenarios!G41)/3yr_Scenarios!G38,0)</f>
        <v>0.828266653106072</v>
      </c>
      <c r="C35" s="7" t="n">
        <f aca="false">C34/C30</f>
        <v>0.695166666666667</v>
      </c>
      <c r="D35" s="7" t="n">
        <f aca="false">D34/D30</f>
        <v>0.3805</v>
      </c>
      <c r="E35" s="7" t="n">
        <f aca="false">E34/E30</f>
        <v>0.333333333333333</v>
      </c>
      <c r="F35" s="7" t="n">
        <f aca="false">F34/F30</f>
        <v>0.762561707805204</v>
      </c>
      <c r="G35" s="7" t="n">
        <f aca="false">G34/G30</f>
        <v>0.528</v>
      </c>
      <c r="H35" s="7" t="n">
        <f aca="false">H34/H30</f>
        <v>-0.916095238095238</v>
      </c>
      <c r="I35" s="7" t="n">
        <f aca="false">I34/I30</f>
        <v>0.831428571428571</v>
      </c>
      <c r="J35" s="7" t="n">
        <f aca="false">J34/J30</f>
        <v>0.823</v>
      </c>
      <c r="K35" s="7" t="n">
        <f aca="false">1</f>
        <v>1</v>
      </c>
      <c r="L35" s="7" t="n">
        <f aca="false">L34/L30</f>
        <v>0.740376397639764</v>
      </c>
    </row>
    <row r="36" customFormat="false" ht="15" hidden="false" customHeight="false" outlineLevel="0" collapsed="false">
      <c r="A36" s="28" t="s">
        <v>946</v>
      </c>
      <c r="B36" s="6" t="n">
        <f aca="false">3yr_Scenarios!G38-3yr_Scenarios!G41</f>
        <v>138.263517046092</v>
      </c>
      <c r="C36" s="6" t="n">
        <f aca="false">C34*C31/100000</f>
        <v>21.6797740112994</v>
      </c>
      <c r="D36" s="6" t="n">
        <f aca="false">D34*D31/100000</f>
        <v>4.83686440677966</v>
      </c>
      <c r="E36" s="6" t="n">
        <f aca="false">E34*E31/100000</f>
        <v>6</v>
      </c>
      <c r="F36" s="6" t="n">
        <f aca="false">F34*F31/100000</f>
        <v>19.3742372881356</v>
      </c>
      <c r="G36" s="6" t="n">
        <f aca="false">G34*G31/100000</f>
        <v>12.528813559322</v>
      </c>
      <c r="H36" s="6" t="n">
        <f aca="false">H34*H31/100000</f>
        <v>-7.45297820823245</v>
      </c>
      <c r="I36" s="6" t="n">
        <f aca="false">I34*I31/100000</f>
        <v>1.47966101694915</v>
      </c>
      <c r="J36" s="6" t="n">
        <f aca="false">J34*J31/100000</f>
        <v>19.528813559322</v>
      </c>
      <c r="K36" s="6" t="n">
        <f aca="false">K32</f>
        <v>4.77247772803712</v>
      </c>
      <c r="L36" s="6" t="n">
        <f aca="false">L34*L31/100000</f>
        <v>2.46877354779753</v>
      </c>
    </row>
    <row r="37" customFormat="false" ht="15" hidden="false" customHeight="false" outlineLevel="0" collapsed="false">
      <c r="A37" s="28" t="s">
        <v>947</v>
      </c>
      <c r="B37" s="6" t="n">
        <f aca="false">3yr_Scenarios!G48-3yr_Scenarios!G41</f>
        <v>93.426616</v>
      </c>
      <c r="C37" s="6" t="n">
        <f aca="false">$C$5/100000</f>
        <v>29.1</v>
      </c>
      <c r="D37" s="6" t="n">
        <f aca="false">1</f>
        <v>1</v>
      </c>
      <c r="E37" s="6" t="n">
        <f aca="false">5</f>
        <v>5</v>
      </c>
      <c r="F37" s="6" t="n">
        <f aca="false">$C$15/100000</f>
        <v>6</v>
      </c>
      <c r="G37" s="6" t="n">
        <f aca="false">Assumptions!$D$188*12/100000</f>
        <v>0.6</v>
      </c>
      <c r="H37" s="6" t="n">
        <f aca="false">$C$21/100000</f>
        <v>24</v>
      </c>
      <c r="I37" s="6" t="n">
        <f aca="false">0.5</f>
        <v>0.5</v>
      </c>
      <c r="J37" s="6" t="n">
        <f aca="false">0</f>
        <v>0</v>
      </c>
      <c r="K37" s="6" t="n">
        <f aca="false">0</f>
        <v>0</v>
      </c>
      <c r="L37" s="6" t="n">
        <f aca="false">0.6</f>
        <v>0.6</v>
      </c>
    </row>
    <row r="38" customFormat="false" ht="15" hidden="false" customHeight="false" outlineLevel="0" collapsed="false">
      <c r="A38" s="3" t="s">
        <v>948</v>
      </c>
      <c r="B38" s="6" t="n">
        <f aca="false">3yr_Scenarios!G49</f>
        <v>44.8369010460919</v>
      </c>
      <c r="C38" s="6" t="n">
        <f aca="false">C36-C37</f>
        <v>-7.42022598870057</v>
      </c>
      <c r="D38" s="6" t="n">
        <f aca="false">D36-D37</f>
        <v>3.83686440677966</v>
      </c>
      <c r="E38" s="6" t="n">
        <f aca="false">E36-E37</f>
        <v>1</v>
      </c>
      <c r="F38" s="6" t="n">
        <f aca="false">F36-F37</f>
        <v>13.3742372881356</v>
      </c>
      <c r="G38" s="6" t="n">
        <f aca="false">G36-G37</f>
        <v>11.928813559322</v>
      </c>
      <c r="H38" s="6" t="n">
        <f aca="false">H36-H37</f>
        <v>-31.4529782082324</v>
      </c>
      <c r="I38" s="6" t="n">
        <f aca="false">I36-I37</f>
        <v>0.979661016949153</v>
      </c>
      <c r="J38" s="6" t="n">
        <f aca="false">J36-J37</f>
        <v>19.528813559322</v>
      </c>
      <c r="K38" s="6" t="n">
        <f aca="false">K36</f>
        <v>4.77247772803712</v>
      </c>
      <c r="L38" s="6" t="n">
        <f aca="false">L36-L37</f>
        <v>1.86877354779753</v>
      </c>
    </row>
    <row r="39" customFormat="false" ht="15" hidden="false" customHeight="false" outlineLevel="0" collapsed="false">
      <c r="A39" s="28" t="s">
        <v>949</v>
      </c>
      <c r="B39" s="6" t="n">
        <f aca="false">3yr_Scenarios!G54</f>
        <v>26.1422351919159</v>
      </c>
      <c r="C39" s="6" t="n">
        <f aca="false">$C$6/100000</f>
        <v>16.5</v>
      </c>
      <c r="D39" s="6" t="n">
        <f aca="false">Assumptions!$D$225/100000</f>
        <v>3.5</v>
      </c>
      <c r="E39" s="6" t="n">
        <f aca="false">($C$13-E31*$C$12*0.5)/100000</f>
        <v>0.75</v>
      </c>
      <c r="F39" s="6" t="n">
        <f aca="false">3</f>
        <v>3</v>
      </c>
      <c r="G39" s="6" t="n">
        <f aca="false">Assumptions!$D$190/100000</f>
        <v>3.5</v>
      </c>
      <c r="H39" s="6" t="n">
        <f aca="false">15</f>
        <v>15</v>
      </c>
      <c r="I39" s="6" t="n">
        <f aca="false">0.2</f>
        <v>0.2</v>
      </c>
      <c r="J39" s="6" t="n">
        <f aca="false">0</f>
        <v>0</v>
      </c>
      <c r="K39" s="6" t="n">
        <f aca="false">0</f>
        <v>0</v>
      </c>
      <c r="L39" s="6" t="n">
        <f aca="false">0</f>
        <v>0</v>
      </c>
    </row>
    <row r="40" customFormat="false" ht="15" hidden="false" customHeight="false" outlineLevel="0" collapsed="false">
      <c r="A40" s="28" t="s">
        <v>950</v>
      </c>
      <c r="B40" s="27" t="n">
        <f aca="false">IFERROR(B39/B38,"n/m")</f>
        <v>0.583051785069667</v>
      </c>
      <c r="C40" s="27" t="str">
        <f aca="false">IF(C38&lt;=0,"never at this volume",C39/C38)</f>
        <v>never at this volume</v>
      </c>
      <c r="D40" s="27" t="n">
        <f aca="false">IF(D38&lt;=0,"never",D39/D38)</f>
        <v>0.912203202650469</v>
      </c>
      <c r="E40" s="27" t="n">
        <f aca="false">IF(E38&lt;=0,"never at 3 units",E39/E38)</f>
        <v>0.75</v>
      </c>
      <c r="F40" s="27" t="n">
        <f aca="false">IF(F38&lt;=0,"never",F39/F38)</f>
        <v>0.224311856845947</v>
      </c>
      <c r="G40" s="27" t="n">
        <f aca="false">IF(G38&lt;=0,"never",G39/G38)</f>
        <v>0.293407217959648</v>
      </c>
      <c r="H40" s="27" t="str">
        <f aca="false">IF(H38&lt;=0,"never",H39/H38)</f>
        <v>never</v>
      </c>
      <c r="I40" s="27" t="n">
        <f aca="false">IF(I38&lt;=0,"never",I39/I38)</f>
        <v>0.204152249134948</v>
      </c>
      <c r="J40" s="13" t="s">
        <v>951</v>
      </c>
      <c r="K40" s="13" t="s">
        <v>951</v>
      </c>
      <c r="L40" s="13" t="s">
        <v>951</v>
      </c>
    </row>
    <row r="41" customFormat="false" ht="15" hidden="false" customHeight="false" outlineLevel="0" collapsed="false">
      <c r="A41" s="28" t="s">
        <v>952</v>
      </c>
      <c r="B41" s="8" t="n">
        <f aca="false">Assumptions!$D$115*Assumptions!$D$120*(Assumptions!$D$27+Assumptions!$D$28+Assumptions!$D$31)</f>
        <v>7000</v>
      </c>
      <c r="C41" s="8" t="n">
        <f aca="false">Assumptions!$D$115*Assumptions!$D$120</f>
        <v>11666.6666666667</v>
      </c>
      <c r="D41" s="8" t="n">
        <f aca="false">Assumptions!$D$239</f>
        <v>12500</v>
      </c>
      <c r="E41" s="8" t="n">
        <f aca="false">0</f>
        <v>0</v>
      </c>
      <c r="F41" s="8" t="n">
        <f aca="false">Assumptions!$D$214</f>
        <v>400</v>
      </c>
      <c r="G41" s="8" t="n">
        <f aca="false">Assumptions!$D$239</f>
        <v>12500</v>
      </c>
      <c r="H41" s="8" t="n">
        <f aca="false">$C$19</f>
        <v>2000</v>
      </c>
      <c r="I41" s="8" t="n">
        <f aca="false">0</f>
        <v>0</v>
      </c>
      <c r="J41" s="8" t="n">
        <f aca="false">300</f>
        <v>300</v>
      </c>
      <c r="K41" s="8" t="n">
        <f aca="false">0</f>
        <v>0</v>
      </c>
      <c r="L41" s="8" t="n">
        <f aca="false">0</f>
        <v>0</v>
      </c>
    </row>
    <row r="42" customFormat="false" ht="15" hidden="false" customHeight="false" outlineLevel="0" collapsed="false">
      <c r="A42" s="28" t="s">
        <v>953</v>
      </c>
      <c r="B42" s="8" t="n">
        <f aca="false">B34</f>
        <v>103096.546253722</v>
      </c>
      <c r="C42" s="8" t="n">
        <f aca="false">C34+Assumptions!$D$115*Assumptions!$D$120</f>
        <v>58796.6101694915</v>
      </c>
      <c r="D42" s="8" t="n">
        <f aca="false">D34+Assumptions!$D$239</f>
        <v>31847.4576271186</v>
      </c>
      <c r="E42" s="13" t="s">
        <v>954</v>
      </c>
      <c r="F42" s="8" t="n">
        <f aca="false">F34*1.3+Assumptions!$D$214*0.5</f>
        <v>1459.32542372881</v>
      </c>
      <c r="G42" s="8" t="n">
        <f aca="false">G34+Assumptions!$D$239</f>
        <v>48296.6101694915</v>
      </c>
      <c r="H42" s="8" t="n">
        <f aca="false">$C$20*(H30-$C$18-H29*Assumptions!$D$76)</f>
        <v>695.728813559322</v>
      </c>
      <c r="I42" s="13" t="s">
        <v>955</v>
      </c>
      <c r="J42" s="8" t="n">
        <f aca="false">J34*(1+Assumptions!$D$65)</f>
        <v>9066.94915254237</v>
      </c>
      <c r="K42" s="13" t="s">
        <v>954</v>
      </c>
      <c r="L42" s="8" t="n">
        <f aca="false">L34*2</f>
        <v>12547.4976271186</v>
      </c>
    </row>
    <row r="43" customFormat="false" ht="15" hidden="false" customHeight="false" outlineLevel="0" collapsed="false">
      <c r="A43" s="3" t="s">
        <v>956</v>
      </c>
      <c r="B43" s="27" t="n">
        <f aca="false">IFERROR(B42/B41,0)</f>
        <v>14.7280780362461</v>
      </c>
      <c r="C43" s="27" t="n">
        <f aca="false">C42/C41</f>
        <v>5.03970944309927</v>
      </c>
      <c r="D43" s="27" t="n">
        <f aca="false">D42/D41</f>
        <v>2.54779661016949</v>
      </c>
      <c r="E43" s="13" t="s">
        <v>954</v>
      </c>
      <c r="F43" s="27" t="n">
        <f aca="false">F42/F41</f>
        <v>3.64831355932203</v>
      </c>
      <c r="G43" s="27" t="n">
        <f aca="false">G42/G41</f>
        <v>3.86372881355932</v>
      </c>
      <c r="H43" s="27" t="n">
        <f aca="false">H42/H41</f>
        <v>0.347864406779661</v>
      </c>
      <c r="I43" s="13" t="s">
        <v>954</v>
      </c>
      <c r="J43" s="27" t="n">
        <f aca="false">J42/J41</f>
        <v>30.2231638418079</v>
      </c>
      <c r="K43" s="13" t="s">
        <v>954</v>
      </c>
      <c r="L43" s="13" t="s">
        <v>954</v>
      </c>
    </row>
    <row r="44" customFormat="false" ht="15" hidden="false" customHeight="false" outlineLevel="0" collapsed="false">
      <c r="A44" s="28" t="s">
        <v>957</v>
      </c>
      <c r="B44" s="8" t="n">
        <f aca="false">IFERROR(B37*100000/B34,0)</f>
        <v>90.6205099927164</v>
      </c>
      <c r="C44" s="8" t="n">
        <f aca="false">$C$5/C34</f>
        <v>61.7441860465116</v>
      </c>
      <c r="D44" s="8" t="n">
        <f aca="false">D37*100000/D34</f>
        <v>5.16863775733684</v>
      </c>
      <c r="E44" s="8" t="n">
        <f aca="false">IFERROR(E37*100000/E34,0)</f>
        <v>2.5</v>
      </c>
      <c r="F44" s="8" t="n">
        <f aca="false">F37*100000/F34</f>
        <v>619.379221051895</v>
      </c>
      <c r="G44" s="8" t="n">
        <f aca="false">G37*100000/G34</f>
        <v>1.67613636363636</v>
      </c>
      <c r="H44" s="8" t="str">
        <f aca="false">IF(H34&lt;=0,"no break-even",H37*100000/H34)</f>
        <v>no break-even</v>
      </c>
      <c r="I44" s="8" t="n">
        <f aca="false">I37*100000/I34</f>
        <v>40.5498281786942</v>
      </c>
      <c r="J44" s="8" t="n">
        <f aca="false">0</f>
        <v>0</v>
      </c>
      <c r="K44" s="8" t="n">
        <f aca="false">0</f>
        <v>0</v>
      </c>
      <c r="L44" s="8" t="n">
        <f aca="false">L37*100000/L34</f>
        <v>9.56365990782469</v>
      </c>
    </row>
    <row r="45" customFormat="false" ht="15" hidden="false" customHeight="false" outlineLevel="0" collapsed="false">
      <c r="A45" s="28" t="s">
        <v>958</v>
      </c>
      <c r="B45" s="13" t="s">
        <v>959</v>
      </c>
      <c r="C45" s="13" t="s">
        <v>960</v>
      </c>
      <c r="D45" s="13" t="s">
        <v>961</v>
      </c>
      <c r="E45" s="13" t="s">
        <v>962</v>
      </c>
      <c r="F45" s="13" t="s">
        <v>963</v>
      </c>
      <c r="G45" s="13" t="s">
        <v>961</v>
      </c>
      <c r="H45" s="13" t="s">
        <v>964</v>
      </c>
      <c r="I45" s="13" t="s">
        <v>964</v>
      </c>
      <c r="J45" s="13" t="s">
        <v>965</v>
      </c>
      <c r="K45" s="13" t="s">
        <v>964</v>
      </c>
      <c r="L45" s="13" t="s">
        <v>961</v>
      </c>
    </row>
    <row r="46" customFormat="false" ht="15" hidden="false" customHeight="false" outlineLevel="0" collapsed="false">
      <c r="A46" s="28" t="s">
        <v>966</v>
      </c>
      <c r="B46" s="13" t="s">
        <v>967</v>
      </c>
      <c r="C46" s="13" t="s">
        <v>968</v>
      </c>
      <c r="D46" s="13" t="s">
        <v>964</v>
      </c>
      <c r="E46" s="13" t="s">
        <v>969</v>
      </c>
      <c r="F46" s="13" t="s">
        <v>964</v>
      </c>
      <c r="G46" s="13" t="s">
        <v>970</v>
      </c>
      <c r="H46" s="13" t="s">
        <v>971</v>
      </c>
      <c r="I46" s="13" t="s">
        <v>972</v>
      </c>
      <c r="J46" s="13" t="s">
        <v>972</v>
      </c>
      <c r="K46" s="13" t="s">
        <v>972</v>
      </c>
      <c r="L46" s="13" t="s">
        <v>972</v>
      </c>
    </row>
    <row r="47" customFormat="false" ht="15" hidden="false" customHeight="false" outlineLevel="0" collapsed="false">
      <c r="A47" s="28" t="s">
        <v>973</v>
      </c>
      <c r="B47" s="13" t="s">
        <v>974</v>
      </c>
      <c r="C47" s="13" t="s">
        <v>975</v>
      </c>
      <c r="D47" s="13" t="s">
        <v>976</v>
      </c>
      <c r="E47" s="13" t="s">
        <v>977</v>
      </c>
      <c r="F47" s="13" t="s">
        <v>978</v>
      </c>
      <c r="G47" s="13" t="s">
        <v>979</v>
      </c>
      <c r="H47" s="13" t="s">
        <v>980</v>
      </c>
      <c r="I47" s="13" t="s">
        <v>981</v>
      </c>
      <c r="J47" s="13" t="s">
        <v>982</v>
      </c>
      <c r="K47" s="13" t="s">
        <v>983</v>
      </c>
      <c r="L47" s="13" t="s">
        <v>984</v>
      </c>
    </row>
    <row r="49" customFormat="false" ht="15" hidden="false" customHeight="false" outlineLevel="0" collapsed="false">
      <c r="A49" s="2" t="s">
        <v>985</v>
      </c>
    </row>
    <row r="50" customFormat="false" ht="15" hidden="false" customHeight="false" outlineLevel="0" collapsed="false">
      <c r="A50" s="2" t="s">
        <v>986</v>
      </c>
    </row>
    <row r="52" customFormat="false" ht="15" hidden="false" customHeight="false" outlineLevel="0" collapsed="false">
      <c r="A52" s="10" t="s">
        <v>987</v>
      </c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customFormat="false" ht="28.35" hidden="false" customHeight="false" outlineLevel="0" collapsed="false">
      <c r="A53" s="5" t="s">
        <v>53</v>
      </c>
      <c r="B53" s="5" t="s">
        <v>988</v>
      </c>
      <c r="C53" s="5" t="s">
        <v>989</v>
      </c>
      <c r="D53" s="5" t="s">
        <v>990</v>
      </c>
      <c r="E53" s="5" t="s">
        <v>991</v>
      </c>
      <c r="F53" s="5" t="s">
        <v>26</v>
      </c>
    </row>
    <row r="54" customFormat="false" ht="15" hidden="false" customHeight="false" outlineLevel="0" collapsed="false">
      <c r="A54" s="0" t="s">
        <v>992</v>
      </c>
      <c r="B54" s="8" t="n">
        <f aca="false">$C$24</f>
        <v>10</v>
      </c>
      <c r="C54" s="8" t="n">
        <f aca="false">D31</f>
        <v>25</v>
      </c>
      <c r="D54" s="8" t="n">
        <f aca="false">C31</f>
        <v>46</v>
      </c>
      <c r="E54" s="8" t="n">
        <f aca="false">C31</f>
        <v>46</v>
      </c>
      <c r="F54" s="2" t="s">
        <v>993</v>
      </c>
    </row>
    <row r="55" customFormat="false" ht="15" hidden="false" customHeight="false" outlineLevel="0" collapsed="false">
      <c r="A55" s="0" t="s">
        <v>994</v>
      </c>
      <c r="B55" s="8" t="n">
        <f aca="false">G34</f>
        <v>35796.6101694915</v>
      </c>
      <c r="C55" s="8" t="n">
        <f aca="false">D34</f>
        <v>19347.4576271186</v>
      </c>
      <c r="D55" s="8" t="n">
        <f aca="false">C34</f>
        <v>47129.9435028249</v>
      </c>
      <c r="E55" s="8" t="n">
        <f aca="false">E30/C31</f>
        <v>13043.4782608696</v>
      </c>
      <c r="F55" s="2" t="s">
        <v>995</v>
      </c>
    </row>
    <row r="56" customFormat="false" ht="15" hidden="false" customHeight="false" outlineLevel="0" collapsed="false">
      <c r="A56" s="0" t="s">
        <v>996</v>
      </c>
      <c r="B56" s="8" t="n">
        <f aca="false">0</f>
        <v>0</v>
      </c>
      <c r="C56" s="8" t="n">
        <f aca="false">100000</f>
        <v>100000</v>
      </c>
      <c r="D56" s="8" t="n">
        <f aca="false">$C$5</f>
        <v>2910000</v>
      </c>
      <c r="E56" s="8" t="n">
        <f aca="false">$C$11</f>
        <v>400000</v>
      </c>
      <c r="F56" s="2"/>
    </row>
    <row r="57" customFormat="false" ht="15" hidden="false" customHeight="false" outlineLevel="0" collapsed="false">
      <c r="A57" s="0" t="s">
        <v>997</v>
      </c>
      <c r="B57" s="8" t="n">
        <f aca="false">B54*B55-B56</f>
        <v>357966.101694915</v>
      </c>
      <c r="C57" s="8" t="n">
        <f aca="false">C54*C55-C56</f>
        <v>383686.440677966</v>
      </c>
      <c r="D57" s="8" t="n">
        <f aca="false">D54*D55-D56</f>
        <v>-742022.598870056</v>
      </c>
      <c r="E57" s="8" t="n">
        <f aca="false">E54*E55-E56</f>
        <v>200000</v>
      </c>
      <c r="F57" s="2"/>
    </row>
    <row r="58" customFormat="false" ht="15" hidden="false" customHeight="false" outlineLevel="0" collapsed="false">
      <c r="A58" s="0" t="s">
        <v>998</v>
      </c>
      <c r="B58" s="8" t="n">
        <f aca="false">0.5*Assumptions!$D$190</f>
        <v>175000</v>
      </c>
      <c r="C58" s="8" t="n">
        <f aca="false">Assumptions!$D$225</f>
        <v>350000</v>
      </c>
      <c r="D58" s="8" t="n">
        <f aca="false">$C$6</f>
        <v>1650000</v>
      </c>
      <c r="E58" s="8" t="n">
        <f aca="false">$C$13-$C$12</f>
        <v>300000</v>
      </c>
      <c r="F58" s="2" t="s">
        <v>999</v>
      </c>
    </row>
    <row r="59" customFormat="false" ht="15" hidden="false" customHeight="false" outlineLevel="0" collapsed="false">
      <c r="A59" s="0" t="s">
        <v>1000</v>
      </c>
      <c r="B59" s="8" t="n">
        <f aca="false">-B58+B57*(1-(1+$C$23)^-5)/$C$23</f>
        <v>1024957.89271188</v>
      </c>
      <c r="C59" s="8" t="n">
        <f aca="false">-C58+C57*(1-(1+$C$23)^-5)/$C$23</f>
        <v>936176.458156493</v>
      </c>
      <c r="D59" s="8" t="n">
        <f aca="false">-D58+D57*(1-(1+$C$23)^-5)/$C$23</f>
        <v>-4137374.83764193</v>
      </c>
      <c r="E59" s="8" t="n">
        <f aca="false">-E58+E57*(1-(1+$C$23)^-5)/$C$23</f>
        <v>370431.01960228</v>
      </c>
      <c r="F59" s="2"/>
    </row>
    <row r="60" customFormat="false" ht="15" hidden="false" customHeight="false" outlineLevel="0" collapsed="false">
      <c r="A60" s="0" t="s">
        <v>950</v>
      </c>
      <c r="B60" s="27" t="n">
        <f aca="false">IFERROR(IF(B57&lt;=0,"never",B58/B57),0)</f>
        <v>0.488873106060606</v>
      </c>
      <c r="C60" s="27" t="n">
        <f aca="false">IFERROR(IF(C57&lt;=0,"never",C58/C57),0)</f>
        <v>0.912203202650469</v>
      </c>
      <c r="D60" s="27" t="str">
        <f aca="false">IFERROR(IF(D57&lt;=0,"never",D58/D57),0)</f>
        <v>never</v>
      </c>
      <c r="E60" s="27" t="n">
        <f aca="false">IFERROR(IF(E57&lt;=0,"never",E58/E57),0)</f>
        <v>1.5</v>
      </c>
      <c r="F60" s="2"/>
    </row>
    <row r="61" customFormat="false" ht="15" hidden="false" customHeight="false" outlineLevel="0" collapsed="false">
      <c r="A61" s="0" t="s">
        <v>1001</v>
      </c>
      <c r="B61" s="8" t="n">
        <f aca="false">0</f>
        <v>0</v>
      </c>
      <c r="C61" s="8" t="n">
        <f aca="false">C56/C55</f>
        <v>5.16863775733684</v>
      </c>
      <c r="D61" s="8" t="n">
        <f aca="false">D56/D55</f>
        <v>61.7441860465116</v>
      </c>
      <c r="E61" s="8" t="n">
        <f aca="false">E56/E55</f>
        <v>30.6666666666667</v>
      </c>
      <c r="F61" s="2" t="s">
        <v>1002</v>
      </c>
    </row>
    <row r="62" customFormat="false" ht="15" hidden="false" customHeight="false" outlineLevel="0" collapsed="false">
      <c r="A62" s="0" t="s">
        <v>1003</v>
      </c>
      <c r="D62" s="27" t="n">
        <f aca="false">(D56+B54*B55)/D55</f>
        <v>69.3394869335891</v>
      </c>
      <c r="F62" s="2" t="s">
        <v>1004</v>
      </c>
    </row>
    <row r="63" customFormat="false" ht="15" hidden="false" customHeight="false" outlineLevel="0" collapsed="false">
      <c r="A63" s="0" t="s">
        <v>1005</v>
      </c>
      <c r="C63" s="27" t="n">
        <f aca="false">(C56+B54*B55)/C55/B54</f>
        <v>2.3670608848007</v>
      </c>
      <c r="F63" s="2" t="s">
        <v>1006</v>
      </c>
    </row>
    <row r="64" customFormat="false" ht="15" hidden="false" customHeight="false" outlineLevel="0" collapsed="false">
      <c r="A64" s="0" t="s">
        <v>1007</v>
      </c>
      <c r="B64" s="8" t="n">
        <f aca="false">Assumptions!$D$20+22500</f>
        <v>102500</v>
      </c>
      <c r="C64" s="8" t="n">
        <f aca="false">Assumptions!$D$20+2500</f>
        <v>82500</v>
      </c>
      <c r="D64" s="8" t="n">
        <f aca="false">Assumptions!$D$20+2500</f>
        <v>82500</v>
      </c>
      <c r="E64" s="8" t="n">
        <f aca="false">Assumptions!$D$20+2500</f>
        <v>82500</v>
      </c>
      <c r="F64" s="2" t="s">
        <v>1008</v>
      </c>
    </row>
    <row r="66" customFormat="false" ht="15" hidden="false" customHeight="false" outlineLevel="0" collapsed="false">
      <c r="A66" s="3" t="s">
        <v>1009</v>
      </c>
    </row>
    <row r="67" customFormat="false" ht="15" hidden="false" customHeight="false" outlineLevel="0" collapsed="false">
      <c r="B67" s="33" t="n">
        <v>1</v>
      </c>
      <c r="C67" s="33" t="n">
        <v>1.5</v>
      </c>
      <c r="D67" s="33" t="n">
        <v>2</v>
      </c>
      <c r="E67" s="33" t="n">
        <v>3</v>
      </c>
      <c r="F67" s="33" t="n">
        <v>4.6</v>
      </c>
    </row>
    <row r="68" customFormat="false" ht="15" hidden="false" customHeight="false" outlineLevel="0" collapsed="false">
      <c r="A68" s="0" t="s">
        <v>1010</v>
      </c>
      <c r="B68" s="8" t="n">
        <f aca="false">B67*$B$54*$C$55-$C$56</f>
        <v>93474.5762711865</v>
      </c>
      <c r="C68" s="8" t="n">
        <f aca="false">C67*$B$54*$C$55-$C$56</f>
        <v>190211.86440678</v>
      </c>
      <c r="D68" s="8" t="n">
        <f aca="false">D67*$B$54*$C$55-$C$56</f>
        <v>286949.152542373</v>
      </c>
      <c r="E68" s="8" t="n">
        <f aca="false">E67*$B$54*$C$55-$C$56</f>
        <v>480423.728813559</v>
      </c>
      <c r="F68" s="8" t="n">
        <f aca="false">F67*$B$54*$C$55-$C$56</f>
        <v>789983.050847458</v>
      </c>
    </row>
    <row r="69" customFormat="false" ht="15" hidden="false" customHeight="false" outlineLevel="0" collapsed="false">
      <c r="A69" s="0" t="s">
        <v>1011</v>
      </c>
      <c r="B69" s="8" t="n">
        <f aca="false">B67*$B$54*$D$55-$D$56</f>
        <v>-2438700.56497175</v>
      </c>
      <c r="C69" s="8" t="n">
        <f aca="false">C67*$B$54*$D$55-$D$56</f>
        <v>-2203050.84745763</v>
      </c>
      <c r="D69" s="8" t="n">
        <f aca="false">D67*$B$54*$D$55-$D$56</f>
        <v>-1967401.1299435</v>
      </c>
      <c r="E69" s="8" t="n">
        <f aca="false">E67*$B$54*$D$55-$D$56</f>
        <v>-1496101.69491525</v>
      </c>
      <c r="F69" s="8" t="n">
        <f aca="false">F67*$B$54*$D$55-$D$56</f>
        <v>-742022.598870056</v>
      </c>
    </row>
    <row r="70" customFormat="false" ht="15" hidden="false" customHeight="false" outlineLevel="0" collapsed="false">
      <c r="A70" s="0" t="s">
        <v>1012</v>
      </c>
      <c r="B70" s="8" t="n">
        <f aca="false">$B$57</f>
        <v>357966.101694915</v>
      </c>
      <c r="C70" s="8" t="n">
        <f aca="false">$B$57</f>
        <v>357966.101694915</v>
      </c>
      <c r="D70" s="8" t="n">
        <f aca="false">$B$57</f>
        <v>357966.101694915</v>
      </c>
      <c r="E70" s="8" t="n">
        <f aca="false">$B$57</f>
        <v>357966.101694915</v>
      </c>
      <c r="F70" s="8" t="n">
        <f aca="false">$B$57</f>
        <v>357966.101694915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60"/>
  </cols>
  <sheetData>
    <row r="1" customFormat="false" ht="17.35" hidden="false" customHeight="false" outlineLevel="0" collapsed="false">
      <c r="A1" s="1" t="s">
        <v>1013</v>
      </c>
    </row>
    <row r="4" customFormat="false" ht="28.35" hidden="false" customHeight="false" outlineLevel="0" collapsed="false">
      <c r="A4" s="5" t="s">
        <v>53</v>
      </c>
      <c r="B4" s="5" t="s">
        <v>1014</v>
      </c>
      <c r="C4" s="5" t="s">
        <v>1015</v>
      </c>
      <c r="D4" s="5" t="s">
        <v>746</v>
      </c>
    </row>
    <row r="5" customFormat="false" ht="15" hidden="false" customHeight="false" outlineLevel="0" collapsed="false">
      <c r="A5" s="0" t="s">
        <v>799</v>
      </c>
      <c r="B5" s="6" t="n">
        <f aca="false">Assumptions!$I$171</f>
        <v>8</v>
      </c>
      <c r="C5" s="6" t="n">
        <f aca="false">MAX(Assumptions!$I$176,Assumptions!$I$171)</f>
        <v>12</v>
      </c>
      <c r="D5" s="2" t="s">
        <v>1016</v>
      </c>
    </row>
    <row r="6" customFormat="false" ht="15" hidden="false" customHeight="false" outlineLevel="0" collapsed="false">
      <c r="A6" s="0" t="s">
        <v>800</v>
      </c>
      <c r="B6" s="6" t="n">
        <f aca="false">Assumptions!$I$172</f>
        <v>2</v>
      </c>
      <c r="C6" s="6" t="n">
        <f aca="false">Assumptions!$I$177</f>
        <v>2.5</v>
      </c>
      <c r="D6" s="2" t="s">
        <v>1017</v>
      </c>
    </row>
    <row r="7" customFormat="false" ht="15" hidden="false" customHeight="false" outlineLevel="0" collapsed="false">
      <c r="A7" s="0" t="s">
        <v>1018</v>
      </c>
      <c r="B7" s="6" t="n">
        <f aca="false">B5*B6</f>
        <v>16</v>
      </c>
      <c r="C7" s="6" t="n">
        <f aca="false">C5*C6</f>
        <v>30</v>
      </c>
      <c r="D7" s="2"/>
    </row>
    <row r="8" customFormat="false" ht="15" hidden="false" customHeight="false" outlineLevel="0" collapsed="false">
      <c r="A8" s="0" t="s">
        <v>1019</v>
      </c>
      <c r="B8" s="6" t="n">
        <f aca="false">B7*Assumptions!$I$178</f>
        <v>14.4</v>
      </c>
      <c r="C8" s="6" t="n">
        <f aca="false">C7*Assumptions!$I$178</f>
        <v>27</v>
      </c>
      <c r="D8" s="2"/>
    </row>
    <row r="9" customFormat="false" ht="15" hidden="false" customHeight="false" outlineLevel="0" collapsed="false">
      <c r="A9" s="0" t="s">
        <v>1020</v>
      </c>
      <c r="B9" s="6" t="n">
        <f aca="false">B8*12/Assumptions!$I$103</f>
        <v>57.6</v>
      </c>
      <c r="C9" s="6" t="n">
        <f aca="false">C8*12/Assumptions!$I$103</f>
        <v>108</v>
      </c>
      <c r="D9" s="2" t="s">
        <v>1021</v>
      </c>
    </row>
    <row r="10" customFormat="false" ht="15" hidden="false" customHeight="false" outlineLevel="0" collapsed="false">
      <c r="A10" s="0" t="s">
        <v>1022</v>
      </c>
      <c r="B10" s="6" t="n">
        <f aca="false">Assumptions!$I$25*12*(Assumptions!$I$26*Assumptions!$I$103+(1-Assumptions!$I$26))</f>
        <v>264</v>
      </c>
      <c r="C10" s="6" t="n">
        <f aca="false">B10</f>
        <v>264</v>
      </c>
      <c r="D10" s="2"/>
    </row>
    <row r="11" customFormat="false" ht="15" hidden="false" customHeight="false" outlineLevel="0" collapsed="false">
      <c r="A11" s="0" t="s">
        <v>1023</v>
      </c>
      <c r="B11" s="7" t="n">
        <f aca="false">B10/(B8*12)</f>
        <v>1.52777777777778</v>
      </c>
      <c r="C11" s="7" t="n">
        <f aca="false">C10/(C8*12)</f>
        <v>0.814814814814815</v>
      </c>
      <c r="D11" s="2" t="s">
        <v>1024</v>
      </c>
    </row>
    <row r="12" customFormat="false" ht="15" hidden="false" customHeight="false" outlineLevel="0" collapsed="false">
      <c r="A12" s="0" t="s">
        <v>1025</v>
      </c>
      <c r="B12" s="6" t="n">
        <f aca="false">B10/12/Assumptions!$I$102</f>
        <v>2.2</v>
      </c>
      <c r="C12" s="6" t="n">
        <f aca="false">B12</f>
        <v>2.2</v>
      </c>
      <c r="D12" s="2"/>
    </row>
    <row r="13" customFormat="false" ht="15" hidden="false" customHeight="false" outlineLevel="0" collapsed="false">
      <c r="A13" s="0" t="s">
        <v>1026</v>
      </c>
      <c r="B13" s="6" t="n">
        <f aca="false">B12*(1-Assumptions!$I$158)/Assumptions!$I$101</f>
        <v>0.77</v>
      </c>
      <c r="C13" s="6" t="n">
        <f aca="false">B13</f>
        <v>0.77</v>
      </c>
      <c r="D13" s="2" t="s">
        <v>1027</v>
      </c>
    </row>
    <row r="14" customFormat="false" ht="15" hidden="false" customHeight="false" outlineLevel="0" collapsed="false">
      <c r="A14" s="0" t="s">
        <v>1028</v>
      </c>
      <c r="B14" s="6" t="n">
        <f aca="false">B12*4*22*Assumptions!$I$158</f>
        <v>58.08</v>
      </c>
      <c r="C14" s="6" t="n">
        <f aca="false">B14</f>
        <v>58.08</v>
      </c>
      <c r="D14" s="2" t="s">
        <v>1029</v>
      </c>
    </row>
    <row r="15" customFormat="false" ht="15" hidden="false" customHeight="false" outlineLevel="0" collapsed="false">
      <c r="A15" s="0" t="s">
        <v>1030</v>
      </c>
      <c r="B15" s="8" t="n">
        <f aca="false">Assumptions!$I$179</f>
        <v>35000</v>
      </c>
      <c r="C15" s="8" t="n">
        <f aca="false">Assumptions!$I$174*Assumptions!$I$175</f>
        <v>104000</v>
      </c>
      <c r="D15" s="2" t="s">
        <v>1031</v>
      </c>
    </row>
    <row r="16" customFormat="false" ht="15" hidden="false" customHeight="false" outlineLevel="0" collapsed="false">
      <c r="A16" s="0" t="s">
        <v>1032</v>
      </c>
      <c r="B16" s="8" t="n">
        <f aca="false">B15/B8</f>
        <v>2430.55555555556</v>
      </c>
      <c r="C16" s="8" t="n">
        <f aca="false">IFERROR(C15/C8,0)</f>
        <v>3851.85185185185</v>
      </c>
      <c r="D16" s="2"/>
    </row>
    <row r="17" customFormat="false" ht="15" hidden="false" customHeight="false" outlineLevel="0" collapsed="false">
      <c r="A17" s="0" t="s">
        <v>1033</v>
      </c>
      <c r="B17" s="6" t="n">
        <f aca="false">Outlook_Base!B121</f>
        <v>6</v>
      </c>
      <c r="C17" s="6"/>
      <c r="D17" s="2" t="s">
        <v>1034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11"/>
    <col collapsed="false" customWidth="true" hidden="false" outlineLevel="0" max="5" min="4" style="0" width="15"/>
    <col collapsed="false" customWidth="true" hidden="false" outlineLevel="0" max="6" min="6" style="0" width="14"/>
    <col collapsed="false" customWidth="true" hidden="false" outlineLevel="0" max="7" min="7" style="0" width="7"/>
    <col collapsed="false" customWidth="true" hidden="false" outlineLevel="0" max="9" min="8" style="0" width="15"/>
    <col collapsed="false" customWidth="true" hidden="false" outlineLevel="0" max="11" min="10" style="0" width="12"/>
    <col collapsed="false" customWidth="true" hidden="false" outlineLevel="0" max="12" min="12" style="0" width="40"/>
  </cols>
  <sheetData>
    <row r="1" customFormat="false" ht="17.35" hidden="false" customHeight="false" outlineLevel="0" collapsed="false">
      <c r="A1" s="1" t="s">
        <v>1035</v>
      </c>
    </row>
    <row r="2" customFormat="false" ht="15" hidden="false" customHeight="false" outlineLevel="0" collapsed="false">
      <c r="A2" s="2" t="s">
        <v>1036</v>
      </c>
    </row>
    <row r="4" customFormat="false" ht="41.75" hidden="false" customHeight="false" outlineLevel="0" collapsed="false">
      <c r="A4" s="5" t="s">
        <v>1037</v>
      </c>
      <c r="B4" s="5" t="s">
        <v>1038</v>
      </c>
      <c r="C4" s="5" t="s">
        <v>1039</v>
      </c>
      <c r="D4" s="5" t="s">
        <v>1040</v>
      </c>
      <c r="E4" s="5" t="s">
        <v>1041</v>
      </c>
      <c r="F4" s="5" t="s">
        <v>1042</v>
      </c>
      <c r="G4" s="5" t="s">
        <v>1043</v>
      </c>
      <c r="H4" s="5" t="s">
        <v>1044</v>
      </c>
      <c r="I4" s="5" t="s">
        <v>1045</v>
      </c>
      <c r="J4" s="5" t="s">
        <v>1046</v>
      </c>
      <c r="K4" s="5" t="s">
        <v>1047</v>
      </c>
      <c r="L4" s="5" t="s">
        <v>1048</v>
      </c>
    </row>
    <row r="5" customFormat="false" ht="15" hidden="false" customHeight="false" outlineLevel="0" collapsed="false">
      <c r="A5" s="3" t="s">
        <v>1049</v>
      </c>
      <c r="D5" s="8" t="n">
        <f aca="false">Outlook_Base!B110</f>
        <v>551465.510168139</v>
      </c>
      <c r="E5" s="8" t="n">
        <f aca="false">Outlook_Base!B110</f>
        <v>551465.510168139</v>
      </c>
      <c r="H5" s="8" t="n">
        <f aca="false">Outlook_Base!B114</f>
        <v>2614223.51919159</v>
      </c>
      <c r="J5" s="6" t="n">
        <f aca="false">Outlook_Base!B117</f>
        <v>89.4501840794568</v>
      </c>
    </row>
    <row r="6" customFormat="false" ht="15" hidden="false" customHeight="false" outlineLevel="0" collapsed="false">
      <c r="A6" s="0" t="s">
        <v>1050</v>
      </c>
      <c r="B6" s="0" t="s">
        <v>1051</v>
      </c>
      <c r="C6" s="0" t="s">
        <v>1052</v>
      </c>
      <c r="D6" s="8" t="n">
        <f aca="false">Flex_conv_lo!B110</f>
        <v>-309678.666153587</v>
      </c>
      <c r="E6" s="8" t="n">
        <f aca="false">Flex_conv_hi!B110</f>
        <v>1084295.93736241</v>
      </c>
      <c r="F6" s="8" t="n">
        <f aca="false">ABS(E6-D6)</f>
        <v>1393974.603516</v>
      </c>
      <c r="G6" s="13" t="n">
        <f aca="false">RANK(F6,$F$6:$F$13)</f>
        <v>2</v>
      </c>
      <c r="H6" s="8" t="n">
        <f aca="false">Flex_conv_lo!B114</f>
        <v>2982142.75319959</v>
      </c>
      <c r="I6" s="8" t="n">
        <f aca="false">Flex_conv_hi!B114</f>
        <v>2450758.5760168</v>
      </c>
      <c r="J6" s="6" t="n">
        <f aca="false">Flex_conv_lo!B117</f>
        <v>78.574564</v>
      </c>
      <c r="K6" s="6" t="n">
        <f aca="false">Flex_conv_hi!B117</f>
        <v>93.2177688305241</v>
      </c>
      <c r="L6" s="0" t="str">
        <f aca="false">REPT("█",ROUND(F6/MAX($F$6:$F$13)*30,0))</f>
        <v>██████████████████</v>
      </c>
    </row>
    <row r="7" customFormat="false" ht="15" hidden="false" customHeight="false" outlineLevel="0" collapsed="false">
      <c r="A7" s="0" t="s">
        <v>1053</v>
      </c>
      <c r="B7" s="0" t="s">
        <v>1051</v>
      </c>
      <c r="C7" s="0" t="s">
        <v>1054</v>
      </c>
      <c r="D7" s="8" t="n">
        <f aca="false">Flex_fee_lo!B110</f>
        <v>-768284.11529945</v>
      </c>
      <c r="E7" s="8" t="n">
        <f aca="false">Flex_fee_hi!B110</f>
        <v>1541277.72926883</v>
      </c>
      <c r="F7" s="8" t="n">
        <f aca="false">ABS(E7-D7)</f>
        <v>2309561.84456828</v>
      </c>
      <c r="G7" s="13" t="n">
        <f aca="false">RANK(F7,$F$6:$F$13)</f>
        <v>1</v>
      </c>
      <c r="H7" s="8" t="n">
        <f aca="false">Flex_fee_lo!B114</f>
        <v>3182607.42437568</v>
      </c>
      <c r="I7" s="8" t="n">
        <f aca="false">Flex_fee_hi!B114</f>
        <v>2381836.42525774</v>
      </c>
      <c r="J7" s="6" t="n">
        <f aca="false">Flex_fee_lo!B117</f>
        <v>89.4501840794568</v>
      </c>
      <c r="K7" s="6" t="n">
        <f aca="false">Flex_fee_hi!B117</f>
        <v>89.4501840794568</v>
      </c>
      <c r="L7" s="0" t="str">
        <f aca="false">REPT("█",ROUND(F7/MAX($F$6:$F$13)*30,0))</f>
        <v>██████████████████████████████</v>
      </c>
    </row>
    <row r="8" customFormat="false" ht="15" hidden="false" customHeight="false" outlineLevel="0" collapsed="false">
      <c r="A8" s="0" t="s">
        <v>1055</v>
      </c>
      <c r="B8" s="0" t="s">
        <v>1051</v>
      </c>
      <c r="C8" s="0" t="s">
        <v>1052</v>
      </c>
      <c r="D8" s="8" t="n">
        <f aca="false">Flex_fill_lo!B110</f>
        <v>361465.510168139</v>
      </c>
      <c r="E8" s="8" t="n">
        <f aca="false">Flex_fill_hi!B110</f>
        <v>569465.510168139</v>
      </c>
      <c r="F8" s="8" t="n">
        <f aca="false">ABS(E8-D8)</f>
        <v>208000</v>
      </c>
      <c r="G8" s="13" t="n">
        <f aca="false">RANK(F8,$F$6:$F$13)</f>
        <v>7</v>
      </c>
      <c r="H8" s="8" t="n">
        <f aca="false">Flex_fill_lo!B114</f>
        <v>2614223.51919159</v>
      </c>
      <c r="I8" s="8" t="n">
        <f aca="false">Flex_fill_hi!B114</f>
        <v>2614223.51919159</v>
      </c>
      <c r="J8" s="6" t="n">
        <f aca="false">Flex_fill_lo!B117</f>
        <v>89.4501840794568</v>
      </c>
      <c r="K8" s="6" t="n">
        <f aca="false">Flex_fill_hi!B117</f>
        <v>89.4501840794568</v>
      </c>
      <c r="L8" s="0" t="str">
        <f aca="false">REPT("█",ROUND(F8/MAX($F$6:$F$13)*30,0))</f>
        <v>███</v>
      </c>
    </row>
    <row r="9" customFormat="false" ht="15" hidden="false" customHeight="false" outlineLevel="0" collapsed="false">
      <c r="A9" s="0" t="s">
        <v>1056</v>
      </c>
      <c r="B9" s="0" t="s">
        <v>1057</v>
      </c>
      <c r="C9" s="0" t="s">
        <v>1058</v>
      </c>
      <c r="D9" s="8" t="n">
        <f aca="false">Flex_cpl_lo!B110</f>
        <v>257393.293593312</v>
      </c>
      <c r="E9" s="8" t="n">
        <f aca="false">Flex_cpl_hi!B110</f>
        <v>560556.780970588</v>
      </c>
      <c r="F9" s="8" t="n">
        <f aca="false">ABS(E9-D9)</f>
        <v>303163.487377277</v>
      </c>
      <c r="G9" s="13" t="n">
        <f aca="false">RANK(F9,$F$6:$F$13)</f>
        <v>6</v>
      </c>
      <c r="H9" s="8" t="n">
        <f aca="false">Flex_cpl_lo!B114</f>
        <v>2714928.20662093</v>
      </c>
      <c r="I9" s="8" t="n">
        <f aca="false">Flex_cpl_hi!B114</f>
        <v>2603498.66293271</v>
      </c>
      <c r="J9" s="6" t="n">
        <f aca="false">Flex_cpl_lo!B117</f>
        <v>82.814131574727</v>
      </c>
      <c r="K9" s="6" t="n">
        <f aca="false">Flex_cpl_hi!B117</f>
        <v>89.7371433085444</v>
      </c>
      <c r="L9" s="0" t="str">
        <f aca="false">REPT("█",ROUND(F9/MAX($F$6:$F$13)*30,0))</f>
        <v>████</v>
      </c>
    </row>
    <row r="10" customFormat="false" ht="15" hidden="false" customHeight="false" outlineLevel="0" collapsed="false">
      <c r="A10" s="0" t="s">
        <v>1059</v>
      </c>
      <c r="B10" s="0" t="s">
        <v>1060</v>
      </c>
      <c r="C10" s="0" t="s">
        <v>1061</v>
      </c>
      <c r="D10" s="8" t="n">
        <f aca="false">Flex_var_lo!B110</f>
        <v>334613.942083702</v>
      </c>
      <c r="E10" s="8" t="n">
        <f aca="false">Flex_var_hi!B110</f>
        <v>768317.078252575</v>
      </c>
      <c r="F10" s="8" t="n">
        <f aca="false">ABS(E10-D10)</f>
        <v>433703.136168873</v>
      </c>
      <c r="G10" s="13" t="n">
        <f aca="false">RANK(F10,$F$6:$F$13)</f>
        <v>5</v>
      </c>
      <c r="H10" s="8" t="n">
        <f aca="false">Flex_var_lo!B114</f>
        <v>2706012.41580861</v>
      </c>
      <c r="I10" s="8" t="n">
        <f aca="false">Flex_var_hi!B114</f>
        <v>2522434.62257458</v>
      </c>
      <c r="J10" s="6" t="n">
        <f aca="false">Flex_var_lo!B117</f>
        <v>89.4501840794568</v>
      </c>
      <c r="K10" s="6" t="n">
        <f aca="false">Flex_var_hi!B117</f>
        <v>89.4501840794568</v>
      </c>
      <c r="L10" s="0" t="str">
        <f aca="false">REPT("█",ROUND(F10/MAX($F$6:$F$13)*30,0))</f>
        <v>██████</v>
      </c>
    </row>
    <row r="11" customFormat="false" ht="15" hidden="false" customHeight="false" outlineLevel="0" collapsed="false">
      <c r="A11" s="0" t="s">
        <v>1062</v>
      </c>
      <c r="B11" s="0" t="s">
        <v>1063</v>
      </c>
      <c r="C11" s="0" t="s">
        <v>1064</v>
      </c>
      <c r="D11" s="8" t="n">
        <f aca="false">Flex_rent_lo!B110</f>
        <v>30215.5101681385</v>
      </c>
      <c r="E11" s="8" t="n">
        <f aca="false">Flex_rent_hi!B110</f>
        <v>895490.510168139</v>
      </c>
      <c r="F11" s="8" t="n">
        <f aca="false">ABS(E11-D11)</f>
        <v>865275</v>
      </c>
      <c r="G11" s="13" t="n">
        <f aca="false">RANK(F11,$F$6:$F$13)</f>
        <v>4</v>
      </c>
      <c r="H11" s="8" t="n">
        <f aca="false">Flex_rent_lo!B114</f>
        <v>3014947.84962347</v>
      </c>
      <c r="I11" s="8" t="n">
        <f aca="false">Flex_rent_hi!B114</f>
        <v>2398898.51919159</v>
      </c>
      <c r="J11" s="6" t="n">
        <f aca="false">Flex_rent_lo!B117</f>
        <v>89.4501840794568</v>
      </c>
      <c r="K11" s="6" t="n">
        <f aca="false">Flex_rent_hi!B117</f>
        <v>89.4501840794568</v>
      </c>
      <c r="L11" s="0" t="str">
        <f aca="false">REPT("█",ROUND(F11/MAX($F$6:$F$13)*30,0))</f>
        <v>███████████</v>
      </c>
    </row>
    <row r="12" customFormat="false" ht="15" hidden="false" customHeight="false" outlineLevel="0" collapsed="false">
      <c r="A12" s="0" t="s">
        <v>1065</v>
      </c>
      <c r="B12" s="0" t="s">
        <v>1058</v>
      </c>
      <c r="C12" s="0" t="s">
        <v>1057</v>
      </c>
      <c r="D12" s="8" t="n">
        <f aca="false">Flex_budget_lo!B110</f>
        <v>424303.516795262</v>
      </c>
      <c r="E12" s="8" t="n">
        <f aca="false">Flex_budget_hi!B110</f>
        <v>277788.992818551</v>
      </c>
      <c r="F12" s="8" t="n">
        <f aca="false">ABS(E12-D12)</f>
        <v>146514.523976711</v>
      </c>
      <c r="G12" s="13" t="n">
        <f aca="false">RANK(F12,$F$6:$F$13)</f>
        <v>8</v>
      </c>
      <c r="H12" s="8" t="n">
        <f aca="false">Flex_budget_lo!B114</f>
        <v>2606698.73270195</v>
      </c>
      <c r="I12" s="8" t="n">
        <f aca="false">Flex_budget_hi!B114</f>
        <v>2711548.92480754</v>
      </c>
      <c r="J12" s="6" t="n">
        <f aca="false">Flex_budget_lo!B117</f>
        <v>80.320091657723</v>
      </c>
      <c r="K12" s="6" t="n">
        <f aca="false">Flex_budget_hi!B117</f>
        <v>89.665955879973</v>
      </c>
      <c r="L12" s="0" t="str">
        <f aca="false">REPT("█",ROUND(F12/MAX($F$6:$F$13)*30,0))</f>
        <v>██</v>
      </c>
    </row>
    <row r="13" customFormat="false" ht="15" hidden="false" customHeight="false" outlineLevel="0" collapsed="false">
      <c r="A13" s="0" t="s">
        <v>1066</v>
      </c>
      <c r="B13" s="0" t="s">
        <v>1067</v>
      </c>
      <c r="C13" s="0" t="s">
        <v>1068</v>
      </c>
      <c r="D13" s="8" t="n">
        <f aca="false">Outlook_Base!B110</f>
        <v>551465.510168139</v>
      </c>
      <c r="E13" s="8" t="n">
        <f aca="false">Flex_gst_ontop!B110</f>
        <v>1825432.92411539</v>
      </c>
      <c r="F13" s="8" t="n">
        <f aca="false">ABS(E13-D13)</f>
        <v>1273967.41394725</v>
      </c>
      <c r="G13" s="13" t="n">
        <f aca="false">RANK(F13,$F$6:$F$13)</f>
        <v>3</v>
      </c>
      <c r="H13" s="8" t="n">
        <f aca="false">Outlook_Base!B114</f>
        <v>2614223.51919159</v>
      </c>
      <c r="I13" s="8" t="n">
        <f aca="false">Flex_gst_ontop!B114</f>
        <v>2317977.92515161</v>
      </c>
      <c r="J13" s="6" t="n">
        <f aca="false">Outlook_Base!B117</f>
        <v>89.4501840794568</v>
      </c>
      <c r="K13" s="6" t="n">
        <f aca="false">Flex_gst_ontop!B117</f>
        <v>89.4501840794568</v>
      </c>
      <c r="L13" s="0" t="str">
        <f aca="false">REPT("█",ROUND(F13/MAX($F$6:$F$13)*30,0))</f>
        <v>█████████████████</v>
      </c>
    </row>
    <row r="15" customFormat="false" ht="15" hidden="false" customHeight="false" outlineLevel="0" collapsed="false">
      <c r="A15" s="2" t="s">
        <v>1069</v>
      </c>
    </row>
    <row r="16" customFormat="false" ht="15" hidden="false" customHeight="false" outlineLevel="0" collapsed="false">
      <c r="A16" s="2" t="s">
        <v>1070</v>
      </c>
    </row>
    <row r="19" customFormat="false" ht="15" hidden="false" customHeight="false" outlineLevel="0" collapsed="false">
      <c r="A19" s="10" t="s">
        <v>1071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28.35" hidden="false" customHeight="false" outlineLevel="0" collapsed="false">
      <c r="A20" s="5" t="s">
        <v>1037</v>
      </c>
      <c r="B20" s="5" t="s">
        <v>1072</v>
      </c>
      <c r="C20" s="5" t="s">
        <v>1073</v>
      </c>
      <c r="D20" s="5" t="s">
        <v>1074</v>
      </c>
      <c r="E20" s="5" t="s">
        <v>1075</v>
      </c>
      <c r="F20" s="5" t="s">
        <v>1076</v>
      </c>
    </row>
    <row r="21" customFormat="false" ht="15" hidden="false" customHeight="false" outlineLevel="0" collapsed="false">
      <c r="A21" s="0" t="s">
        <v>1077</v>
      </c>
      <c r="B21" s="0" t="s">
        <v>1051</v>
      </c>
      <c r="C21" s="0" t="s">
        <v>1054</v>
      </c>
      <c r="D21" s="8" t="n">
        <f aca="false">(Assumptions!$D$20*0.8)/(1+Assumptions!$D$15*Assumptions!$D$16)-Assumptions!$D$91-Assumptions!$D$103*(Assumptions!$D$99+Assumptions!$D$100)/Assumptions!$D$101/Assumptions!$D$102-(Assumptions!$D$20*0.8)*Assumptions!$D$70*Assumptions!$D$71-(Assumptions!$D$20*0.8)*Assumptions!$D$76-Assumptions!$D$115*Assumptions!$D$120</f>
        <v>25770.6214689266</v>
      </c>
      <c r="E21" s="8" t="n">
        <f aca="false">(Assumptions!$D$20*1.15)/(1+Assumptions!$D$15*Assumptions!$D$16)-Assumptions!$D$91-Assumptions!$D$103*(Assumptions!$D$99+Assumptions!$D$100)/Assumptions!$D$101/Assumptions!$D$102-(Assumptions!$D$20*1.15)*Assumptions!$D$70*Assumptions!$D$71-(Assumptions!$D$20*1.15)*Assumptions!$D$76-Assumptions!$D$115*Assumptions!$D$120</f>
        <v>48449.4350282486</v>
      </c>
      <c r="F21" s="8" t="n">
        <f aca="false">ABS(E21-D21)</f>
        <v>22678.813559322</v>
      </c>
    </row>
    <row r="22" customFormat="false" ht="15" hidden="false" customHeight="false" outlineLevel="0" collapsed="false">
      <c r="A22" s="0" t="s">
        <v>1078</v>
      </c>
      <c r="B22" s="0" t="s">
        <v>1051</v>
      </c>
      <c r="C22" s="0" t="s">
        <v>1052</v>
      </c>
      <c r="D22" s="8" t="n">
        <f aca="false">Assumptions!$D$20/(1+Assumptions!$D$15*Assumptions!$D$16)-Assumptions!$D$91-Assumptions!$D$103*(Assumptions!$D$99+Assumptions!$D$100)/Assumptions!$D$101/(Assumptions!$D$102*0.8)-Assumptions!$D$20*Assumptions!$D$70*Assumptions!$D$71-Assumptions!$D$20*Assumptions!$D$76-Assumptions!$D$115*Assumptions!$D$120</f>
        <v>36629.9435028249</v>
      </c>
      <c r="E22" s="8" t="n">
        <f aca="false">Assumptions!$D$20/(1+Assumptions!$D$15*Assumptions!$D$16)-Assumptions!$D$91-Assumptions!$D$103*(Assumptions!$D$99+Assumptions!$D$100)/Assumptions!$D$101/(Assumptions!$D$102*1.2)-Assumptions!$D$20*Assumptions!$D$70*Assumptions!$D$71-Assumptions!$D$20*Assumptions!$D$76-Assumptions!$D$115*Assumptions!$D$120</f>
        <v>40129.9435028249</v>
      </c>
      <c r="F22" s="8" t="n">
        <f aca="false">ABS(E22-D22)</f>
        <v>3500</v>
      </c>
    </row>
    <row r="23" customFormat="false" ht="15" hidden="false" customHeight="false" outlineLevel="0" collapsed="false">
      <c r="A23" s="0" t="s">
        <v>1079</v>
      </c>
      <c r="B23" s="0" t="s">
        <v>1057</v>
      </c>
      <c r="C23" s="0" t="s">
        <v>1058</v>
      </c>
      <c r="D23" s="8" t="n">
        <f aca="false">Assumptions!$D$20/(1+Assumptions!$D$15*Assumptions!$D$16)-Assumptions!$D$91-Assumptions!$D$103*(Assumptions!$D$99+Assumptions!$D$100)/Assumptions!$D$101/Assumptions!$D$102-Assumptions!$D$20*Assumptions!$D$70*Assumptions!$D$71-Assumptions!$D$20*Assumptions!$D$76-(Assumptions!$D$115*Assumptions!$D$120*1.3)</f>
        <v>35229.9435028249</v>
      </c>
      <c r="E23" s="8" t="n">
        <f aca="false">Assumptions!$D$20/(1+Assumptions!$D$15*Assumptions!$D$16)-Assumptions!$D$91-Assumptions!$D$103*(Assumptions!$D$99+Assumptions!$D$100)/Assumptions!$D$101/Assumptions!$D$102-Assumptions!$D$20*Assumptions!$D$70*Assumptions!$D$71-Assumptions!$D$20*Assumptions!$D$76-(Assumptions!$D$115*Assumptions!$D$120*0.7)</f>
        <v>42229.9435028249</v>
      </c>
      <c r="F23" s="8" t="n">
        <f aca="false">ABS(E23-D23)</f>
        <v>7000</v>
      </c>
    </row>
    <row r="24" customFormat="false" ht="15" hidden="false" customHeight="false" outlineLevel="0" collapsed="false">
      <c r="A24" s="0" t="s">
        <v>1080</v>
      </c>
      <c r="B24" s="0" t="s">
        <v>1060</v>
      </c>
      <c r="C24" s="0" t="s">
        <v>1061</v>
      </c>
      <c r="D24" s="8" t="n">
        <f aca="false">Assumptions!$D$20/(1+Assumptions!$D$15*Assumptions!$D$16)-(Assumptions!$D$91*1.25)-Assumptions!$D$103*(Assumptions!$D$99+Assumptions!$D$100)/Assumptions!$D$101/Assumptions!$D$102-Assumptions!$D$20*Assumptions!$D$70*Assumptions!$D$71-Assumptions!$D$20*Assumptions!$D$76-Assumptions!$D$115*Assumptions!$D$120</f>
        <v>37229.9435028249</v>
      </c>
      <c r="E24" s="8" t="n">
        <f aca="false">Assumptions!$D$20/(1+Assumptions!$D$15*Assumptions!$D$16)-(Assumptions!$D$91*0.75)-Assumptions!$D$103*(Assumptions!$D$99+Assumptions!$D$100)/Assumptions!$D$101/Assumptions!$D$102-Assumptions!$D$20*Assumptions!$D$70*Assumptions!$D$71-Assumptions!$D$20*Assumptions!$D$76-Assumptions!$D$115*Assumptions!$D$120</f>
        <v>40229.9435028249</v>
      </c>
      <c r="F24" s="8" t="n">
        <f aca="false">ABS(E24-D24)</f>
        <v>3000</v>
      </c>
    </row>
    <row r="25" customFormat="false" ht="15" hidden="false" customHeight="false" outlineLevel="0" collapsed="false">
      <c r="A25" s="0" t="s">
        <v>1081</v>
      </c>
      <c r="B25" s="0" t="s">
        <v>1082</v>
      </c>
      <c r="C25" s="0" t="s">
        <v>1083</v>
      </c>
      <c r="D25" s="8" t="n">
        <f aca="false">Assumptions!$D$20/(1+Assumptions!$D$15*Assumptions!$D$16)-Assumptions!$D$91-Assumptions!$D$103*(Assumptions!$D$99+Assumptions!$D$100)/Assumptions!$D$101/Assumptions!$D$102-Assumptions!$D$20*Assumptions!$D$70*(Assumptions!$D$71*1.4)-Assumptions!$D$20*Assumptions!$D$76-Assumptions!$D$115*Assumptions!$D$120</f>
        <v>38169.9435028249</v>
      </c>
      <c r="E25" s="8" t="n">
        <f aca="false">Assumptions!$D$20/(1+Assumptions!$D$15*Assumptions!$D$16)-Assumptions!$D$91-Assumptions!$D$103*(Assumptions!$D$99+Assumptions!$D$100)/Assumptions!$D$101/Assumptions!$D$102-Assumptions!$D$20*Assumptions!$D$70*(Assumptions!$D$71*0.6)-Assumptions!$D$20*Assumptions!$D$76-Assumptions!$D$115*Assumptions!$D$120</f>
        <v>39289.9435028249</v>
      </c>
      <c r="F25" s="8" t="n">
        <f aca="false">ABS(E25-D25)</f>
        <v>1120</v>
      </c>
    </row>
    <row r="26" customFormat="false" ht="15" hidden="false" customHeight="false" outlineLevel="0" collapsed="false">
      <c r="A26" s="3" t="s">
        <v>1084</v>
      </c>
      <c r="D26" s="8" t="n">
        <f aca="false">Assumptions!$D$20/(1+Assumptions!$D$15*Assumptions!$D$16)-Assumptions!$D$91-Assumptions!$D$103*(Assumptions!$D$99+Assumptions!$D$100)/Assumptions!$D$101/Assumptions!$D$102-Assumptions!$D$20*Assumptions!$D$70*Assumptions!$D$71-Assumptions!$D$20*Assumptions!$D$76-Assumptions!$D$115*Assumptions!$D$120</f>
        <v>38729.9435028249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1085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1</v>
      </c>
      <c r="C3" s="13" t="s">
        <v>1088</v>
      </c>
      <c r="D3" s="34" t="n">
        <v>1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0.933333333333333</v>
      </c>
      <c r="D11" s="7" t="n">
        <f aca="false">IF(2&lt;=6,1-(1-INDEX(Assumptions!$C$157:$E$157,$D$3))*2/6,INDEX(Assumptions!$C$157:$E$157,$D$3)-(INDEX(Assumptions!$C$157:$E$157,$D$3)-INDEX(Assumptions!$C$158:$E$158,$D$3))*(2-6)/6)</f>
        <v>0.866666666666667</v>
      </c>
      <c r="E11" s="7" t="n">
        <f aca="false">IF(3&lt;=6,1-(1-INDEX(Assumptions!$C$157:$E$157,$D$3))*3/6,INDEX(Assumptions!$C$157:$E$157,$D$3)-(INDEX(Assumptions!$C$157:$E$157,$D$3)-INDEX(Assumptions!$C$158:$E$158,$D$3))*(3-6)/6)</f>
        <v>0.8</v>
      </c>
      <c r="F11" s="7" t="n">
        <f aca="false">IF(4&lt;=6,1-(1-INDEX(Assumptions!$C$157:$E$157,$D$3))*4/6,INDEX(Assumptions!$C$157:$E$157,$D$3)-(INDEX(Assumptions!$C$157:$E$157,$D$3)-INDEX(Assumptions!$C$158:$E$158,$D$3))*(4-6)/6)</f>
        <v>0.733333333333333</v>
      </c>
      <c r="G11" s="7" t="n">
        <f aca="false">IF(5&lt;=6,1-(1-INDEX(Assumptions!$C$157:$E$157,$D$3))*5/6,INDEX(Assumptions!$C$157:$E$157,$D$3)-(INDEX(Assumptions!$C$157:$E$157,$D$3)-INDEX(Assumptions!$C$158:$E$158,$D$3))*(5-6)/6)</f>
        <v>0.666666666666667</v>
      </c>
      <c r="H11" s="7" t="n">
        <f aca="false">IF(6&lt;=6,1-(1-INDEX(Assumptions!$C$157:$E$157,$D$3))*6/6,INDEX(Assumptions!$C$157:$E$157,$D$3)-(INDEX(Assumptions!$C$157:$E$157,$D$3)-INDEX(Assumptions!$C$158:$E$158,$D$3))*(6-6)/6)</f>
        <v>0.6</v>
      </c>
      <c r="I11" s="7" t="n">
        <f aca="false">IF(7&lt;=6,1-(1-INDEX(Assumptions!$C$157:$E$157,$D$3))*7/6,INDEX(Assumptions!$C$157:$E$157,$D$3)-(INDEX(Assumptions!$C$157:$E$157,$D$3)-INDEX(Assumptions!$C$158:$E$158,$D$3))*(7-6)/6)</f>
        <v>0.566666666666667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0.533333333333333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0.5</v>
      </c>
      <c r="L11" s="7" t="n">
        <f aca="false">IF(10&lt;=6,1-(1-INDEX(Assumptions!$C$157:$E$157,$D$3))*10/6,INDEX(Assumptions!$C$157:$E$157,$D$3)-(INDEX(Assumptions!$C$157:$E$157,$D$3)-INDEX(Assumptions!$C$158:$E$158,$D$3))*(10-6)/6)</f>
        <v>0.466666666666667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0.433333333333333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0.4</v>
      </c>
      <c r="O11" s="36" t="n">
        <f aca="false">N11</f>
        <v>0.4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1.5</v>
      </c>
      <c r="D13" s="27" t="n">
        <f aca="false">INDEX(Assumptions!$C$9:$E$9,$B$3)*INDEX(Assumptions!$C$12:$E$12,$B$3)/12</f>
        <v>1.5</v>
      </c>
      <c r="E13" s="27" t="n">
        <f aca="false">INDEX(Assumptions!$C$9:$E$9,$B$3)*INDEX(Assumptions!$C$12:$E$12,$B$3)/12</f>
        <v>1.5</v>
      </c>
      <c r="F13" s="27" t="n">
        <f aca="false">INDEX(Assumptions!$C$9:$E$9,$B$3)*INDEX(Assumptions!$C$12:$E$12,$B$3)/12</f>
        <v>1.5</v>
      </c>
      <c r="G13" s="27" t="n">
        <f aca="false">INDEX(Assumptions!$C$9:$E$9,$B$3)*INDEX(Assumptions!$C$12:$E$12,$B$3)/12</f>
        <v>1.5</v>
      </c>
      <c r="H13" s="27" t="n">
        <f aca="false">INDEX(Assumptions!$C$9:$E$9,$B$3)*INDEX(Assumptions!$C$12:$E$12,$B$3)/12</f>
        <v>1.5</v>
      </c>
      <c r="I13" s="27" t="n">
        <f aca="false">INDEX(Assumptions!$C$9:$E$9,$B$3)*INDEX(Assumptions!$C$12:$E$12,$B$3)/12</f>
        <v>1.5</v>
      </c>
      <c r="J13" s="27" t="n">
        <f aca="false">INDEX(Assumptions!$C$9:$E$9,$B$3)*INDEX(Assumptions!$C$12:$E$12,$B$3)/12</f>
        <v>1.5</v>
      </c>
      <c r="K13" s="27" t="n">
        <f aca="false">INDEX(Assumptions!$C$9:$E$9,$B$3)*INDEX(Assumptions!$C$12:$E$12,$B$3)/12</f>
        <v>1.5</v>
      </c>
      <c r="L13" s="27" t="n">
        <f aca="false">INDEX(Assumptions!$C$9:$E$9,$B$3)*INDEX(Assumptions!$C$12:$E$12,$B$3)/12</f>
        <v>1.5</v>
      </c>
      <c r="M13" s="27" t="n">
        <f aca="false">INDEX(Assumptions!$C$9:$E$9,$B$3)*INDEX(Assumptions!$C$12:$E$12,$B$3)/12</f>
        <v>1.5</v>
      </c>
      <c r="N13" s="27" t="n">
        <f aca="false">INDEX(Assumptions!$C$9:$E$9,$B$3)*INDEX(Assumptions!$C$12:$E$12,$B$3)/12</f>
        <v>1.5</v>
      </c>
      <c r="O13" s="35" t="n">
        <f aca="false">SUM(C13:N13)</f>
        <v>18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1.5</v>
      </c>
      <c r="D14" s="27" t="n">
        <f aca="false">D13+(INDEX(Assumptions!$C$25:$E$25,$D$3)-D13)*MIN(1,(2-1)/6)</f>
        <v>2.25</v>
      </c>
      <c r="E14" s="27" t="n">
        <f aca="false">E13+(INDEX(Assumptions!$C$25:$E$25,$D$3)-E13)*MIN(1,(3-1)/6)</f>
        <v>3</v>
      </c>
      <c r="F14" s="27" t="n">
        <f aca="false">F13+(INDEX(Assumptions!$C$25:$E$25,$D$3)-F13)*MIN(1,(4-1)/6)</f>
        <v>3.75</v>
      </c>
      <c r="G14" s="27" t="n">
        <f aca="false">G13+(INDEX(Assumptions!$C$25:$E$25,$D$3)-G13)*MIN(1,(5-1)/6)</f>
        <v>4.5</v>
      </c>
      <c r="H14" s="27" t="n">
        <f aca="false">H13+(INDEX(Assumptions!$C$25:$E$25,$D$3)-H13)*MIN(1,(6-1)/6)</f>
        <v>5.25</v>
      </c>
      <c r="I14" s="27" t="n">
        <f aca="false">I13+(INDEX(Assumptions!$C$25:$E$25,$D$3)-I13)*MIN(1,(7-1)/6)</f>
        <v>6</v>
      </c>
      <c r="J14" s="27" t="n">
        <f aca="false">J13+(INDEX(Assumptions!$C$25:$E$25,$D$3)-J13)*MIN(1,(8-1)/6)</f>
        <v>6</v>
      </c>
      <c r="K14" s="27" t="n">
        <f aca="false">K13+(INDEX(Assumptions!$C$25:$E$25,$D$3)-K13)*MIN(1,(9-1)/6)</f>
        <v>6</v>
      </c>
      <c r="L14" s="27" t="n">
        <f aca="false">L13+(INDEX(Assumptions!$C$25:$E$25,$D$3)-L13)*MIN(1,(10-1)/6)</f>
        <v>6</v>
      </c>
      <c r="M14" s="27" t="n">
        <f aca="false">M13+(INDEX(Assumptions!$C$25:$E$25,$D$3)-M13)*MIN(1,(11-1)/6)</f>
        <v>6</v>
      </c>
      <c r="N14" s="27" t="n">
        <f aca="false">N13+(INDEX(Assumptions!$C$25:$E$25,$D$3)-N13)*MIN(1,(12-1)/6)</f>
        <v>6</v>
      </c>
      <c r="O14" s="35" t="n">
        <f aca="false">SUM(C14:N14)</f>
        <v>56.25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10000</v>
      </c>
      <c r="D15" s="8" t="n">
        <f aca="false">INDEX(Assumptions!$C$122:$E$122,$D$3)*$J$4</f>
        <v>25000</v>
      </c>
      <c r="E15" s="8" t="n">
        <f aca="false">INDEX(Assumptions!$C$123:$E$123,$D$3)*$J$4</f>
        <v>30000</v>
      </c>
      <c r="F15" s="8" t="n">
        <f aca="false">INDEX(Assumptions!$C$124:$E$124,$D$3)*$J$4</f>
        <v>35000</v>
      </c>
      <c r="G15" s="8" t="n">
        <f aca="false">INDEX(Assumptions!$C$125:$E$125,$D$3)*$J$4</f>
        <v>40000</v>
      </c>
      <c r="H15" s="8" t="n">
        <f aca="false">INDEX(Assumptions!$C$126:$E$126,$D$3)*$J$4</f>
        <v>40000</v>
      </c>
      <c r="I15" s="8" t="n">
        <f aca="false">INDEX(Assumptions!$C$127:$E$127,$D$3)*$J$4</f>
        <v>40000</v>
      </c>
      <c r="J15" s="8" t="n">
        <f aca="false">INDEX(Assumptions!$C$128:$E$128,$D$3)*$J$4</f>
        <v>40000</v>
      </c>
      <c r="K15" s="8" t="n">
        <f aca="false">INDEX(Assumptions!$C$129:$E$129,$D$3)*$J$4</f>
        <v>40000</v>
      </c>
      <c r="L15" s="8" t="n">
        <f aca="false">INDEX(Assumptions!$C$130:$E$130,$D$3)*$J$4</f>
        <v>40000</v>
      </c>
      <c r="M15" s="8" t="n">
        <f aca="false">INDEX(Assumptions!$C$131:$E$131,$D$3)*$J$4</f>
        <v>40000</v>
      </c>
      <c r="N15" s="8" t="n">
        <f aca="false">INDEX(Assumptions!$C$132:$E$132,$D$3)*$J$4</f>
        <v>40000</v>
      </c>
      <c r="O15" s="37" t="n">
        <f aca="false">SUM(C15:N15)</f>
        <v>420000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40323.2490675508</v>
      </c>
      <c r="D16" s="8" t="n">
        <f aca="false">INDEX(Assumptions!$C$115:$E$115,$B$3)*INDEX(Assumptions!$C$120:$E$120,$B$3)*$L$3/$F$3</f>
        <v>40323.2490675508</v>
      </c>
      <c r="E16" s="8" t="n">
        <f aca="false">INDEX(Assumptions!$C$115:$E$115,$B$3)*INDEX(Assumptions!$C$120:$E$120,$B$3)*$L$3/$F$3</f>
        <v>40323.2490675508</v>
      </c>
      <c r="F16" s="8" t="n">
        <f aca="false">INDEX(Assumptions!$C$115:$E$115,$B$3)*INDEX(Assumptions!$C$120:$E$120,$B$3)*$L$3/$F$3</f>
        <v>40323.2490675508</v>
      </c>
      <c r="G16" s="8" t="n">
        <f aca="false">INDEX(Assumptions!$C$115:$E$115,$B$3)*INDEX(Assumptions!$C$120:$E$120,$B$3)*$L$3/$F$3</f>
        <v>40323.2490675508</v>
      </c>
      <c r="H16" s="8" t="n">
        <f aca="false">INDEX(Assumptions!$C$115:$E$115,$B$3)*INDEX(Assumptions!$C$120:$E$120,$B$3)*$L$3/$F$3</f>
        <v>40323.2490675508</v>
      </c>
      <c r="I16" s="8" t="n">
        <f aca="false">INDEX(Assumptions!$C$115:$E$115,$B$3)*INDEX(Assumptions!$C$120:$E$120,$B$3)*$L$3/$F$3</f>
        <v>40323.2490675508</v>
      </c>
      <c r="J16" s="8" t="n">
        <f aca="false">INDEX(Assumptions!$C$115:$E$115,$B$3)*INDEX(Assumptions!$C$120:$E$120,$B$3)*$L$3/$F$3</f>
        <v>40323.2490675508</v>
      </c>
      <c r="K16" s="8" t="n">
        <f aca="false">INDEX(Assumptions!$C$115:$E$115,$B$3)*INDEX(Assumptions!$C$120:$E$120,$B$3)*$L$3/$F$3</f>
        <v>40323.2490675508</v>
      </c>
      <c r="L16" s="8" t="n">
        <f aca="false">INDEX(Assumptions!$C$115:$E$115,$B$3)*INDEX(Assumptions!$C$120:$E$120,$B$3)*$L$3/$F$3</f>
        <v>40323.2490675508</v>
      </c>
      <c r="M16" s="8" t="n">
        <f aca="false">INDEX(Assumptions!$C$115:$E$115,$B$3)*INDEX(Assumptions!$C$120:$E$120,$B$3)*$L$3/$F$3</f>
        <v>40323.2490675508</v>
      </c>
      <c r="N16" s="8" t="n">
        <f aca="false">INDEX(Assumptions!$C$115:$E$115,$B$3)*INDEX(Assumptions!$C$120:$E$120,$B$3)*$L$3/$F$3</f>
        <v>40323.2490675508</v>
      </c>
      <c r="O16" s="37" t="n">
        <f aca="false">AVERAGE(C16:N16)</f>
        <v>40323.2490675508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0.65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0.65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0.65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0.9125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0.173597122302158</v>
      </c>
      <c r="D18" s="27" t="n">
        <f aca="false">D15*INDEX(Assumptions!$C$119:$E$119,$B$3)/D16</f>
        <v>0.433992805755396</v>
      </c>
      <c r="E18" s="27" t="n">
        <f aca="false">E15*INDEX(Assumptions!$C$119:$E$119,$B$3)/E16</f>
        <v>0.520791366906475</v>
      </c>
      <c r="F18" s="27" t="n">
        <f aca="false">F15*INDEX(Assumptions!$C$119:$E$119,$B$3)/F16</f>
        <v>0.607589928057554</v>
      </c>
      <c r="G18" s="27" t="n">
        <f aca="false">G15*INDEX(Assumptions!$C$119:$E$119,$B$3)/G16</f>
        <v>0.694388489208633</v>
      </c>
      <c r="H18" s="27" t="n">
        <f aca="false">H15*INDEX(Assumptions!$C$119:$E$119,$B$3)/H16</f>
        <v>0.694388489208633</v>
      </c>
      <c r="I18" s="27" t="n">
        <f aca="false">I15*INDEX(Assumptions!$C$119:$E$119,$B$3)/I16</f>
        <v>0.694388489208633</v>
      </c>
      <c r="J18" s="27" t="n">
        <f aca="false">J15*INDEX(Assumptions!$C$119:$E$119,$B$3)/J16</f>
        <v>0.694388489208633</v>
      </c>
      <c r="K18" s="27" t="n">
        <f aca="false">K15*INDEX(Assumptions!$C$119:$E$119,$B$3)/K16</f>
        <v>0.694388489208633</v>
      </c>
      <c r="L18" s="27" t="n">
        <f aca="false">L15*INDEX(Assumptions!$C$119:$E$119,$B$3)/L16</f>
        <v>0.694388489208633</v>
      </c>
      <c r="M18" s="27" t="n">
        <f aca="false">M15*INDEX(Assumptions!$C$119:$E$119,$B$3)/M16</f>
        <v>0.694388489208633</v>
      </c>
      <c r="N18" s="27" t="n">
        <f aca="false">N15*INDEX(Assumptions!$C$119:$E$119,$B$3)/N16</f>
        <v>0.694388489208633</v>
      </c>
      <c r="O18" s="35" t="n">
        <f aca="false">SUM(C18:N18)</f>
        <v>7.29107913669065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0.402270503597122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0.650321492805755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0.782960071942446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1.68607194244604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2.24494964028777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2.79438848920863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4.02270503597122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4.17742446043166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3.86798561151079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3.4038273381295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3.24910791366907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3.09438848920863</v>
      </c>
      <c r="O19" s="38" t="n">
        <f aca="false">SUM(C19:N19)</f>
        <v>30.3764009892086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8</v>
      </c>
      <c r="J20" s="8" t="n">
        <f aca="false">IF(8&gt;=INDEX(Assumptions!$C$173:$E$173,$D$3),INDEX(Assumptions!$C$176:$E$176,$D$3),INDEX(Assumptions!$C$171:$E$171,$B$3))</f>
        <v>8</v>
      </c>
      <c r="K20" s="8" t="n">
        <f aca="false">IF(9&gt;=INDEX(Assumptions!$C$173:$E$173,$D$3),INDEX(Assumptions!$C$176:$E$176,$D$3),INDEX(Assumptions!$C$171:$E$171,$B$3))</f>
        <v>8</v>
      </c>
      <c r="L20" s="8" t="n">
        <f aca="false">IF(10&gt;=INDEX(Assumptions!$C$173:$E$173,$D$3),INDEX(Assumptions!$C$176:$E$176,$D$3),INDEX(Assumptions!$C$171:$E$171,$B$3))</f>
        <v>8</v>
      </c>
      <c r="M20" s="8" t="n">
        <f aca="false">IF(11&gt;=INDEX(Assumptions!$C$173:$E$173,$D$3),INDEX(Assumptions!$C$176:$E$176,$D$3),INDEX(Assumptions!$C$171:$E$171,$B$3))</f>
        <v>8</v>
      </c>
      <c r="N20" s="8" t="n">
        <f aca="false">IF(12&gt;=INDEX(Assumptions!$C$173:$E$173,$D$3),INDEX(Assumptions!$C$176:$E$176,$D$3),INDEX(Assumptions!$C$171:$E$171,$B$3))</f>
        <v>8</v>
      </c>
      <c r="O20" s="37" t="n">
        <f aca="false">N20</f>
        <v>8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</v>
      </c>
      <c r="J21" s="6" t="n">
        <f aca="false">IF(8&gt;=INDEX(Assumptions!$C$173:$E$173,$D$3),INDEX(Assumptions!$C$177:$E$177,$D$3),INDEX(Assumptions!$C$172:$E$172,$D$3))</f>
        <v>2</v>
      </c>
      <c r="K21" s="6" t="n">
        <f aca="false">IF(9&gt;=INDEX(Assumptions!$C$173:$E$173,$D$3),INDEX(Assumptions!$C$177:$E$177,$D$3),INDEX(Assumptions!$C$172:$E$172,$D$3))</f>
        <v>2</v>
      </c>
      <c r="L21" s="6" t="n">
        <f aca="false">IF(10&gt;=INDEX(Assumptions!$C$173:$E$173,$D$3),INDEX(Assumptions!$C$177:$E$177,$D$3),INDEX(Assumptions!$C$172:$E$172,$D$3))</f>
        <v>2</v>
      </c>
      <c r="M21" s="6" t="n">
        <f aca="false">IF(11&gt;=INDEX(Assumptions!$C$173:$E$173,$D$3),INDEX(Assumptions!$C$177:$E$177,$D$3),INDEX(Assumptions!$C$172:$E$172,$D$3))</f>
        <v>2</v>
      </c>
      <c r="N21" s="6" t="n">
        <f aca="false">IF(12&gt;=INDEX(Assumptions!$C$173:$E$173,$D$3),INDEX(Assumptions!$C$177:$E$177,$D$3),INDEX(Assumptions!$C$172:$E$172,$D$3))</f>
        <v>2</v>
      </c>
      <c r="O21" s="39" t="n">
        <f aca="false">N21</f>
        <v>2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14.4</v>
      </c>
      <c r="J22" s="6" t="n">
        <f aca="false">J20*J21*INDEX(Assumptions!$C$178:$E$178,$B$3)</f>
        <v>14.4</v>
      </c>
      <c r="K22" s="6" t="n">
        <f aca="false">K20*K21*INDEX(Assumptions!$C$178:$E$178,$B$3)</f>
        <v>14.4</v>
      </c>
      <c r="L22" s="6" t="n">
        <f aca="false">L20*L21*INDEX(Assumptions!$C$178:$E$178,$B$3)</f>
        <v>14.4</v>
      </c>
      <c r="M22" s="6" t="n">
        <f aca="false">M20*M21*INDEX(Assumptions!$C$178:$E$178,$B$3)</f>
        <v>14.4</v>
      </c>
      <c r="N22" s="6" t="n">
        <f aca="false">N20*N21*INDEX(Assumptions!$C$178:$E$178,$B$3)</f>
        <v>14.4</v>
      </c>
      <c r="O22" s="39" t="n">
        <f aca="false">N22</f>
        <v>14.4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</v>
      </c>
      <c r="M23" s="7" t="n">
        <f aca="false">IF(11&gt;=INDEX(Assumptions!$C$189:$E$189,$D$3),INDEX(Assumptions!$C$74:$E$74,$B$3),0)</f>
        <v>0</v>
      </c>
      <c r="N23" s="7" t="n">
        <f aca="false">IF(12&gt;=INDEX(Assumptions!$C$189:$E$189,$D$3),INDEX(Assumptions!$C$74:$E$74,$B$3),0)</f>
        <v>0</v>
      </c>
      <c r="O23" s="36" t="n">
        <f aca="false">N23</f>
        <v>0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0.201135251798561</v>
      </c>
      <c r="E24" s="6" t="n">
        <f aca="false">D27+C27+D30+C30+1.25*D28</f>
        <v>0.576579811151079</v>
      </c>
      <c r="F24" s="6" t="n">
        <f aca="false">E27+D27+E30+D30+1.25*E28</f>
        <v>0.848214781924461</v>
      </c>
      <c r="G24" s="6" t="n">
        <f aca="false">F27+E27+F30+E30+1.25*F28</f>
        <v>1.41367620278777</v>
      </c>
      <c r="H24" s="6" t="n">
        <f aca="false">G27+F27+G30+F30+1.25*G28</f>
        <v>2.27413979316547</v>
      </c>
      <c r="I24" s="6" t="n">
        <f aca="false">H27+G27+H30+G30+1.25*H28</f>
        <v>3.01104676258993</v>
      </c>
      <c r="J24" s="6" t="n">
        <f aca="false">I27+H27+I30+H30+1.25*I28</f>
        <v>4.03846402877698</v>
      </c>
      <c r="K24" s="6" t="n">
        <f aca="false">J27+I27+J30+I30+1.25*J28</f>
        <v>4.95220143884892</v>
      </c>
      <c r="L24" s="6" t="n">
        <f aca="false">K27+J27+K30+J30+1.25*K28</f>
        <v>5.04772122302158</v>
      </c>
      <c r="M24" s="6" t="n">
        <f aca="false">L27+K27+L30+K30+1.25*L28</f>
        <v>4.64158273381295</v>
      </c>
      <c r="N24" s="6" t="n">
        <f aca="false">M27+L27+M30+L30+1.25*M28</f>
        <v>4.23544424460432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0.402270503597122</v>
      </c>
      <c r="D25" s="6" t="n">
        <f aca="false">D19*(INDEX(Assumptions!$C$26:$E$26,$B$3)*(1-D23)+INDEX(Assumptions!$C$26:$E$26,$B$3)*D23*1.25+(1-INDEX(Assumptions!$C$26:$E$26,$B$3)))+C29*INDEX(Assumptions!$C$89:$E$89,$B$3)</f>
        <v>0.700605305755396</v>
      </c>
      <c r="E25" s="6" t="n">
        <f aca="false">E19*(INDEX(Assumptions!$C$26:$E$26,$B$3)*(1-E23)+INDEX(Assumptions!$C$26:$E$26,$B$3)*E23*1.25+(1-INDEX(Assumptions!$C$26:$E$26,$B$3)))+D29*INDEX(Assumptions!$C$89:$E$89,$B$3)</f>
        <v>0.864250258543166</v>
      </c>
      <c r="F25" s="6" t="n">
        <f aca="false">F19*(INDEX(Assumptions!$C$26:$E$26,$B$3)*(1-F23)+INDEX(Assumptions!$C$26:$E$26,$B$3)*F23*1.25+(1-INDEX(Assumptions!$C$26:$E$26,$B$3)))+E29*INDEX(Assumptions!$C$89:$E$89,$B$3)</f>
        <v>1.78394195143885</v>
      </c>
      <c r="G25" s="6" t="n">
        <f aca="false">G19*(INDEX(Assumptions!$C$26:$E$26,$B$3)*(1-G23)+INDEX(Assumptions!$C$26:$E$26,$B$3)*G23*1.25+(1-INDEX(Assumptions!$C$26:$E$26,$B$3)))+F29*INDEX(Assumptions!$C$89:$E$89,$B$3)</f>
        <v>2.45570863309353</v>
      </c>
      <c r="H25" s="6" t="n">
        <f aca="false">H19*(INDEX(Assumptions!$C$26:$E$26,$B$3)*(1-H23)+INDEX(Assumptions!$C$26:$E$26,$B$3)*H23*1.25+(1-INDEX(Assumptions!$C$26:$E$26,$B$3)))+G29*INDEX(Assumptions!$C$89:$E$89,$B$3)</f>
        <v>3.0750071942446</v>
      </c>
      <c r="I25" s="6" t="n">
        <f aca="false">I19*(INDEX(Assumptions!$C$26:$E$26,$B$3)*(1-I23)+INDEX(Assumptions!$C$26:$E$26,$B$3)*I23*1.25+(1-INDEX(Assumptions!$C$26:$E$26,$B$3)))+H29*INDEX(Assumptions!$C$89:$E$89,$B$3)</f>
        <v>4.3720035971223</v>
      </c>
      <c r="J25" s="6" t="n">
        <f aca="false">J19*(INDEX(Assumptions!$C$26:$E$26,$B$3)*(1-J23)+INDEX(Assumptions!$C$26:$E$26,$B$3)*J23*1.25+(1-INDEX(Assumptions!$C$26:$E$26,$B$3)))+I29*INDEX(Assumptions!$C$89:$E$89,$B$3)</f>
        <v>4.68026258992806</v>
      </c>
      <c r="K25" s="6" t="n">
        <f aca="false">K19*(INDEX(Assumptions!$C$26:$E$26,$B$3)*(1-K23)+INDEX(Assumptions!$C$26:$E$26,$B$3)*K23*1.25+(1-INDEX(Assumptions!$C$26:$E$26,$B$3)))+J29*INDEX(Assumptions!$C$89:$E$89,$B$3)</f>
        <v>4.39016366906475</v>
      </c>
      <c r="L25" s="6" t="n">
        <f aca="false">L19*(INDEX(Assumptions!$C$26:$E$26,$B$3)*(1-L23)+INDEX(Assumptions!$C$26:$E$26,$B$3)*L23*1.25+(1-INDEX(Assumptions!$C$26:$E$26,$B$3)))+K29*INDEX(Assumptions!$C$89:$E$89,$B$3)</f>
        <v>3.88732553956835</v>
      </c>
      <c r="M25" s="6" t="n">
        <f aca="false">M19*(INDEX(Assumptions!$C$26:$E$26,$B$3)*(1-M23)+INDEX(Assumptions!$C$26:$E$26,$B$3)*M23*1.25+(1-INDEX(Assumptions!$C$26:$E$26,$B$3)))+L29*INDEX(Assumptions!$C$89:$E$89,$B$3)</f>
        <v>3.67458633093525</v>
      </c>
      <c r="N25" s="6" t="n">
        <f aca="false">N19*(INDEX(Assumptions!$C$26:$E$26,$B$3)*(1-N23)+INDEX(Assumptions!$C$26:$E$26,$B$3)*N23*1.25+(1-INDEX(Assumptions!$C$26:$E$26,$B$3)))+M29*INDEX(Assumptions!$C$89:$E$89,$B$3)</f>
        <v>3.50052697841727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1</v>
      </c>
      <c r="I26" s="7" t="n">
        <f aca="false">IF(I25&lt;=0,1,MAX(0,MIN(1,(I22-I24)/I25)))</f>
        <v>1</v>
      </c>
      <c r="J26" s="7" t="n">
        <f aca="false">IF(J25&lt;=0,1,MAX(0,MIN(1,(J22-J24)/J25)))</f>
        <v>1</v>
      </c>
      <c r="K26" s="7" t="n">
        <f aca="false">IF(K25&lt;=0,1,MAX(0,MIN(1,(K22-K24)/K25)))</f>
        <v>1</v>
      </c>
      <c r="L26" s="7" t="n">
        <f aca="false">IF(L25&lt;=0,1,MAX(0,MIN(1,(L22-L24)/L25)))</f>
        <v>1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0.201135251798561</v>
      </c>
      <c r="D27" s="35" t="n">
        <f aca="false">D19*INDEX(Assumptions!$C$26:$E$26,$B$3)*(1-D23)*D26</f>
        <v>0.325160746402878</v>
      </c>
      <c r="E27" s="35" t="n">
        <f aca="false">E19*INDEX(Assumptions!$C$26:$E$26,$B$3)*(1-E23)*E26</f>
        <v>0.391480035971223</v>
      </c>
      <c r="F27" s="35" t="n">
        <f aca="false">F19*INDEX(Assumptions!$C$26:$E$26,$B$3)*(1-F23)*F26</f>
        <v>0.843035971223022</v>
      </c>
      <c r="G27" s="35" t="n">
        <f aca="false">G19*INDEX(Assumptions!$C$26:$E$26,$B$3)*(1-G23)*G26</f>
        <v>1.12247482014389</v>
      </c>
      <c r="H27" s="35" t="n">
        <f aca="false">H19*INDEX(Assumptions!$C$26:$E$26,$B$3)*(1-H23)*H26</f>
        <v>1.39719424460432</v>
      </c>
      <c r="I27" s="35" t="n">
        <f aca="false">I19*INDEX(Assumptions!$C$26:$E$26,$B$3)*(1-I23)*I26</f>
        <v>2.01135251798561</v>
      </c>
      <c r="J27" s="35" t="n">
        <f aca="false">J19*INDEX(Assumptions!$C$26:$E$26,$B$3)*(1-J23)*J26</f>
        <v>2.08871223021583</v>
      </c>
      <c r="K27" s="35" t="n">
        <f aca="false">K19*INDEX(Assumptions!$C$26:$E$26,$B$3)*(1-K23)*K26</f>
        <v>1.9339928057554</v>
      </c>
      <c r="L27" s="35" t="n">
        <f aca="false">L19*INDEX(Assumptions!$C$26:$E$26,$B$3)*(1-L23)*L26</f>
        <v>1.70191366906475</v>
      </c>
      <c r="M27" s="35" t="n">
        <f aca="false">M19*INDEX(Assumptions!$C$26:$E$26,$B$3)*(1-M23)*M26</f>
        <v>1.62455395683453</v>
      </c>
      <c r="N27" s="35" t="n">
        <f aca="false">N19*INDEX(Assumptions!$C$26:$E$26,$B$3)*(1-N23)*N26</f>
        <v>1.54719424460432</v>
      </c>
      <c r="O27" s="38" t="n">
        <f aca="false">SUM(C27:N27)</f>
        <v>15.1882004946043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0</v>
      </c>
      <c r="M28" s="27" t="n">
        <f aca="false">M19*INDEX(Assumptions!$C$26:$E$26,$B$3)*M23*M26</f>
        <v>0</v>
      </c>
      <c r="N28" s="27" t="n">
        <f aca="false">N19*INDEX(Assumptions!$C$26:$E$26,$B$3)*N23*N26</f>
        <v>0</v>
      </c>
      <c r="O28" s="35" t="n">
        <f aca="false">SUM(C28:N28)</f>
        <v>0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0.201135251798561</v>
      </c>
      <c r="D29" s="27" t="n">
        <f aca="false">D19*(1-INDEX(Assumptions!$C$26:$E$26,$B$3))*D26</f>
        <v>0.325160746402878</v>
      </c>
      <c r="E29" s="27" t="n">
        <f aca="false">E19*(1-INDEX(Assumptions!$C$26:$E$26,$B$3))*E26</f>
        <v>0.391480035971223</v>
      </c>
      <c r="F29" s="27" t="n">
        <f aca="false">F19*(1-INDEX(Assumptions!$C$26:$E$26,$B$3))*F26</f>
        <v>0.843035971223022</v>
      </c>
      <c r="G29" s="27" t="n">
        <f aca="false">G19*(1-INDEX(Assumptions!$C$26:$E$26,$B$3))*G26</f>
        <v>1.12247482014389</v>
      </c>
      <c r="H29" s="27" t="n">
        <f aca="false">H19*(1-INDEX(Assumptions!$C$26:$E$26,$B$3))*H26</f>
        <v>1.39719424460432</v>
      </c>
      <c r="I29" s="27" t="n">
        <f aca="false">I19*(1-INDEX(Assumptions!$C$26:$E$26,$B$3))*I26</f>
        <v>2.01135251798561</v>
      </c>
      <c r="J29" s="27" t="n">
        <f aca="false">J19*(1-INDEX(Assumptions!$C$26:$E$26,$B$3))*J26</f>
        <v>2.08871223021583</v>
      </c>
      <c r="K29" s="27" t="n">
        <f aca="false">K19*(1-INDEX(Assumptions!$C$26:$E$26,$B$3))*K26</f>
        <v>1.9339928057554</v>
      </c>
      <c r="L29" s="27" t="n">
        <f aca="false">L19*(1-INDEX(Assumptions!$C$26:$E$26,$B$3))*L26</f>
        <v>1.70191366906475</v>
      </c>
      <c r="M29" s="27" t="n">
        <f aca="false">M19*(1-INDEX(Assumptions!$C$26:$E$26,$B$3))*M26</f>
        <v>1.62455395683453</v>
      </c>
      <c r="N29" s="27" t="n">
        <f aca="false">N19*(1-INDEX(Assumptions!$C$26:$E$26,$B$3))*N26</f>
        <v>1.54719424460432</v>
      </c>
      <c r="O29" s="35" t="n">
        <f aca="false">SUM(C29:N29)</f>
        <v>15.1882004946043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0.0502838129496403</v>
      </c>
      <c r="E30" s="27" t="n">
        <f aca="false">D29*INDEX(Assumptions!$C$89:$E$89,$B$3)*E26</f>
        <v>0.0812901866007194</v>
      </c>
      <c r="F30" s="27" t="n">
        <f aca="false">E29*INDEX(Assumptions!$C$89:$E$89,$B$3)*F26</f>
        <v>0.0978700089928058</v>
      </c>
      <c r="G30" s="27" t="n">
        <f aca="false">F29*INDEX(Assumptions!$C$89:$E$89,$B$3)*G26</f>
        <v>0.210758992805755</v>
      </c>
      <c r="H30" s="27" t="n">
        <f aca="false">G29*INDEX(Assumptions!$C$89:$E$89,$B$3)*H26</f>
        <v>0.280618705035971</v>
      </c>
      <c r="I30" s="27" t="n">
        <f aca="false">H29*INDEX(Assumptions!$C$89:$E$89,$B$3)*I26</f>
        <v>0.349298561151079</v>
      </c>
      <c r="J30" s="27" t="n">
        <f aca="false">I29*INDEX(Assumptions!$C$89:$E$89,$B$3)*J26</f>
        <v>0.502838129496403</v>
      </c>
      <c r="K30" s="27" t="n">
        <f aca="false">J29*INDEX(Assumptions!$C$89:$E$89,$B$3)*K26</f>
        <v>0.522178057553957</v>
      </c>
      <c r="L30" s="27" t="n">
        <f aca="false">K29*INDEX(Assumptions!$C$89:$E$89,$B$3)*L26</f>
        <v>0.483498201438849</v>
      </c>
      <c r="M30" s="27" t="n">
        <f aca="false">L29*INDEX(Assumptions!$C$89:$E$89,$B$3)*M26</f>
        <v>0.425478417266187</v>
      </c>
      <c r="N30" s="27" t="n">
        <f aca="false">M29*INDEX(Assumptions!$C$89:$E$89,$B$3)*N26</f>
        <v>0.406138489208633</v>
      </c>
      <c r="O30" s="35" t="n">
        <f aca="false">SUM(C30:N30)</f>
        <v>3.4102515625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0.402270503597122</v>
      </c>
      <c r="D31" s="35" t="n">
        <f aca="false">D27+D28+D29</f>
        <v>0.650321492805755</v>
      </c>
      <c r="E31" s="35" t="n">
        <f aca="false">E27+E28+E29</f>
        <v>0.782960071942446</v>
      </c>
      <c r="F31" s="35" t="n">
        <f aca="false">F27+F28+F29</f>
        <v>1.68607194244604</v>
      </c>
      <c r="G31" s="35" t="n">
        <f aca="false">G27+G28+G29</f>
        <v>2.24494964028777</v>
      </c>
      <c r="H31" s="35" t="n">
        <f aca="false">H27+H28+H29</f>
        <v>2.79438848920863</v>
      </c>
      <c r="I31" s="35" t="n">
        <f aca="false">I27+I28+I29</f>
        <v>4.02270503597122</v>
      </c>
      <c r="J31" s="35" t="n">
        <f aca="false">J27+J28+J29</f>
        <v>4.17742446043166</v>
      </c>
      <c r="K31" s="35" t="n">
        <f aca="false">K27+K28+K29</f>
        <v>3.86798561151079</v>
      </c>
      <c r="L31" s="35" t="n">
        <f aca="false">L27+L28+L29</f>
        <v>3.4038273381295</v>
      </c>
      <c r="M31" s="35" t="n">
        <f aca="false">M27+M28+M29</f>
        <v>3.24910791366907</v>
      </c>
      <c r="N31" s="35" t="n">
        <f aca="false">N27+N28+N29</f>
        <v>3.09438848920863</v>
      </c>
      <c r="O31" s="38" t="n">
        <f aca="false">SUM(C31:N31)</f>
        <v>30.3764009892086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0.0603405755395684</v>
      </c>
      <c r="D32" s="27" t="n">
        <f aca="false">D31*INDEX(Assumptions!$C$74:$E$74,$B$3)</f>
        <v>0.0975482239208633</v>
      </c>
      <c r="E32" s="27" t="n">
        <f aca="false">E31*INDEX(Assumptions!$C$74:$E$74,$B$3)</f>
        <v>0.117444010791367</v>
      </c>
      <c r="F32" s="27" t="n">
        <f aca="false">F31*INDEX(Assumptions!$C$74:$E$74,$B$3)</f>
        <v>0.252910791366907</v>
      </c>
      <c r="G32" s="27" t="n">
        <f aca="false">G31*INDEX(Assumptions!$C$74:$E$74,$B$3)</f>
        <v>0.336742446043166</v>
      </c>
      <c r="H32" s="27" t="n">
        <f aca="false">H31*INDEX(Assumptions!$C$74:$E$74,$B$3)</f>
        <v>0.419158273381295</v>
      </c>
      <c r="I32" s="27" t="n">
        <f aca="false">I31*INDEX(Assumptions!$C$74:$E$74,$B$3)</f>
        <v>0.603405755395684</v>
      </c>
      <c r="J32" s="27" t="n">
        <f aca="false">J31*INDEX(Assumptions!$C$74:$E$74,$B$3)</f>
        <v>0.626613669064748</v>
      </c>
      <c r="K32" s="27" t="n">
        <f aca="false">K31*INDEX(Assumptions!$C$74:$E$74,$B$3)</f>
        <v>0.580197841726619</v>
      </c>
      <c r="L32" s="27" t="n">
        <f aca="false">L31*INDEX(Assumptions!$C$74:$E$74,$B$3)</f>
        <v>0.510574100719425</v>
      </c>
      <c r="M32" s="27" t="n">
        <f aca="false">M31*INDEX(Assumptions!$C$74:$E$74,$B$3)</f>
        <v>0.48736618705036</v>
      </c>
      <c r="N32" s="27" t="n">
        <f aca="false">N31*INDEX(Assumptions!$C$74:$E$74,$B$3)</f>
        <v>0.464158273381295</v>
      </c>
      <c r="O32" s="35" t="n">
        <f aca="false">SUM(C32:N32)</f>
        <v>4.5564601483813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0.402270503597122</v>
      </c>
      <c r="D33" s="6" t="n">
        <f aca="false">D24+D27+D30+D29+1.25*D28</f>
        <v>0.901740557553957</v>
      </c>
      <c r="E33" s="6" t="n">
        <f aca="false">E24+E27+E30+E29+1.25*E28</f>
        <v>1.44083006969424</v>
      </c>
      <c r="F33" s="6" t="n">
        <f aca="false">F24+F27+F30+F29+1.25*F28</f>
        <v>2.63215673336331</v>
      </c>
      <c r="G33" s="6" t="n">
        <f aca="false">G24+G27+G30+G29+1.25*G28</f>
        <v>3.8693848358813</v>
      </c>
      <c r="H33" s="6" t="n">
        <f aca="false">H24+H27+H30+H29+1.25*H28</f>
        <v>5.34914698741007</v>
      </c>
      <c r="I33" s="6" t="n">
        <f aca="false">I24+I27+I30+I29+1.25*I28</f>
        <v>7.38305035971223</v>
      </c>
      <c r="J33" s="6" t="n">
        <f aca="false">J24+J27+J30+J29+1.25*J28</f>
        <v>8.71872661870504</v>
      </c>
      <c r="K33" s="6" t="n">
        <f aca="false">K24+K27+K30+K29+1.25*K28</f>
        <v>9.34236510791367</v>
      </c>
      <c r="L33" s="6" t="n">
        <f aca="false">L24+L27+L30+L29+1.25*L28</f>
        <v>8.93504676258993</v>
      </c>
      <c r="M33" s="6" t="n">
        <f aca="false">M24+M27+M30+M29+1.25*M28</f>
        <v>8.3161690647482</v>
      </c>
      <c r="N33" s="6" t="n">
        <f aca="false">N24+N27+N30+N29+1.25*N28</f>
        <v>7.73597122302158</v>
      </c>
      <c r="O33" s="39" t="n">
        <f aca="false">AVERAGE(C33:N33)</f>
        <v>5.41890490201589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0.0251419064748201</v>
      </c>
      <c r="D34" s="36" t="n">
        <f aca="false">D33/(D20*D21)</f>
        <v>0.0563587848471223</v>
      </c>
      <c r="E34" s="36" t="n">
        <f aca="false">E33/(E20*E21)</f>
        <v>0.0900518793558903</v>
      </c>
      <c r="F34" s="36" t="n">
        <f aca="false">F33/(F20*F21)</f>
        <v>0.164509795835207</v>
      </c>
      <c r="G34" s="36" t="n">
        <f aca="false">G33/(G20*G21)</f>
        <v>0.241836552242581</v>
      </c>
      <c r="H34" s="36" t="n">
        <f aca="false">H33/(H20*H21)</f>
        <v>0.33432168671313</v>
      </c>
      <c r="I34" s="36" t="n">
        <f aca="false">I33/(I20*I21)</f>
        <v>0.461440647482014</v>
      </c>
      <c r="J34" s="36" t="n">
        <f aca="false">J33/(J20*J21)</f>
        <v>0.544920413669065</v>
      </c>
      <c r="K34" s="36" t="n">
        <f aca="false">K33/(K20*K21)</f>
        <v>0.583897819244605</v>
      </c>
      <c r="L34" s="36" t="n">
        <f aca="false">L33/(L20*L21)</f>
        <v>0.558440422661871</v>
      </c>
      <c r="M34" s="36" t="n">
        <f aca="false">M33/(M20*M21)</f>
        <v>0.519760566546763</v>
      </c>
      <c r="N34" s="36" t="n">
        <f aca="false">N33/(N20*N21)</f>
        <v>0.483498201438849</v>
      </c>
      <c r="O34" s="30" t="n">
        <f aca="false">N34</f>
        <v>0.483498201438849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0</v>
      </c>
      <c r="I35" s="8" t="n">
        <f aca="false">IF(I26&lt;0.999,1,0)</f>
        <v>0</v>
      </c>
      <c r="J35" s="8" t="n">
        <f aca="false">IF(J26&lt;0.999,1,0)</f>
        <v>0</v>
      </c>
      <c r="K35" s="8" t="n">
        <f aca="false">IF(K26&lt;0.999,1,0)</f>
        <v>0</v>
      </c>
      <c r="L35" s="8" t="n">
        <f aca="false">IF(L26&lt;0.999,1,0)</f>
        <v>0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0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1.5</v>
      </c>
      <c r="F37" s="6" t="n">
        <f aca="false">IF(4&gt;=3,INDEX(Assumptions!$C$192:$E$192,$D$3)*INDEX(Assumptions!$C$193:$E$193,$B$3)*MIN(1,(4-2)/6),0)*$F$3</f>
        <v>3</v>
      </c>
      <c r="G37" s="6" t="n">
        <f aca="false">IF(5&gt;=3,INDEX(Assumptions!$C$192:$E$192,$D$3)*INDEX(Assumptions!$C$193:$E$193,$B$3)*MIN(1,(5-2)/6),0)*$F$3</f>
        <v>4.5</v>
      </c>
      <c r="H37" s="6" t="n">
        <f aca="false">IF(6&gt;=3,INDEX(Assumptions!$C$192:$E$192,$D$3)*INDEX(Assumptions!$C$193:$E$193,$B$3)*MIN(1,(6-2)/6),0)*$F$3</f>
        <v>6</v>
      </c>
      <c r="I37" s="6" t="n">
        <f aca="false">IF(7&gt;=3,INDEX(Assumptions!$C$192:$E$192,$D$3)*INDEX(Assumptions!$C$193:$E$193,$B$3)*MIN(1,(7-2)/6),0)*$F$3</f>
        <v>7.5</v>
      </c>
      <c r="J37" s="6" t="n">
        <f aca="false">IF(8&gt;=3,INDEX(Assumptions!$C$192:$E$192,$D$3)*INDEX(Assumptions!$C$193:$E$193,$B$3)*MIN(1,(8-2)/6),0)*$F$3</f>
        <v>9</v>
      </c>
      <c r="K37" s="6" t="n">
        <f aca="false">IF(9&gt;=3,INDEX(Assumptions!$C$192:$E$192,$D$3)*INDEX(Assumptions!$C$193:$E$193,$B$3)*MIN(1,(9-2)/6),0)*$F$3</f>
        <v>9</v>
      </c>
      <c r="L37" s="6" t="n">
        <f aca="false">IF(10&gt;=3,INDEX(Assumptions!$C$192:$E$192,$D$3)*INDEX(Assumptions!$C$193:$E$193,$B$3)*MIN(1,(10-2)/6),0)*$F$3</f>
        <v>9</v>
      </c>
      <c r="M37" s="6" t="n">
        <f aca="false">IF(11&gt;=3,INDEX(Assumptions!$C$192:$E$192,$D$3)*INDEX(Assumptions!$C$193:$E$193,$B$3)*MIN(1,(11-2)/6),0)*$F$3</f>
        <v>9</v>
      </c>
      <c r="N37" s="6" t="n">
        <f aca="false">IF(12&gt;=3,INDEX(Assumptions!$C$192:$E$192,$D$3)*INDEX(Assumptions!$C$193:$E$193,$B$3)*MIN(1,(12-2)/6),0)*$F$3</f>
        <v>9</v>
      </c>
      <c r="O37" s="39" t="n">
        <f aca="false">SUM(C37:N37)</f>
        <v>67.5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4.66666666666667</v>
      </c>
      <c r="D38" s="6" t="n">
        <f aca="false">INDEX(Assumptions!$C$194:$E$194,$D$3)*D10*MIN(1,2/3)*$F$3</f>
        <v>8</v>
      </c>
      <c r="E38" s="6" t="n">
        <f aca="false">INDEX(Assumptions!$C$194:$E$194,$D$3)*E10*MIN(1,3/3)*$F$3</f>
        <v>12</v>
      </c>
      <c r="F38" s="6" t="n">
        <f aca="false">INDEX(Assumptions!$C$194:$E$194,$D$3)*F10*MIN(1,4/3)*$F$3</f>
        <v>13</v>
      </c>
      <c r="G38" s="6" t="n">
        <f aca="false">INDEX(Assumptions!$C$194:$E$194,$D$3)*G10*MIN(1,5/3)*$F$3</f>
        <v>9</v>
      </c>
      <c r="H38" s="6" t="n">
        <f aca="false">INDEX(Assumptions!$C$194:$E$194,$D$3)*H10*MIN(1,6/3)*$F$3</f>
        <v>8</v>
      </c>
      <c r="I38" s="6" t="n">
        <f aca="false">INDEX(Assumptions!$C$194:$E$194,$D$3)*I10*MIN(1,7/3)*$F$3</f>
        <v>7</v>
      </c>
      <c r="J38" s="6" t="n">
        <f aca="false">INDEX(Assumptions!$C$194:$E$194,$D$3)*J10*MIN(1,8/3)*$F$3</f>
        <v>6</v>
      </c>
      <c r="K38" s="6" t="n">
        <f aca="false">INDEX(Assumptions!$C$194:$E$194,$D$3)*K10*MIN(1,9/3)*$F$3</f>
        <v>6</v>
      </c>
      <c r="L38" s="6" t="n">
        <f aca="false">INDEX(Assumptions!$C$194:$E$194,$D$3)*L10*MIN(1,10/3)*$F$3</f>
        <v>8</v>
      </c>
      <c r="M38" s="6" t="n">
        <f aca="false">INDEX(Assumptions!$C$194:$E$194,$D$3)*M10*MIN(1,11/3)*$F$3</f>
        <v>11</v>
      </c>
      <c r="N38" s="6" t="n">
        <f aca="false">INDEX(Assumptions!$C$194:$E$194,$D$3)*N10*MIN(1,12/3)*$F$3</f>
        <v>14</v>
      </c>
      <c r="O38" s="39" t="n">
        <f aca="false">SUM(C38:N38)</f>
        <v>106.666666666667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0.670450839328537</v>
      </c>
      <c r="D39" s="6" t="n">
        <f aca="false">D19*INDEX(Assumptions!$C$31:$E$31,$B$3)/(INDEX(Assumptions!$C$56:$E$56,$B$3)*INDEX(Assumptions!$C$57:$E$57,$B$3)*INDEX(Assumptions!$C$58:$E$58,$B$3))</f>
        <v>1.08386915467626</v>
      </c>
      <c r="E39" s="6" t="n">
        <f aca="false">E19*INDEX(Assumptions!$C$31:$E$31,$B$3)/(INDEX(Assumptions!$C$56:$E$56,$B$3)*INDEX(Assumptions!$C$57:$E$57,$B$3)*INDEX(Assumptions!$C$58:$E$58,$B$3))</f>
        <v>1.30493345323741</v>
      </c>
      <c r="F39" s="6" t="n">
        <f aca="false">F19*INDEX(Assumptions!$C$31:$E$31,$B$3)/(INDEX(Assumptions!$C$56:$E$56,$B$3)*INDEX(Assumptions!$C$57:$E$57,$B$3)*INDEX(Assumptions!$C$58:$E$58,$B$3))</f>
        <v>2.81011990407674</v>
      </c>
      <c r="G39" s="6" t="n">
        <f aca="false">G19*INDEX(Assumptions!$C$31:$E$31,$B$3)/(INDEX(Assumptions!$C$56:$E$56,$B$3)*INDEX(Assumptions!$C$57:$E$57,$B$3)*INDEX(Assumptions!$C$58:$E$58,$B$3))</f>
        <v>3.74158273381295</v>
      </c>
      <c r="H39" s="6" t="n">
        <f aca="false">H19*INDEX(Assumptions!$C$31:$E$31,$B$3)/(INDEX(Assumptions!$C$56:$E$56,$B$3)*INDEX(Assumptions!$C$57:$E$57,$B$3)*INDEX(Assumptions!$C$58:$E$58,$B$3))</f>
        <v>4.65731414868106</v>
      </c>
      <c r="I39" s="6" t="n">
        <f aca="false">I19*INDEX(Assumptions!$C$31:$E$31,$B$3)/(INDEX(Assumptions!$C$56:$E$56,$B$3)*INDEX(Assumptions!$C$57:$E$57,$B$3)*INDEX(Assumptions!$C$58:$E$58,$B$3))</f>
        <v>6.70450839328537</v>
      </c>
      <c r="J39" s="6" t="n">
        <f aca="false">J19*INDEX(Assumptions!$C$31:$E$31,$B$3)/(INDEX(Assumptions!$C$56:$E$56,$B$3)*INDEX(Assumptions!$C$57:$E$57,$B$3)*INDEX(Assumptions!$C$58:$E$58,$B$3))</f>
        <v>6.96237410071943</v>
      </c>
      <c r="K39" s="6" t="n">
        <f aca="false">K19*INDEX(Assumptions!$C$31:$E$31,$B$3)/(INDEX(Assumptions!$C$56:$E$56,$B$3)*INDEX(Assumptions!$C$57:$E$57,$B$3)*INDEX(Assumptions!$C$58:$E$58,$B$3))</f>
        <v>6.44664268585132</v>
      </c>
      <c r="L39" s="6" t="n">
        <f aca="false">L19*INDEX(Assumptions!$C$31:$E$31,$B$3)/(INDEX(Assumptions!$C$56:$E$56,$B$3)*INDEX(Assumptions!$C$57:$E$57,$B$3)*INDEX(Assumptions!$C$58:$E$58,$B$3))</f>
        <v>5.67304556354916</v>
      </c>
      <c r="M39" s="6" t="n">
        <f aca="false">M19*INDEX(Assumptions!$C$31:$E$31,$B$3)/(INDEX(Assumptions!$C$56:$E$56,$B$3)*INDEX(Assumptions!$C$57:$E$57,$B$3)*INDEX(Assumptions!$C$58:$E$58,$B$3))</f>
        <v>5.41517985611511</v>
      </c>
      <c r="N39" s="6" t="n">
        <f aca="false">N19*INDEX(Assumptions!$C$31:$E$31,$B$3)/(INDEX(Assumptions!$C$56:$E$56,$B$3)*INDEX(Assumptions!$C$57:$E$57,$B$3)*INDEX(Assumptions!$C$58:$E$58,$B$3))</f>
        <v>5.15731414868106</v>
      </c>
      <c r="O39" s="39" t="n">
        <f aca="false">SUM(C39:N39)</f>
        <v>50.6273349820144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</v>
      </c>
      <c r="L40" s="27" t="n">
        <f aca="false">IF(10&gt;=INDEX(Assumptions!$C$191:$E$191,$D$3),MAX(INDEX(Assumptions!$C$86:$E$86,$D$3),0.5),0)</f>
        <v>0</v>
      </c>
      <c r="M40" s="27" t="n">
        <f aca="false">IF(11&gt;=INDEX(Assumptions!$C$191:$E$191,$D$3),MAX(INDEX(Assumptions!$C$86:$E$86,$D$3),0.5),0)</f>
        <v>0</v>
      </c>
      <c r="N40" s="27" t="n">
        <f aca="false">IF(12&gt;=INDEX(Assumptions!$C$191:$E$191,$D$3),MAX(INDEX(Assumptions!$C$86:$E$86,$D$3),0.5),0)</f>
        <v>0</v>
      </c>
      <c r="O40" s="35" t="n">
        <f aca="false">SUM(C40:N40)</f>
        <v>0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0</v>
      </c>
      <c r="L41" s="6" t="n">
        <f aca="false">L40*INDEX(Assumptions!$C$82:$E$82,$B$3)*$F$3</f>
        <v>0</v>
      </c>
      <c r="M41" s="6" t="n">
        <f aca="false">M40*INDEX(Assumptions!$C$82:$E$82,$B$3)*$F$3</f>
        <v>0</v>
      </c>
      <c r="N41" s="6" t="n">
        <f aca="false">N40*INDEX(Assumptions!$C$82:$E$82,$B$3)*$F$3</f>
        <v>0</v>
      </c>
      <c r="O41" s="39" t="n">
        <f aca="false">SUM(C41:N41)</f>
        <v>0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0.0525</v>
      </c>
      <c r="F42" s="27" t="n">
        <f aca="false">F37*0.7*INDEX(Assumptions!$C$73:$E$73,$B$3)</f>
        <v>0.105</v>
      </c>
      <c r="G42" s="27" t="n">
        <f aca="false">G37*0.7*INDEX(Assumptions!$C$73:$E$73,$B$3)</f>
        <v>0.1575</v>
      </c>
      <c r="H42" s="27" t="n">
        <f aca="false">H37*0.7*INDEX(Assumptions!$C$73:$E$73,$B$3)</f>
        <v>0.21</v>
      </c>
      <c r="I42" s="27" t="n">
        <f aca="false">I37*0.7*INDEX(Assumptions!$C$73:$E$73,$B$3)</f>
        <v>0.2625</v>
      </c>
      <c r="J42" s="27" t="n">
        <f aca="false">J37*0.7*INDEX(Assumptions!$C$73:$E$73,$B$3)</f>
        <v>0.315</v>
      </c>
      <c r="K42" s="27" t="n">
        <f aca="false">K37*0.7*INDEX(Assumptions!$C$73:$E$73,$B$3)</f>
        <v>0.315</v>
      </c>
      <c r="L42" s="27" t="n">
        <f aca="false">L37*0.7*INDEX(Assumptions!$C$73:$E$73,$B$3)</f>
        <v>0.315</v>
      </c>
      <c r="M42" s="27" t="n">
        <f aca="false">M37*0.7*INDEX(Assumptions!$C$73:$E$73,$B$3)</f>
        <v>0.315</v>
      </c>
      <c r="N42" s="27" t="n">
        <f aca="false">N37*0.7*INDEX(Assumptions!$C$73:$E$73,$B$3)</f>
        <v>0.315</v>
      </c>
      <c r="O42" s="35" t="n">
        <f aca="false">SUM(C42:N42)</f>
        <v>2.3625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40000</v>
      </c>
      <c r="D44" s="8" t="n">
        <f aca="false">IF(2&gt;=INDEX(Assumptions!$C$105:$E$105,$B$3),INDEX(Assumptions!$C$20:$E$20,$B$3),INDEX(Assumptions!$C$10:$E$10,$B$3))*$H$3</f>
        <v>40000</v>
      </c>
      <c r="E44" s="8" t="n">
        <f aca="false">IF(3&gt;=INDEX(Assumptions!$C$105:$E$105,$B$3),INDEX(Assumptions!$C$20:$E$20,$B$3),INDEX(Assumptions!$C$10:$E$10,$B$3))*$H$3</f>
        <v>40000</v>
      </c>
      <c r="F44" s="8" t="n">
        <f aca="false">IF(4&gt;=INDEX(Assumptions!$C$105:$E$105,$B$3),INDEX(Assumptions!$C$20:$E$20,$B$3),INDEX(Assumptions!$C$10:$E$10,$B$3))*$H$3</f>
        <v>40000</v>
      </c>
      <c r="G44" s="8" t="n">
        <f aca="false">IF(5&gt;=INDEX(Assumptions!$C$105:$E$105,$B$3),INDEX(Assumptions!$C$20:$E$20,$B$3),INDEX(Assumptions!$C$10:$E$10,$B$3))*$H$3</f>
        <v>40000</v>
      </c>
      <c r="H44" s="8" t="n">
        <f aca="false">IF(6&gt;=INDEX(Assumptions!$C$105:$E$105,$B$3),INDEX(Assumptions!$C$20:$E$20,$B$3),INDEX(Assumptions!$C$10:$E$10,$B$3))*$H$3</f>
        <v>40000</v>
      </c>
      <c r="I44" s="8" t="n">
        <f aca="false">IF(7&gt;=INDEX(Assumptions!$C$105:$E$105,$B$3),INDEX(Assumptions!$C$20:$E$20,$B$3),INDEX(Assumptions!$C$10:$E$10,$B$3))*$H$3</f>
        <v>40000</v>
      </c>
      <c r="J44" s="8" t="n">
        <f aca="false">IF(8&gt;=INDEX(Assumptions!$C$105:$E$105,$B$3),INDEX(Assumptions!$C$20:$E$20,$B$3),INDEX(Assumptions!$C$10:$E$10,$B$3))*$H$3</f>
        <v>40000</v>
      </c>
      <c r="K44" s="8" t="n">
        <f aca="false">IF(9&gt;=INDEX(Assumptions!$C$105:$E$105,$B$3),INDEX(Assumptions!$C$20:$E$20,$B$3),INDEX(Assumptions!$C$10:$E$10,$B$3))*$H$3</f>
        <v>40000</v>
      </c>
      <c r="L44" s="8" t="n">
        <f aca="false">IF(10&gt;=INDEX(Assumptions!$C$105:$E$105,$B$3),INDEX(Assumptions!$C$20:$E$20,$B$3),INDEX(Assumptions!$C$10:$E$10,$B$3))*$H$3</f>
        <v>65000</v>
      </c>
      <c r="M44" s="8" t="n">
        <f aca="false">IF(11&gt;=INDEX(Assumptions!$C$105:$E$105,$B$3),INDEX(Assumptions!$C$20:$E$20,$B$3),INDEX(Assumptions!$C$10:$E$10,$B$3))*$H$3</f>
        <v>65000</v>
      </c>
      <c r="N44" s="8" t="n">
        <f aca="false">IF(12&gt;=INDEX(Assumptions!$C$105:$E$105,$B$3),INDEX(Assumptions!$C$20:$E$20,$B$3),INDEX(Assumptions!$C$10:$E$10,$B$3))*$H$3</f>
        <v>65000</v>
      </c>
      <c r="O44" s="37" t="n">
        <f aca="false">AVERAGE(C44:N44)</f>
        <v>46250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1</v>
      </c>
      <c r="J45" s="8" t="n">
        <f aca="false">IF(8&gt;=INDEX(Assumptions!$C$105:$E$105,$B$3),0,1)</f>
        <v>1</v>
      </c>
      <c r="K45" s="8" t="n">
        <f aca="false">IF(9&gt;=INDEX(Assumptions!$C$105:$E$105,$B$3),0,1)</f>
        <v>1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6818.14412876479</v>
      </c>
      <c r="D47" s="8" t="n">
        <f aca="false">D27*D44/(1+INDEX(Assumptions!$C$15:$E$15,$B$3)*$H$4)</f>
        <v>11022.3981831484</v>
      </c>
      <c r="E47" s="8" t="n">
        <f aca="false">E27*E44/(1+INDEX(Assumptions!$C$15:$E$15,$B$3)*$H$4)</f>
        <v>13270.5096939398</v>
      </c>
      <c r="F47" s="8" t="n">
        <f aca="false">F27*F44/(1+INDEX(Assumptions!$C$15:$E$15,$B$3)*$H$4)</f>
        <v>28577.4905499329</v>
      </c>
      <c r="G47" s="8" t="n">
        <f aca="false">G27*G44/(1+INDEX(Assumptions!$C$15:$E$15,$B$3)*$H$4)</f>
        <v>38049.9939031825</v>
      </c>
      <c r="H47" s="8" t="n">
        <f aca="false">H27*H44/(1+INDEX(Assumptions!$C$15:$E$15,$B$3)*$H$4)</f>
        <v>47362.516766248</v>
      </c>
      <c r="I47" s="8" t="n">
        <f aca="false">I27*I44/(1+INDEX(Assumptions!$C$15:$E$15,$B$3)*$H$4)</f>
        <v>68181.4412876479</v>
      </c>
      <c r="J47" s="8" t="n">
        <f aca="false">J27*J44/(1+INDEX(Assumptions!$C$15:$E$15,$B$3)*$H$4)</f>
        <v>70803.8044140959</v>
      </c>
      <c r="K47" s="8" t="n">
        <f aca="false">K27*K44/(1+INDEX(Assumptions!$C$15:$E$15,$B$3)*$H$4)</f>
        <v>65559.0781611999</v>
      </c>
      <c r="L47" s="8" t="n">
        <f aca="false">L27*L44/(1+INDEX(Assumptions!$C$15:$E$15,$B$3)*$H$4)</f>
        <v>93749.4817705158</v>
      </c>
      <c r="M47" s="8" t="n">
        <f aca="false">M27*M44/(1+INDEX(Assumptions!$C$15:$E$15,$B$3)*$H$4)</f>
        <v>89488.1416900378</v>
      </c>
      <c r="N47" s="8" t="n">
        <f aca="false">N27*N44/(1+INDEX(Assumptions!$C$15:$E$15,$B$3)*$H$4)</f>
        <v>85226.8016095598</v>
      </c>
      <c r="O47" s="37" t="n">
        <f aca="false">SUM(C47:N47)</f>
        <v>618109.802158273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0</v>
      </c>
      <c r="M48" s="8" t="n">
        <f aca="false">M28*M44/(1+INDEX(Assumptions!$C$15:$E$15,$B$3)*$H$4)</f>
        <v>0</v>
      </c>
      <c r="N48" s="8" t="n">
        <f aca="false">N28*N44/(1+INDEX(Assumptions!$C$15:$E$15,$B$3)*$H$4)</f>
        <v>0</v>
      </c>
      <c r="O48" s="37" t="n">
        <f aca="false">SUM(C48:N48)</f>
        <v>0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426.134008047799</v>
      </c>
      <c r="E49" s="8" t="n">
        <f aca="false">E30*MAX(0,E44-INDEX(Assumptions!$C$18:$E$18,$B$3)*$H$3)/(1+INDEX(Assumptions!$C$15:$E$15,$B$3)*$H$4)</f>
        <v>688.899886446775</v>
      </c>
      <c r="F49" s="8" t="n">
        <f aca="false">F30*MAX(0,F44-INDEX(Assumptions!$C$18:$E$18,$B$3)*$H$3)/(1+INDEX(Assumptions!$C$15:$E$15,$B$3)*$H$4)</f>
        <v>829.406855871235</v>
      </c>
      <c r="G49" s="8" t="n">
        <f aca="false">G30*MAX(0,G44-INDEX(Assumptions!$C$18:$E$18,$B$3)*$H$3)/(1+INDEX(Assumptions!$C$15:$E$15,$B$3)*$H$4)</f>
        <v>1786.09315937081</v>
      </c>
      <c r="H49" s="8" t="n">
        <f aca="false">H30*MAX(0,H44-INDEX(Assumptions!$C$18:$E$18,$B$3)*$H$3)/(1+INDEX(Assumptions!$C$15:$E$15,$B$3)*$H$4)</f>
        <v>2378.12461894891</v>
      </c>
      <c r="I49" s="8" t="n">
        <f aca="false">I30*MAX(0,I44-INDEX(Assumptions!$C$18:$E$18,$B$3)*$H$3)/(1+INDEX(Assumptions!$C$15:$E$15,$B$3)*$H$4)</f>
        <v>2960.1572978905</v>
      </c>
      <c r="J49" s="8" t="n">
        <f aca="false">J30*MAX(0,J44-INDEX(Assumptions!$C$18:$E$18,$B$3)*$H$3)/(1+INDEX(Assumptions!$C$15:$E$15,$B$3)*$H$4)</f>
        <v>4261.34008047799</v>
      </c>
      <c r="K49" s="8" t="n">
        <f aca="false">K30*MAX(0,K44-INDEX(Assumptions!$C$18:$E$18,$B$3)*$H$3)/(1+INDEX(Assumptions!$C$15:$E$15,$B$3)*$H$4)</f>
        <v>4425.23777588099</v>
      </c>
      <c r="L49" s="8" t="n">
        <f aca="false">L30*MAX(0,L44-INDEX(Assumptions!$C$18:$E$18,$B$3)*$H$3)/(1+INDEX(Assumptions!$C$15:$E$15,$B$3)*$H$4)</f>
        <v>14341.0483477625</v>
      </c>
      <c r="M49" s="8" t="n">
        <f aca="false">M30*MAX(0,M44-INDEX(Assumptions!$C$18:$E$18,$B$3)*$H$3)/(1+INDEX(Assumptions!$C$15:$E$15,$B$3)*$H$4)</f>
        <v>12620.122546031</v>
      </c>
      <c r="N49" s="8" t="n">
        <f aca="false">N30*MAX(0,N44-INDEX(Assumptions!$C$18:$E$18,$B$3)*$H$3)/(1+INDEX(Assumptions!$C$15:$E$15,$B$3)*$H$4)</f>
        <v>12046.4806121205</v>
      </c>
      <c r="O49" s="37" t="n">
        <f aca="false">SUM(C49:N49)</f>
        <v>56763.0451888489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5113.60809657359</v>
      </c>
      <c r="D50" s="8" t="n">
        <f aca="false">D29*INDEX(Assumptions!$C$18:$E$18,$B$3)*$H$3/(1+INDEX(Assumptions!$C$15:$E$15,$B$3)*$H$4)</f>
        <v>8266.7986373613</v>
      </c>
      <c r="E50" s="8" t="n">
        <f aca="false">E29*INDEX(Assumptions!$C$18:$E$18,$B$3)*$H$3/(1+INDEX(Assumptions!$C$15:$E$15,$B$3)*$H$4)</f>
        <v>9952.88227045482</v>
      </c>
      <c r="F50" s="8" t="n">
        <f aca="false">F29*INDEX(Assumptions!$C$18:$E$18,$B$3)*$H$3/(1+INDEX(Assumptions!$C$15:$E$15,$B$3)*$H$4)</f>
        <v>21433.1179124497</v>
      </c>
      <c r="G50" s="8" t="n">
        <f aca="false">G29*INDEX(Assumptions!$C$18:$E$18,$B$3)*$H$3/(1+INDEX(Assumptions!$C$15:$E$15,$B$3)*$H$4)</f>
        <v>28537.4954273869</v>
      </c>
      <c r="H50" s="8" t="n">
        <f aca="false">H29*INDEX(Assumptions!$C$18:$E$18,$B$3)*$H$3/(1+INDEX(Assumptions!$C$15:$E$15,$B$3)*$H$4)</f>
        <v>35521.887574686</v>
      </c>
      <c r="I50" s="8" t="n">
        <f aca="false">I29*INDEX(Assumptions!$C$18:$E$18,$B$3)*$H$3/(1+INDEX(Assumptions!$C$15:$E$15,$B$3)*$H$4)</f>
        <v>51136.0809657359</v>
      </c>
      <c r="J50" s="8" t="n">
        <f aca="false">J29*INDEX(Assumptions!$C$18:$E$18,$B$3)*$H$3/(1+INDEX(Assumptions!$C$15:$E$15,$B$3)*$H$4)</f>
        <v>53102.8533105719</v>
      </c>
      <c r="K50" s="8" t="n">
        <f aca="false">K29*INDEX(Assumptions!$C$18:$E$18,$B$3)*$H$3/(1+INDEX(Assumptions!$C$15:$E$15,$B$3)*$H$4)</f>
        <v>49169.3086208999</v>
      </c>
      <c r="L50" s="8" t="n">
        <f aca="false">L29*INDEX(Assumptions!$C$18:$E$18,$B$3)*$H$3/(1+INDEX(Assumptions!$C$15:$E$15,$B$3)*$H$4)</f>
        <v>43268.9915863919</v>
      </c>
      <c r="M50" s="8" t="n">
        <f aca="false">M29*INDEX(Assumptions!$C$18:$E$18,$B$3)*$H$3/(1+INDEX(Assumptions!$C$15:$E$15,$B$3)*$H$4)</f>
        <v>41302.2192415559</v>
      </c>
      <c r="N50" s="8" t="n">
        <f aca="false">N29*INDEX(Assumptions!$C$18:$E$18,$B$3)*$H$3/(1+INDEX(Assumptions!$C$15:$E$15,$B$3)*$H$4)</f>
        <v>39335.4468967199</v>
      </c>
      <c r="O50" s="37" t="n">
        <f aca="false">SUM(C50:N50)</f>
        <v>386140.690540788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533.553868796488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862.557769822278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1038.48373609926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2236.331522985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2977.60227289355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3706.35374954274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5335.53868796488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5540.75171442507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5130.3256615047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4514.68658212413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4309.47355566394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4104.26052920376</v>
      </c>
      <c r="O51" s="37" t="n">
        <f aca="false">SUM(C51:N51)</f>
        <v>40289.9196510258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6355.93220338983</v>
      </c>
      <c r="F52" s="8" t="n">
        <f aca="false">F37*INDEX(Assumptions!$C$21:$E$21,$B$3)*$H$3/(1+INDEX(Assumptions!$C$15:$E$15,$B$3)*$H$4)</f>
        <v>12711.8644067797</v>
      </c>
      <c r="G52" s="8" t="n">
        <f aca="false">G37*INDEX(Assumptions!$C$21:$E$21,$B$3)*$H$3/(1+INDEX(Assumptions!$C$15:$E$15,$B$3)*$H$4)</f>
        <v>19067.7966101695</v>
      </c>
      <c r="H52" s="8" t="n">
        <f aca="false">H37*INDEX(Assumptions!$C$21:$E$21,$B$3)*$H$3/(1+INDEX(Assumptions!$C$15:$E$15,$B$3)*$H$4)</f>
        <v>25423.7288135593</v>
      </c>
      <c r="I52" s="8" t="n">
        <f aca="false">I37*INDEX(Assumptions!$C$21:$E$21,$B$3)*$H$3/(1+INDEX(Assumptions!$C$15:$E$15,$B$3)*$H$4)</f>
        <v>31779.6610169492</v>
      </c>
      <c r="J52" s="8" t="n">
        <f aca="false">J37*INDEX(Assumptions!$C$21:$E$21,$B$3)*$H$3/(1+INDEX(Assumptions!$C$15:$E$15,$B$3)*$H$4)</f>
        <v>38135.593220339</v>
      </c>
      <c r="K52" s="8" t="n">
        <f aca="false">K37*INDEX(Assumptions!$C$21:$E$21,$B$3)*$H$3/(1+INDEX(Assumptions!$C$15:$E$15,$B$3)*$H$4)</f>
        <v>38135.593220339</v>
      </c>
      <c r="L52" s="8" t="n">
        <f aca="false">L37*INDEX(Assumptions!$C$21:$E$21,$B$3)*$H$3/(1+INDEX(Assumptions!$C$15:$E$15,$B$3)*$H$4)</f>
        <v>38135.593220339</v>
      </c>
      <c r="M52" s="8" t="n">
        <f aca="false">M37*INDEX(Assumptions!$C$21:$E$21,$B$3)*$H$3/(1+INDEX(Assumptions!$C$15:$E$15,$B$3)*$H$4)</f>
        <v>38135.593220339</v>
      </c>
      <c r="N52" s="8" t="n">
        <f aca="false">N37*INDEX(Assumptions!$C$21:$E$21,$B$3)*$H$3/(1+INDEX(Assumptions!$C$15:$E$15,$B$3)*$H$4)</f>
        <v>38135.593220339</v>
      </c>
      <c r="O52" s="37" t="n">
        <f aca="false">SUM(C52:N52)</f>
        <v>286016.949152542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11864.406779661</v>
      </c>
      <c r="D53" s="8" t="n">
        <f aca="false">D38*INDEX(Assumptions!$C$22:$E$22,$B$3)*$H$3/(1+INDEX(Assumptions!$C$15:$E$15,$B$3)*$H$4)</f>
        <v>20338.9830508475</v>
      </c>
      <c r="E53" s="8" t="n">
        <f aca="false">E38*INDEX(Assumptions!$C$22:$E$22,$B$3)*$H$3/(1+INDEX(Assumptions!$C$15:$E$15,$B$3)*$H$4)</f>
        <v>30508.4745762712</v>
      </c>
      <c r="F53" s="8" t="n">
        <f aca="false">F38*INDEX(Assumptions!$C$22:$E$22,$B$3)*$H$3/(1+INDEX(Assumptions!$C$15:$E$15,$B$3)*$H$4)</f>
        <v>33050.8474576271</v>
      </c>
      <c r="G53" s="8" t="n">
        <f aca="false">G38*INDEX(Assumptions!$C$22:$E$22,$B$3)*$H$3/(1+INDEX(Assumptions!$C$15:$E$15,$B$3)*$H$4)</f>
        <v>22881.3559322034</v>
      </c>
      <c r="H53" s="8" t="n">
        <f aca="false">H38*INDEX(Assumptions!$C$22:$E$22,$B$3)*$H$3/(1+INDEX(Assumptions!$C$15:$E$15,$B$3)*$H$4)</f>
        <v>20338.9830508475</v>
      </c>
      <c r="I53" s="8" t="n">
        <f aca="false">I38*INDEX(Assumptions!$C$22:$E$22,$B$3)*$H$3/(1+INDEX(Assumptions!$C$15:$E$15,$B$3)*$H$4)</f>
        <v>17796.6101694915</v>
      </c>
      <c r="J53" s="8" t="n">
        <f aca="false">J38*INDEX(Assumptions!$C$22:$E$22,$B$3)*$H$3/(1+INDEX(Assumptions!$C$15:$E$15,$B$3)*$H$4)</f>
        <v>15254.2372881356</v>
      </c>
      <c r="K53" s="8" t="n">
        <f aca="false">K38*INDEX(Assumptions!$C$22:$E$22,$B$3)*$H$3/(1+INDEX(Assumptions!$C$15:$E$15,$B$3)*$H$4)</f>
        <v>15254.2372881356</v>
      </c>
      <c r="L53" s="8" t="n">
        <f aca="false">L38*INDEX(Assumptions!$C$22:$E$22,$B$3)*$H$3/(1+INDEX(Assumptions!$C$15:$E$15,$B$3)*$H$4)</f>
        <v>20338.9830508475</v>
      </c>
      <c r="M53" s="8" t="n">
        <f aca="false">M38*INDEX(Assumptions!$C$22:$E$22,$B$3)*$H$3/(1+INDEX(Assumptions!$C$15:$E$15,$B$3)*$H$4)</f>
        <v>27966.1016949153</v>
      </c>
      <c r="N53" s="8" t="n">
        <f aca="false">N38*INDEX(Assumptions!$C$22:$E$22,$B$3)*$H$3/(1+INDEX(Assumptions!$C$15:$E$15,$B$3)*$H$4)</f>
        <v>35593.2203389831</v>
      </c>
      <c r="O53" s="37" t="n">
        <f aca="false">SUM(C53:N53)</f>
        <v>271186.440677966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0</v>
      </c>
      <c r="L54" s="8" t="n">
        <f aca="false">L41*INDEX(Assumptions!$C$83:$E$83,$B$3)/(1+INDEX(Assumptions!$C$15:$E$15,$B$3)*$H$4)</f>
        <v>0</v>
      </c>
      <c r="M54" s="8" t="n">
        <f aca="false">M41*INDEX(Assumptions!$C$83:$E$83,$B$3)/(1+INDEX(Assumptions!$C$15:$E$15,$B$3)*$H$4)</f>
        <v>0</v>
      </c>
      <c r="N54" s="8" t="n">
        <f aca="false">N41*INDEX(Assumptions!$C$83:$E$83,$B$3)/(1+INDEX(Assumptions!$C$15:$E$15,$B$3)*$H$4)</f>
        <v>0</v>
      </c>
      <c r="O54" s="37" t="n">
        <f aca="false">SUM(C54:N54)</f>
        <v>0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222.41313559322</v>
      </c>
      <c r="F55" s="8" t="n">
        <f aca="false">F42*INDEX(Assumptions!$C$23:$E$23,$B$3)/(1+INDEX(Assumptions!$C$15:$E$15,$B$3)*$H$4)</f>
        <v>444.826271186441</v>
      </c>
      <c r="G55" s="8" t="n">
        <f aca="false">G42*INDEX(Assumptions!$C$23:$E$23,$B$3)/(1+INDEX(Assumptions!$C$15:$E$15,$B$3)*$H$4)</f>
        <v>667.239406779661</v>
      </c>
      <c r="H55" s="8" t="n">
        <f aca="false">H42*INDEX(Assumptions!$C$23:$E$23,$B$3)/(1+INDEX(Assumptions!$C$15:$E$15,$B$3)*$H$4)</f>
        <v>889.652542372881</v>
      </c>
      <c r="I55" s="8" t="n">
        <f aca="false">I42*INDEX(Assumptions!$C$23:$E$23,$B$3)/(1+INDEX(Assumptions!$C$15:$E$15,$B$3)*$H$4)</f>
        <v>1112.0656779661</v>
      </c>
      <c r="J55" s="8" t="n">
        <f aca="false">J42*INDEX(Assumptions!$C$23:$E$23,$B$3)/(1+INDEX(Assumptions!$C$15:$E$15,$B$3)*$H$4)</f>
        <v>1334.47881355932</v>
      </c>
      <c r="K55" s="8" t="n">
        <f aca="false">K42*INDEX(Assumptions!$C$23:$E$23,$B$3)/(1+INDEX(Assumptions!$C$15:$E$15,$B$3)*$H$4)</f>
        <v>1334.47881355932</v>
      </c>
      <c r="L55" s="8" t="n">
        <f aca="false">L42*INDEX(Assumptions!$C$23:$E$23,$B$3)/(1+INDEX(Assumptions!$C$15:$E$15,$B$3)*$H$4)</f>
        <v>1334.47881355932</v>
      </c>
      <c r="M55" s="8" t="n">
        <f aca="false">M42*INDEX(Assumptions!$C$23:$E$23,$B$3)/(1+INDEX(Assumptions!$C$15:$E$15,$B$3)*$H$4)</f>
        <v>1334.47881355932</v>
      </c>
      <c r="N55" s="8" t="n">
        <f aca="false">N42*INDEX(Assumptions!$C$23:$E$23,$B$3)/(1+INDEX(Assumptions!$C$15:$E$15,$B$3)*$H$4)</f>
        <v>1334.47881355932</v>
      </c>
      <c r="O55" s="37" t="n">
        <f aca="false">SUM(C55:N55)</f>
        <v>10008.5911016949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0</v>
      </c>
      <c r="J56" s="8" t="n">
        <f aca="false">(J27+J28)*(1-J45)*INDEX(Assumptions!$C$90:$E$90,$B$3)</f>
        <v>0</v>
      </c>
      <c r="K56" s="8" t="n">
        <f aca="false">(K27+K28)*(1-K45)*INDEX(Assumptions!$C$90:$E$90,$B$3)</f>
        <v>0</v>
      </c>
      <c r="L56" s="8" t="n">
        <f aca="false">(L27+L28)*(1-L45)*INDEX(Assumptions!$C$90:$E$90,$B$3)</f>
        <v>1021.14820143885</v>
      </c>
      <c r="M56" s="8" t="n">
        <f aca="false">(M27+M28)*(1-M45)*INDEX(Assumptions!$C$90:$E$90,$B$3)</f>
        <v>974.73237410072</v>
      </c>
      <c r="N56" s="8" t="n">
        <f aca="false">(N27+N28)*(1-N45)*INDEX(Assumptions!$C$90:$E$90,$B$3)</f>
        <v>928.31654676259</v>
      </c>
      <c r="O56" s="37" t="n">
        <f aca="false">SUM(C56:N56)</f>
        <v>2924.19712230216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24329.7128737959</v>
      </c>
      <c r="D57" s="37" t="n">
        <f aca="false">SUM(D47:D56)</f>
        <v>40916.8716492272</v>
      </c>
      <c r="E57" s="37" t="n">
        <f aca="false">SUM(E47:E56)</f>
        <v>62037.5955021949</v>
      </c>
      <c r="F57" s="37" t="n">
        <f aca="false">SUM(F47:F56)</f>
        <v>99283.8849768321</v>
      </c>
      <c r="G57" s="37" t="n">
        <f aca="false">SUM(G47:G56)</f>
        <v>113967.576711986</v>
      </c>
      <c r="H57" s="37" t="n">
        <f aca="false">SUM(H47:H56)</f>
        <v>135621.247116205</v>
      </c>
      <c r="I57" s="37" t="n">
        <f aca="false">SUM(I47:I56)</f>
        <v>178301.555103646</v>
      </c>
      <c r="J57" s="37" t="n">
        <f aca="false">SUM(J47:J56)</f>
        <v>188433.058841605</v>
      </c>
      <c r="K57" s="37" t="n">
        <f aca="false">SUM(K47:K56)</f>
        <v>179008.259541519</v>
      </c>
      <c r="L57" s="37" t="n">
        <f aca="false">SUM(L47:L56)</f>
        <v>216704.411572979</v>
      </c>
      <c r="M57" s="37" t="n">
        <f aca="false">SUM(M47:M56)</f>
        <v>216130.863136203</v>
      </c>
      <c r="N57" s="37" t="n">
        <f aca="false">SUM(N47:N56)</f>
        <v>216704.598567248</v>
      </c>
      <c r="O57" s="31" t="n">
        <f aca="false">SUM(C57:N57)</f>
        <v>1671439.63559344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11931.7522253384</v>
      </c>
      <c r="D58" s="8" t="n">
        <f aca="false">D47+D48+D49+D50</f>
        <v>19715.3308285575</v>
      </c>
      <c r="E58" s="8" t="n">
        <f aca="false">E47+E48+E49+E50</f>
        <v>23912.2918508414</v>
      </c>
      <c r="F58" s="8" t="n">
        <f aca="false">F47+F48+F49+F50</f>
        <v>50840.0153182539</v>
      </c>
      <c r="G58" s="8" t="n">
        <f aca="false">G47+G48+G49+G50</f>
        <v>68373.5824899403</v>
      </c>
      <c r="H58" s="8" t="n">
        <f aca="false">H47+H48+H49+H50</f>
        <v>85262.528959883</v>
      </c>
      <c r="I58" s="8" t="n">
        <f aca="false">I47+I48+I49+I50</f>
        <v>122277.679551274</v>
      </c>
      <c r="J58" s="8" t="n">
        <f aca="false">J47+J48+J49+J50</f>
        <v>128167.997805146</v>
      </c>
      <c r="K58" s="8" t="n">
        <f aca="false">K47+K48+K49+K50</f>
        <v>119153.624557981</v>
      </c>
      <c r="L58" s="8" t="n">
        <f aca="false">L47+L48+L49+L50</f>
        <v>151359.52170467</v>
      </c>
      <c r="M58" s="8" t="n">
        <f aca="false">M47+M48+M49+M50</f>
        <v>143410.483477625</v>
      </c>
      <c r="N58" s="8" t="n">
        <f aca="false">N47+N48+N49+N50</f>
        <v>136608.7291184</v>
      </c>
      <c r="O58" s="37" t="n">
        <f aca="false">SUM(C58:N58)</f>
        <v>1061013.53788791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1407.94676258993</v>
      </c>
      <c r="D60" s="8" t="n">
        <f aca="false">((D27+D30)*INDEX(Assumptions!$C$91:$E$91,$B$3)+D28*INDEX(Assumptions!$C$93:$E$93,$B$3))*$N$3</f>
        <v>2628.11191546763</v>
      </c>
      <c r="E60" s="8" t="n">
        <f aca="false">((E27+E30)*INDEX(Assumptions!$C$91:$E$91,$B$3)+E28*INDEX(Assumptions!$C$93:$E$93,$B$3))*$N$3</f>
        <v>3309.3915580036</v>
      </c>
      <c r="F60" s="8" t="n">
        <f aca="false">((F27+F30)*INDEX(Assumptions!$C$91:$E$91,$B$3)+F28*INDEX(Assumptions!$C$93:$E$93,$B$3))*$N$3</f>
        <v>6586.34186151079</v>
      </c>
      <c r="G60" s="8" t="n">
        <f aca="false">((G27+G30)*INDEX(Assumptions!$C$91:$E$91,$B$3)+G28*INDEX(Assumptions!$C$93:$E$93,$B$3))*$N$3</f>
        <v>9332.63669064748</v>
      </c>
      <c r="H60" s="8" t="n">
        <f aca="false">((H27+H30)*INDEX(Assumptions!$C$91:$E$91,$B$3)+H28*INDEX(Assumptions!$C$93:$E$93,$B$3))*$N$3</f>
        <v>11744.690647482</v>
      </c>
      <c r="I60" s="8" t="n">
        <f aca="false">((I27+I30)*INDEX(Assumptions!$C$91:$E$91,$B$3)+I28*INDEX(Assumptions!$C$93:$E$93,$B$3))*$N$3</f>
        <v>16524.5575539568</v>
      </c>
      <c r="J60" s="8" t="n">
        <f aca="false">((J27+J30)*INDEX(Assumptions!$C$91:$E$91,$B$3)+J28*INDEX(Assumptions!$C$93:$E$93,$B$3))*$N$3</f>
        <v>18140.8525179856</v>
      </c>
      <c r="K60" s="8" t="n">
        <f aca="false">((K27+K30)*INDEX(Assumptions!$C$91:$E$91,$B$3)+K28*INDEX(Assumptions!$C$93:$E$93,$B$3))*$N$3</f>
        <v>17193.1960431655</v>
      </c>
      <c r="L60" s="8" t="n">
        <f aca="false">((L27+L30)*INDEX(Assumptions!$C$91:$E$91,$B$3)+L28*INDEX(Assumptions!$C$93:$E$93,$B$3))*$N$3</f>
        <v>15297.8830935252</v>
      </c>
      <c r="M60" s="8" t="n">
        <f aca="false">((M27+M30)*INDEX(Assumptions!$C$91:$E$91,$B$3)+M28*INDEX(Assumptions!$C$93:$E$93,$B$3))*$N$3</f>
        <v>14350.226618705</v>
      </c>
      <c r="N60" s="8" t="n">
        <f aca="false">((N27+N30)*INDEX(Assumptions!$C$91:$E$91,$B$3)+N28*INDEX(Assumptions!$C$93:$E$93,$B$3))*$N$3</f>
        <v>13673.3291366907</v>
      </c>
      <c r="O60" s="37" t="n">
        <f aca="false">SUM(C60:N60)</f>
        <v>130189.16439973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3017.02877697842</v>
      </c>
      <c r="D61" s="8" t="n">
        <f aca="false">(D27+D28)*D45*INDEX(Assumptions!$C$14:$E$14,$B$3)*$N$3</f>
        <v>4877.41119604317</v>
      </c>
      <c r="E61" s="8" t="n">
        <f aca="false">(E27+E28)*E45*INDEX(Assumptions!$C$14:$E$14,$B$3)*$N$3</f>
        <v>5872.20053956835</v>
      </c>
      <c r="F61" s="8" t="n">
        <f aca="false">(F27+F28)*F45*INDEX(Assumptions!$C$14:$E$14,$B$3)*$N$3</f>
        <v>12645.5395683453</v>
      </c>
      <c r="G61" s="8" t="n">
        <f aca="false">(G27+G28)*G45*INDEX(Assumptions!$C$14:$E$14,$B$3)*$N$3</f>
        <v>16837.1223021583</v>
      </c>
      <c r="H61" s="8" t="n">
        <f aca="false">(H27+H28)*H45*INDEX(Assumptions!$C$14:$E$14,$B$3)*$N$3</f>
        <v>20957.9136690648</v>
      </c>
      <c r="I61" s="8" t="n">
        <f aca="false">(I27+I28)*I45*INDEX(Assumptions!$C$14:$E$14,$B$3)*$N$3</f>
        <v>30170.2877697842</v>
      </c>
      <c r="J61" s="8" t="n">
        <f aca="false">(J27+J28)*J45*INDEX(Assumptions!$C$14:$E$14,$B$3)*$N$3</f>
        <v>31330.6834532374</v>
      </c>
      <c r="K61" s="8" t="n">
        <f aca="false">(K27+K28)*K45*INDEX(Assumptions!$C$14:$E$14,$B$3)*$N$3</f>
        <v>29009.8920863309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154718.079361511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502.838129496403</v>
      </c>
      <c r="D62" s="8" t="n">
        <f aca="false">D29*INDEX(Assumptions!$C$92:$E$92,$B$3)*$N$3</f>
        <v>812.901866007194</v>
      </c>
      <c r="E62" s="8" t="n">
        <f aca="false">E29*INDEX(Assumptions!$C$92:$E$92,$B$3)*$N$3</f>
        <v>978.700089928058</v>
      </c>
      <c r="F62" s="8" t="n">
        <f aca="false">F29*INDEX(Assumptions!$C$92:$E$92,$B$3)*$N$3</f>
        <v>2107.58992805755</v>
      </c>
      <c r="G62" s="8" t="n">
        <f aca="false">G29*INDEX(Assumptions!$C$92:$E$92,$B$3)*$N$3</f>
        <v>2806.18705035971</v>
      </c>
      <c r="H62" s="8" t="n">
        <f aca="false">H29*INDEX(Assumptions!$C$92:$E$92,$B$3)*$N$3</f>
        <v>3492.98561151079</v>
      </c>
      <c r="I62" s="8" t="n">
        <f aca="false">I29*INDEX(Assumptions!$C$92:$E$92,$B$3)*$N$3</f>
        <v>5028.38129496403</v>
      </c>
      <c r="J62" s="8" t="n">
        <f aca="false">J29*INDEX(Assumptions!$C$92:$E$92,$B$3)*$N$3</f>
        <v>5221.78057553957</v>
      </c>
      <c r="K62" s="8" t="n">
        <f aca="false">K29*INDEX(Assumptions!$C$92:$E$92,$B$3)*$N$3</f>
        <v>4834.98201438849</v>
      </c>
      <c r="L62" s="8" t="n">
        <f aca="false">L29*INDEX(Assumptions!$C$92:$E$92,$B$3)*$N$3</f>
        <v>4254.78417266187</v>
      </c>
      <c r="M62" s="8" t="n">
        <f aca="false">M29*INDEX(Assumptions!$C$92:$E$92,$B$3)*$N$3</f>
        <v>4061.38489208633</v>
      </c>
      <c r="N62" s="8" t="n">
        <f aca="false">N29*INDEX(Assumptions!$C$92:$E$92,$B$3)*$N$3</f>
        <v>3867.98561151079</v>
      </c>
      <c r="O62" s="37" t="n">
        <f aca="false">SUM(C62:N62)</f>
        <v>37970.5012365108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2534.46858513189</v>
      </c>
      <c r="D63" s="8" t="n">
        <f aca="false">(D37*INDEX(Assumptions!$C$94:$E$94,$B$3)+D38*INDEX(Assumptions!$C$95:$E$95,$B$3)+D39*INDEX(Assumptions!$C$96:$E$96,$B$3))*$N$3</f>
        <v>4325.16074640288</v>
      </c>
      <c r="E63" s="8" t="n">
        <f aca="false">(E37*INDEX(Assumptions!$C$94:$E$94,$B$3)+E38*INDEX(Assumptions!$C$95:$E$95,$B$3)+E39*INDEX(Assumptions!$C$96:$E$96,$B$3))*$N$3</f>
        <v>8191.48003597122</v>
      </c>
      <c r="F63" s="8" t="n">
        <f aca="false">(F37*INDEX(Assumptions!$C$94:$E$94,$B$3)+F38*INDEX(Assumptions!$C$95:$E$95,$B$3)+F39*INDEX(Assumptions!$C$96:$E$96,$B$3))*$N$3</f>
        <v>10943.035971223</v>
      </c>
      <c r="G63" s="8" t="n">
        <f aca="false">(G37*INDEX(Assumptions!$C$94:$E$94,$B$3)+G38*INDEX(Assumptions!$C$95:$E$95,$B$3)+G39*INDEX(Assumptions!$C$96:$E$96,$B$3))*$N$3</f>
        <v>11022.4748201439</v>
      </c>
      <c r="H63" s="8" t="n">
        <f aca="false">(H37*INDEX(Assumptions!$C$94:$E$94,$B$3)+H38*INDEX(Assumptions!$C$95:$E$95,$B$3)+H39*INDEX(Assumptions!$C$96:$E$96,$B$3))*$N$3</f>
        <v>12597.1942446043</v>
      </c>
      <c r="I63" s="8" t="n">
        <f aca="false">(I37*INDEX(Assumptions!$C$94:$E$94,$B$3)+I38*INDEX(Assumptions!$C$95:$E$95,$B$3)+I39*INDEX(Assumptions!$C$96:$E$96,$B$3))*$N$3</f>
        <v>14511.3525179856</v>
      </c>
      <c r="J63" s="8" t="n">
        <f aca="false">(J37*INDEX(Assumptions!$C$94:$E$94,$B$3)+J38*INDEX(Assumptions!$C$95:$E$95,$B$3)+J39*INDEX(Assumptions!$C$96:$E$96,$B$3))*$N$3</f>
        <v>15888.7122302158</v>
      </c>
      <c r="K63" s="8" t="n">
        <f aca="false">(K37*INDEX(Assumptions!$C$94:$E$94,$B$3)+K38*INDEX(Assumptions!$C$95:$E$95,$B$3)+K39*INDEX(Assumptions!$C$96:$E$96,$B$3))*$N$3</f>
        <v>15733.9928057554</v>
      </c>
      <c r="L63" s="8" t="n">
        <f aca="false">(L37*INDEX(Assumptions!$C$94:$E$94,$B$3)+L38*INDEX(Assumptions!$C$95:$E$95,$B$3)+L39*INDEX(Assumptions!$C$96:$E$96,$B$3))*$N$3</f>
        <v>16501.9136690648</v>
      </c>
      <c r="M63" s="8" t="n">
        <f aca="false">(M37*INDEX(Assumptions!$C$94:$E$94,$B$3)+M38*INDEX(Assumptions!$C$95:$E$95,$B$3)+M39*INDEX(Assumptions!$C$96:$E$96,$B$3))*$N$3</f>
        <v>17924.5539568345</v>
      </c>
      <c r="N63" s="8" t="n">
        <f aca="false">(N37*INDEX(Assumptions!$C$94:$E$94,$B$3)+N38*INDEX(Assumptions!$C$95:$E$95,$B$3)+N39*INDEX(Assumptions!$C$96:$E$96,$B$3))*$N$3</f>
        <v>19347.1942446043</v>
      </c>
      <c r="O63" s="37" t="n">
        <f aca="false">SUM(C63:N63)</f>
        <v>149521.533827938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0</v>
      </c>
      <c r="L64" s="8" t="n">
        <f aca="false">L40*INDEX(Assumptions!$C$84:$E$84,$B$3)</f>
        <v>0</v>
      </c>
      <c r="M64" s="8" t="n">
        <f aca="false">M40*INDEX(Assumptions!$C$84:$E$84,$B$3)</f>
        <v>0</v>
      </c>
      <c r="N64" s="8" t="n">
        <f aca="false">N40*INDEX(Assumptions!$C$84:$E$84,$B$3)</f>
        <v>0</v>
      </c>
      <c r="O64" s="37" t="n">
        <f aca="false">SUM(C64:N64)</f>
        <v>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131.25</v>
      </c>
      <c r="F65" s="8" t="n">
        <f aca="false">F42*INDEX(Assumptions!$C$97:$E$97,$B$3)</f>
        <v>262.5</v>
      </c>
      <c r="G65" s="8" t="n">
        <f aca="false">G42*INDEX(Assumptions!$C$97:$E$97,$B$3)</f>
        <v>393.75</v>
      </c>
      <c r="H65" s="8" t="n">
        <f aca="false">H42*INDEX(Assumptions!$C$97:$E$97,$B$3)</f>
        <v>525</v>
      </c>
      <c r="I65" s="8" t="n">
        <f aca="false">I42*INDEX(Assumptions!$C$97:$E$97,$B$3)</f>
        <v>656.25</v>
      </c>
      <c r="J65" s="8" t="n">
        <f aca="false">J42*INDEX(Assumptions!$C$97:$E$97,$B$3)</f>
        <v>787.5</v>
      </c>
      <c r="K65" s="8" t="n">
        <f aca="false">K42*INDEX(Assumptions!$C$97:$E$97,$B$3)</f>
        <v>787.5</v>
      </c>
      <c r="L65" s="8" t="n">
        <f aca="false">L42*INDEX(Assumptions!$C$97:$E$97,$B$3)</f>
        <v>787.5</v>
      </c>
      <c r="M65" s="8" t="n">
        <f aca="false">M42*INDEX(Assumptions!$C$97:$E$97,$B$3)</f>
        <v>787.5</v>
      </c>
      <c r="N65" s="8" t="n">
        <f aca="false">N42*INDEX(Assumptions!$C$97:$E$97,$B$3)</f>
        <v>787.5</v>
      </c>
      <c r="O65" s="37" t="n">
        <f aca="false">SUM(C65:N65)</f>
        <v>5906.25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970.606821103885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1631.59018460252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2333.42832029212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4026.2244854036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4872.79216816691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5895.08220753957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7987.64806211799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8436.61469402015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7959.86615841727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10601.2078296317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10337.8973569669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10154.4607871799</v>
      </c>
      <c r="O66" s="37" t="n">
        <f aca="false">SUM(C66:N66)</f>
        <v>75207.4190754424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402.270503597122</v>
      </c>
      <c r="D67" s="8" t="n">
        <f aca="false">D31*INDEX(Assumptions!$C$198:$E$198,$B$3)*INDEX(Assumptions!$C$69:$E$69,$B$3)</f>
        <v>650.321492805755</v>
      </c>
      <c r="E67" s="8" t="n">
        <f aca="false">E31*INDEX(Assumptions!$C$198:$E$198,$B$3)*INDEX(Assumptions!$C$69:$E$69,$B$3)</f>
        <v>782.960071942446</v>
      </c>
      <c r="F67" s="8" t="n">
        <f aca="false">F31*INDEX(Assumptions!$C$198:$E$198,$B$3)*INDEX(Assumptions!$C$69:$E$69,$B$3)</f>
        <v>1686.07194244604</v>
      </c>
      <c r="G67" s="8" t="n">
        <f aca="false">G31*INDEX(Assumptions!$C$198:$E$198,$B$3)*INDEX(Assumptions!$C$69:$E$69,$B$3)</f>
        <v>2244.94964028777</v>
      </c>
      <c r="H67" s="8" t="n">
        <f aca="false">H31*INDEX(Assumptions!$C$198:$E$198,$B$3)*INDEX(Assumptions!$C$69:$E$69,$B$3)</f>
        <v>2794.38848920863</v>
      </c>
      <c r="I67" s="8" t="n">
        <f aca="false">I31*INDEX(Assumptions!$C$198:$E$198,$B$3)*INDEX(Assumptions!$C$69:$E$69,$B$3)</f>
        <v>4022.70503597122</v>
      </c>
      <c r="J67" s="8" t="n">
        <f aca="false">J31*INDEX(Assumptions!$C$198:$E$198,$B$3)*INDEX(Assumptions!$C$69:$E$69,$B$3)</f>
        <v>4177.42446043166</v>
      </c>
      <c r="K67" s="8" t="n">
        <f aca="false">K31*INDEX(Assumptions!$C$198:$E$198,$B$3)*INDEX(Assumptions!$C$69:$E$69,$B$3)</f>
        <v>3867.98561151079</v>
      </c>
      <c r="L67" s="8" t="n">
        <f aca="false">L31*INDEX(Assumptions!$C$198:$E$198,$B$3)*INDEX(Assumptions!$C$69:$E$69,$B$3)</f>
        <v>3403.8273381295</v>
      </c>
      <c r="M67" s="8" t="n">
        <f aca="false">M31*INDEX(Assumptions!$C$198:$E$198,$B$3)*INDEX(Assumptions!$C$69:$E$69,$B$3)</f>
        <v>3249.10791366907</v>
      </c>
      <c r="N67" s="8" t="n">
        <f aca="false">N31*INDEX(Assumptions!$C$198:$E$198,$B$3)*INDEX(Assumptions!$C$69:$E$69,$B$3)</f>
        <v>3094.38848920863</v>
      </c>
      <c r="O67" s="37" t="n">
        <f aca="false">SUM(C67:N67)</f>
        <v>30376.4009892086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8835.15957889765</v>
      </c>
      <c r="D68" s="37" t="n">
        <f aca="false">SUM(D60:D67)</f>
        <v>14925.4974013291</v>
      </c>
      <c r="E68" s="37" t="n">
        <f aca="false">SUM(E60:E67)</f>
        <v>21599.4106157058</v>
      </c>
      <c r="F68" s="37" t="n">
        <f aca="false">SUM(F60:F67)</f>
        <v>38257.3037569863</v>
      </c>
      <c r="G68" s="37" t="n">
        <f aca="false">SUM(G60:G67)</f>
        <v>47509.912671764</v>
      </c>
      <c r="H68" s="37" t="n">
        <f aca="false">SUM(H60:H67)</f>
        <v>58007.2548694101</v>
      </c>
      <c r="I68" s="37" t="n">
        <f aca="false">SUM(I60:I67)</f>
        <v>78901.1822347799</v>
      </c>
      <c r="J68" s="37" t="n">
        <f aca="false">SUM(J60:J67)</f>
        <v>83983.5679314302</v>
      </c>
      <c r="K68" s="37" t="n">
        <f aca="false">SUM(K60:K67)</f>
        <v>79387.4147195684</v>
      </c>
      <c r="L68" s="37" t="n">
        <f aca="false">SUM(L60:L67)</f>
        <v>50847.116103013</v>
      </c>
      <c r="M68" s="37" t="n">
        <f aca="false">SUM(M60:M67)</f>
        <v>50710.6707382619</v>
      </c>
      <c r="N68" s="37" t="n">
        <f aca="false">SUM(N60:N67)</f>
        <v>50924.8582691943</v>
      </c>
      <c r="O68" s="31" t="n">
        <f aca="false">SUM(C68:N68)</f>
        <v>583889.348890341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15494.5532948982</v>
      </c>
      <c r="D69" s="37" t="n">
        <f aca="false">D57-D68</f>
        <v>25991.3742478981</v>
      </c>
      <c r="E69" s="37" t="n">
        <f aca="false">E57-E68</f>
        <v>40438.1848864891</v>
      </c>
      <c r="F69" s="37" t="n">
        <f aca="false">F57-F68</f>
        <v>61026.5812198458</v>
      </c>
      <c r="G69" s="37" t="n">
        <f aca="false">G57-G68</f>
        <v>66457.6640402223</v>
      </c>
      <c r="H69" s="37" t="n">
        <f aca="false">H57-H68</f>
        <v>77613.9922467953</v>
      </c>
      <c r="I69" s="37" t="n">
        <f aca="false">I57-I68</f>
        <v>99400.3728688661</v>
      </c>
      <c r="J69" s="37" t="n">
        <f aca="false">J57-J68</f>
        <v>104449.490910174</v>
      </c>
      <c r="K69" s="37" t="n">
        <f aca="false">K57-K68</f>
        <v>99620.844821951</v>
      </c>
      <c r="L69" s="37" t="n">
        <f aca="false">L57-L68</f>
        <v>165857.295469966</v>
      </c>
      <c r="M69" s="37" t="n">
        <f aca="false">M57-M68</f>
        <v>165420.192397941</v>
      </c>
      <c r="N69" s="37" t="n">
        <f aca="false">N57-N68</f>
        <v>165779.740298054</v>
      </c>
      <c r="O69" s="31" t="n">
        <f aca="false">SUM(C69:N69)</f>
        <v>1087550.2867031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0.63685721961752</v>
      </c>
      <c r="D70" s="7" t="n">
        <f aca="false">IFERROR(D69/D57,0)</f>
        <v>0.6352238868777</v>
      </c>
      <c r="E70" s="7" t="n">
        <f aca="false">IFERROR(E69/E57,0)</f>
        <v>0.651833530283397</v>
      </c>
      <c r="F70" s="7" t="n">
        <f aca="false">IFERROR(F69/F57,0)</f>
        <v>0.614667538786242</v>
      </c>
      <c r="G70" s="7" t="n">
        <f aca="false">IFERROR(G69/G57,0)</f>
        <v>0.583127815450276</v>
      </c>
      <c r="H70" s="7" t="n">
        <f aca="false">IFERROR(H69/H57,0)</f>
        <v>0.572284902971676</v>
      </c>
      <c r="I70" s="7" t="n">
        <f aca="false">IFERROR(I69/I57,0)</f>
        <v>0.557484609772949</v>
      </c>
      <c r="J70" s="7" t="n">
        <f aca="false">IFERROR(J69/J57,0)</f>
        <v>0.554305553135312</v>
      </c>
      <c r="K70" s="7" t="n">
        <f aca="false">IFERROR(K69/K57,0)</f>
        <v>0.556515353409404</v>
      </c>
      <c r="L70" s="7" t="n">
        <f aca="false">IFERROR(L69/L57,0)</f>
        <v>0.765361878265735</v>
      </c>
      <c r="M70" s="7" t="n">
        <f aca="false">IFERROR(M69/M57,0)</f>
        <v>0.76537052597479</v>
      </c>
      <c r="N70" s="7" t="n">
        <f aca="false">IFERROR(N69/N57,0)</f>
        <v>0.765003333543053</v>
      </c>
      <c r="O70" s="13" t="n">
        <f aca="false">IFERROR(O69/O57,0)</f>
        <v>0.650666804557957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1</v>
      </c>
      <c r="H72" s="8" t="n">
        <f aca="false">ROUNDUP(H33/(INDEX(Assumptions!$C$102:$E$102,$B$3)*$J$3),0)</f>
        <v>1</v>
      </c>
      <c r="I72" s="8" t="n">
        <f aca="false">ROUNDUP(I33/(INDEX(Assumptions!$C$102:$E$102,$B$3)*$J$3),0)</f>
        <v>1</v>
      </c>
      <c r="J72" s="8" t="n">
        <f aca="false">ROUNDUP(J33/(INDEX(Assumptions!$C$102:$E$102,$B$3)*$J$3),0)</f>
        <v>2</v>
      </c>
      <c r="K72" s="8" t="n">
        <f aca="false">ROUNDUP(K33/(INDEX(Assumptions!$C$102:$E$102,$B$3)*$J$3),0)</f>
        <v>2</v>
      </c>
      <c r="L72" s="8" t="n">
        <f aca="false">ROUNDUP(L33/(INDEX(Assumptions!$C$102:$E$102,$B$3)*$J$3),0)</f>
        <v>2</v>
      </c>
      <c r="M72" s="8" t="n">
        <f aca="false">ROUNDUP(M33/(INDEX(Assumptions!$C$102:$E$102,$B$3)*$J$3),0)</f>
        <v>2</v>
      </c>
      <c r="N72" s="8" t="n">
        <f aca="false">ROUNDUP(N33/(INDEX(Assumptions!$C$102:$E$102,$B$3)*$J$3),0)</f>
        <v>1</v>
      </c>
      <c r="O72" s="37" t="n">
        <f aca="false">MAX(C72:N72)</f>
        <v>2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0.0666666666666667</v>
      </c>
      <c r="D73" s="6" t="n">
        <f aca="false">D72*(1-D11)</f>
        <v>0.133333333333333</v>
      </c>
      <c r="E73" s="6" t="n">
        <f aca="false">E72*(1-E11)</f>
        <v>0.2</v>
      </c>
      <c r="F73" s="6" t="n">
        <f aca="false">F72*(1-F11)</f>
        <v>0.266666666666667</v>
      </c>
      <c r="G73" s="6" t="n">
        <f aca="false">G72*(1-G11)</f>
        <v>0.333333333333333</v>
      </c>
      <c r="H73" s="6" t="n">
        <f aca="false">H72*(1-H11)</f>
        <v>0.4</v>
      </c>
      <c r="I73" s="6" t="n">
        <f aca="false">I72*(1-I11)</f>
        <v>0.433333333333333</v>
      </c>
      <c r="J73" s="6" t="n">
        <f aca="false">J72*(1-J11)</f>
        <v>0.933333333333333</v>
      </c>
      <c r="K73" s="6" t="n">
        <f aca="false">K72*(1-K11)</f>
        <v>1</v>
      </c>
      <c r="L73" s="6" t="n">
        <f aca="false">L72*(1-L11)</f>
        <v>1.06666666666667</v>
      </c>
      <c r="M73" s="6" t="n">
        <f aca="false">M72*(1-M11)</f>
        <v>1.13333333333333</v>
      </c>
      <c r="N73" s="6" t="n">
        <f aca="false">N72*(1-N11)</f>
        <v>0.6</v>
      </c>
      <c r="O73" s="39" t="n">
        <f aca="false">MAX(C73:N73)</f>
        <v>1.13333333333333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0</v>
      </c>
      <c r="E74" s="6" t="n">
        <f aca="false">IF(3&gt;=INDEX(Assumptions!$C$161:$E$161,$D$3),INDEX(Assumptions!$C$162:$E$162,$D$3),0)</f>
        <v>0.5</v>
      </c>
      <c r="F74" s="6" t="n">
        <f aca="false">IF(4&gt;=INDEX(Assumptions!$C$161:$E$161,$D$3),INDEX(Assumptions!$C$162:$E$162,$D$3),0)</f>
        <v>0.5</v>
      </c>
      <c r="G74" s="6" t="n">
        <f aca="false">IF(5&gt;=INDEX(Assumptions!$C$161:$E$161,$D$3),INDEX(Assumptions!$C$162:$E$162,$D$3),0)</f>
        <v>0.5</v>
      </c>
      <c r="H74" s="6" t="n">
        <f aca="false">IF(6&gt;=INDEX(Assumptions!$C$161:$E$161,$D$3),INDEX(Assumptions!$C$162:$E$162,$D$3),0)</f>
        <v>0.5</v>
      </c>
      <c r="I74" s="6" t="n">
        <f aca="false">IF(7&gt;=INDEX(Assumptions!$C$161:$E$161,$D$3),INDEX(Assumptions!$C$162:$E$162,$D$3),0)</f>
        <v>0.5</v>
      </c>
      <c r="J74" s="6" t="n">
        <f aca="false">IF(8&gt;=INDEX(Assumptions!$C$161:$E$161,$D$3),INDEX(Assumptions!$C$162:$E$162,$D$3),0)</f>
        <v>0.5</v>
      </c>
      <c r="K74" s="6" t="n">
        <f aca="false">IF(9&gt;=INDEX(Assumptions!$C$161:$E$161,$D$3),INDEX(Assumptions!$C$162:$E$162,$D$3),0)</f>
        <v>0.5</v>
      </c>
      <c r="L74" s="6" t="n">
        <f aca="false">IF(10&gt;=INDEX(Assumptions!$C$161:$E$161,$D$3),INDEX(Assumptions!$C$162:$E$162,$D$3),0)</f>
        <v>0.5</v>
      </c>
      <c r="M74" s="6" t="n">
        <f aca="false">IF(11&gt;=INDEX(Assumptions!$C$161:$E$161,$D$3),INDEX(Assumptions!$C$162:$E$162,$D$3),0)</f>
        <v>0.5</v>
      </c>
      <c r="N74" s="6" t="n">
        <f aca="false">IF(12&gt;=INDEX(Assumptions!$C$161:$E$161,$D$3),INDEX(Assumptions!$C$162:$E$162,$D$3),0)</f>
        <v>0.5</v>
      </c>
      <c r="O74" s="39" t="n">
        <f aca="false">N74</f>
        <v>0.5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1</v>
      </c>
      <c r="J76" s="8" t="n">
        <f aca="false">ROUNDUP(J72/2,0)</f>
        <v>1</v>
      </c>
      <c r="K76" s="8" t="n">
        <f aca="false">ROUNDUP(K72/2,0)</f>
        <v>1</v>
      </c>
      <c r="L76" s="8" t="n">
        <f aca="false">ROUNDUP(L72/2,0)</f>
        <v>1</v>
      </c>
      <c r="M76" s="8" t="n">
        <f aca="false">ROUNDUP(M72/2,0)</f>
        <v>1</v>
      </c>
      <c r="N76" s="8" t="n">
        <f aca="false">ROUNDUP(N72/2,0)</f>
        <v>1</v>
      </c>
      <c r="O76" s="37" t="n">
        <f aca="false">MAX(C76:N76)</f>
        <v>1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20000</v>
      </c>
      <c r="D77" s="8" t="n">
        <f aca="false">D74*INDEX(Assumptions!$C$98:$E$98,$B$3)+D75*INDEX(Assumptions!$C$99:$E$99,$B$3)+D76*INDEX(Assumptions!$C$100:$E$100,$B$3)</f>
        <v>20000</v>
      </c>
      <c r="E77" s="8" t="n">
        <f aca="false">E74*INDEX(Assumptions!$C$98:$E$98,$B$3)+E75*INDEX(Assumptions!$C$99:$E$99,$B$3)+E76*INDEX(Assumptions!$C$100:$E$100,$B$3)</f>
        <v>57500</v>
      </c>
      <c r="F77" s="8" t="n">
        <f aca="false">F74*INDEX(Assumptions!$C$98:$E$98,$B$3)+F75*INDEX(Assumptions!$C$99:$E$99,$B$3)+F76*INDEX(Assumptions!$C$100:$E$100,$B$3)</f>
        <v>57500</v>
      </c>
      <c r="G77" s="8" t="n">
        <f aca="false">G74*INDEX(Assumptions!$C$98:$E$98,$B$3)+G75*INDEX(Assumptions!$C$99:$E$99,$B$3)+G76*INDEX(Assumptions!$C$100:$E$100,$B$3)</f>
        <v>57500</v>
      </c>
      <c r="H77" s="8" t="n">
        <f aca="false">H74*INDEX(Assumptions!$C$98:$E$98,$B$3)+H75*INDEX(Assumptions!$C$99:$E$99,$B$3)+H76*INDEX(Assumptions!$C$100:$E$100,$B$3)</f>
        <v>57500</v>
      </c>
      <c r="I77" s="8" t="n">
        <f aca="false">I74*INDEX(Assumptions!$C$98:$E$98,$B$3)+I75*INDEX(Assumptions!$C$99:$E$99,$B$3)+I76*INDEX(Assumptions!$C$100:$E$100,$B$3)</f>
        <v>57500</v>
      </c>
      <c r="J77" s="8" t="n">
        <f aca="false">J74*INDEX(Assumptions!$C$98:$E$98,$B$3)+J75*INDEX(Assumptions!$C$99:$E$99,$B$3)+J76*INDEX(Assumptions!$C$100:$E$100,$B$3)</f>
        <v>57500</v>
      </c>
      <c r="K77" s="8" t="n">
        <f aca="false">K74*INDEX(Assumptions!$C$98:$E$98,$B$3)+K75*INDEX(Assumptions!$C$99:$E$99,$B$3)+K76*INDEX(Assumptions!$C$100:$E$100,$B$3)</f>
        <v>57500</v>
      </c>
      <c r="L77" s="8" t="n">
        <f aca="false">L74*INDEX(Assumptions!$C$98:$E$98,$B$3)+L75*INDEX(Assumptions!$C$99:$E$99,$B$3)+L76*INDEX(Assumptions!$C$100:$E$100,$B$3)</f>
        <v>57500</v>
      </c>
      <c r="M77" s="8" t="n">
        <f aca="false">M74*INDEX(Assumptions!$C$98:$E$98,$B$3)+M75*INDEX(Assumptions!$C$99:$E$99,$B$3)+M76*INDEX(Assumptions!$C$100:$E$100,$B$3)</f>
        <v>57500</v>
      </c>
      <c r="N77" s="8" t="n">
        <f aca="false">N74*INDEX(Assumptions!$C$98:$E$98,$B$3)+N75*INDEX(Assumptions!$C$99:$E$99,$B$3)+N76*INDEX(Assumptions!$C$100:$E$100,$B$3)</f>
        <v>57500</v>
      </c>
      <c r="O77" s="37" t="n">
        <f aca="false">SUM(C77:N77)</f>
        <v>615000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0</v>
      </c>
      <c r="D78" s="8" t="n">
        <f aca="false">(IF(2&gt;=INDEX(Assumptions!$C$164:$E$164,$D$3),1,0)+IF(2&gt;=INDEX(Assumptions!$C$166:$E$166,$D$3),INDEX(Assumptions!$C$165:$E$165,$D$3),0))*INDEX(Assumptions!$C$108:$E$108,$D$3)</f>
        <v>0</v>
      </c>
      <c r="E78" s="8" t="n">
        <f aca="false">(IF(3&gt;=INDEX(Assumptions!$C$164:$E$164,$D$3),1,0)+IF(3&gt;=INDEX(Assumptions!$C$166:$E$166,$D$3),INDEX(Assumptions!$C$165:$E$165,$D$3),0))*INDEX(Assumptions!$C$108:$E$108,$D$3)</f>
        <v>20000</v>
      </c>
      <c r="F78" s="8" t="n">
        <f aca="false">(IF(4&gt;=INDEX(Assumptions!$C$164:$E$164,$D$3),1,0)+IF(4&gt;=INDEX(Assumptions!$C$166:$E$166,$D$3),INDEX(Assumptions!$C$165:$E$165,$D$3),0))*INDEX(Assumptions!$C$108:$E$108,$D$3)</f>
        <v>20000</v>
      </c>
      <c r="G78" s="8" t="n">
        <f aca="false">(IF(5&gt;=INDEX(Assumptions!$C$164:$E$164,$D$3),1,0)+IF(5&gt;=INDEX(Assumptions!$C$166:$E$166,$D$3),INDEX(Assumptions!$C$165:$E$165,$D$3),0))*INDEX(Assumptions!$C$108:$E$108,$D$3)</f>
        <v>20000</v>
      </c>
      <c r="H78" s="8" t="n">
        <f aca="false">(IF(6&gt;=INDEX(Assumptions!$C$164:$E$164,$D$3),1,0)+IF(6&gt;=INDEX(Assumptions!$C$166:$E$166,$D$3),INDEX(Assumptions!$C$165:$E$165,$D$3),0))*INDEX(Assumptions!$C$108:$E$108,$D$3)</f>
        <v>20000</v>
      </c>
      <c r="I78" s="8" t="n">
        <f aca="false">(IF(7&gt;=INDEX(Assumptions!$C$164:$E$164,$D$3),1,0)+IF(7&gt;=INDEX(Assumptions!$C$166:$E$166,$D$3),INDEX(Assumptions!$C$165:$E$165,$D$3),0))*INDEX(Assumptions!$C$108:$E$108,$D$3)</f>
        <v>20000</v>
      </c>
      <c r="J78" s="8" t="n">
        <f aca="false">(IF(8&gt;=INDEX(Assumptions!$C$164:$E$164,$D$3),1,0)+IF(8&gt;=INDEX(Assumptions!$C$166:$E$166,$D$3),INDEX(Assumptions!$C$165:$E$165,$D$3),0))*INDEX(Assumptions!$C$108:$E$108,$D$3)</f>
        <v>20000</v>
      </c>
      <c r="K78" s="8" t="n">
        <f aca="false">(IF(9&gt;=INDEX(Assumptions!$C$164:$E$164,$D$3),1,0)+IF(9&gt;=INDEX(Assumptions!$C$166:$E$166,$D$3),INDEX(Assumptions!$C$165:$E$165,$D$3),0))*INDEX(Assumptions!$C$108:$E$108,$D$3)</f>
        <v>20000</v>
      </c>
      <c r="L78" s="8" t="n">
        <f aca="false">(IF(10&gt;=INDEX(Assumptions!$C$164:$E$164,$D$3),1,0)+IF(10&gt;=INDEX(Assumptions!$C$166:$E$166,$D$3),INDEX(Assumptions!$C$165:$E$165,$D$3),0))*INDEX(Assumptions!$C$108:$E$108,$D$3)</f>
        <v>20000</v>
      </c>
      <c r="M78" s="8" t="n">
        <f aca="false">(IF(11&gt;=INDEX(Assumptions!$C$164:$E$164,$D$3),1,0)+IF(11&gt;=INDEX(Assumptions!$C$166:$E$166,$D$3),INDEX(Assumptions!$C$165:$E$165,$D$3),0))*INDEX(Assumptions!$C$108:$E$108,$D$3)</f>
        <v>20000</v>
      </c>
      <c r="N78" s="8" t="n">
        <f aca="false">(IF(12&gt;=INDEX(Assumptions!$C$164:$E$164,$D$3),1,0)+IF(12&gt;=INDEX(Assumptions!$C$166:$E$166,$D$3),INDEX(Assumptions!$C$165:$E$165,$D$3),0))*INDEX(Assumptions!$C$108:$E$108,$D$3)</f>
        <v>20000</v>
      </c>
      <c r="O78" s="37" t="n">
        <f aca="false">SUM(C78:N78)</f>
        <v>200000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12000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12000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12000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12000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12000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12000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12000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12000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12000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12000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12000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12000</v>
      </c>
      <c r="O79" s="37" t="n">
        <f aca="false">SUM(C79:N79)</f>
        <v>144000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0</v>
      </c>
      <c r="J80" s="8" t="n">
        <f aca="false">IF(8&gt;=INDEX(Assumptions!$C$173:$E$173,$D$3),INDEX(Assumptions!$C$185:$E$185,$D$3),0)</f>
        <v>0</v>
      </c>
      <c r="K80" s="8" t="n">
        <f aca="false">IF(9&gt;=INDEX(Assumptions!$C$173:$E$173,$D$3),INDEX(Assumptions!$C$185:$E$185,$D$3),0)</f>
        <v>0</v>
      </c>
      <c r="L80" s="8" t="n">
        <f aca="false">IF(10&gt;=INDEX(Assumptions!$C$173:$E$173,$D$3),INDEX(Assumptions!$C$185:$E$185,$D$3),0)</f>
        <v>0</v>
      </c>
      <c r="M80" s="8" t="n">
        <f aca="false">IF(11&gt;=INDEX(Assumptions!$C$173:$E$173,$D$3),INDEX(Assumptions!$C$185:$E$185,$D$3),0)</f>
        <v>0</v>
      </c>
      <c r="N80" s="8" t="n">
        <f aca="false">IF(12&gt;=INDEX(Assumptions!$C$173:$E$173,$D$3),INDEX(Assumptions!$C$185:$E$185,$D$3),0)</f>
        <v>0</v>
      </c>
      <c r="O80" s="37" t="n">
        <f aca="false">SUM(C80:N80)</f>
        <v>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32000</v>
      </c>
      <c r="D82" s="37" t="n">
        <f aca="false">SUM(D77:D81)</f>
        <v>32000</v>
      </c>
      <c r="E82" s="37" t="n">
        <f aca="false">SUM(E77:E81)</f>
        <v>89500</v>
      </c>
      <c r="F82" s="37" t="n">
        <f aca="false">SUM(F77:F81)</f>
        <v>89500</v>
      </c>
      <c r="G82" s="37" t="n">
        <f aca="false">SUM(G77:G81)</f>
        <v>89500</v>
      </c>
      <c r="H82" s="37" t="n">
        <f aca="false">SUM(H77:H81)</f>
        <v>89500</v>
      </c>
      <c r="I82" s="37" t="n">
        <f aca="false">SUM(I77:I81)</f>
        <v>89500</v>
      </c>
      <c r="J82" s="37" t="n">
        <f aca="false">SUM(J77:J81)</f>
        <v>89500</v>
      </c>
      <c r="K82" s="37" t="n">
        <f aca="false">SUM(K77:K81)</f>
        <v>89500</v>
      </c>
      <c r="L82" s="37" t="n">
        <f aca="false">SUM(L77:L81)</f>
        <v>89500</v>
      </c>
      <c r="M82" s="37" t="n">
        <f aca="false">SUM(M77:M81)</f>
        <v>89500</v>
      </c>
      <c r="N82" s="37" t="n">
        <f aca="false">SUM(N77:N81)</f>
        <v>89500</v>
      </c>
      <c r="O82" s="31" t="n">
        <f aca="false">SUM(C82:N82)</f>
        <v>959000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45000</v>
      </c>
      <c r="D84" s="8" t="n">
        <f aca="false">IF(2&gt;=INDEX(Assumptions!$C$173:$E$173,$D$3),INDEX(Assumptions!$C$174:$E$174,$D$3)*INDEX(Assumptions!$C$175:$E$175,$B$3),INDEX(Assumptions!$C$179:$E$179,$B$3))*$F$4</f>
        <v>45000</v>
      </c>
      <c r="E84" s="8" t="n">
        <f aca="false">IF(3&gt;=INDEX(Assumptions!$C$173:$E$173,$D$3),INDEX(Assumptions!$C$174:$E$174,$D$3)*INDEX(Assumptions!$C$175:$E$175,$B$3),INDEX(Assumptions!$C$179:$E$179,$B$3))*$F$4</f>
        <v>45000</v>
      </c>
      <c r="F84" s="8" t="n">
        <f aca="false">IF(4&gt;=INDEX(Assumptions!$C$173:$E$173,$D$3),INDEX(Assumptions!$C$174:$E$174,$D$3)*INDEX(Assumptions!$C$175:$E$175,$B$3),INDEX(Assumptions!$C$179:$E$179,$B$3))*$F$4</f>
        <v>45000</v>
      </c>
      <c r="G84" s="8" t="n">
        <f aca="false">IF(5&gt;=INDEX(Assumptions!$C$173:$E$173,$D$3),INDEX(Assumptions!$C$174:$E$174,$D$3)*INDEX(Assumptions!$C$175:$E$175,$B$3),INDEX(Assumptions!$C$179:$E$179,$B$3))*$F$4</f>
        <v>45000</v>
      </c>
      <c r="H84" s="8" t="n">
        <f aca="false">IF(6&gt;=INDEX(Assumptions!$C$173:$E$173,$D$3),INDEX(Assumptions!$C$174:$E$174,$D$3)*INDEX(Assumptions!$C$175:$E$175,$B$3),INDEX(Assumptions!$C$179:$E$179,$B$3))*$F$4</f>
        <v>45000</v>
      </c>
      <c r="I84" s="8" t="n">
        <f aca="false">IF(7&gt;=INDEX(Assumptions!$C$173:$E$173,$D$3),INDEX(Assumptions!$C$174:$E$174,$D$3)*INDEX(Assumptions!$C$175:$E$175,$B$3),INDEX(Assumptions!$C$179:$E$179,$B$3))*$F$4</f>
        <v>45000</v>
      </c>
      <c r="J84" s="8" t="n">
        <f aca="false">IF(8&gt;=INDEX(Assumptions!$C$173:$E$173,$D$3),INDEX(Assumptions!$C$174:$E$174,$D$3)*INDEX(Assumptions!$C$175:$E$175,$B$3),INDEX(Assumptions!$C$179:$E$179,$B$3))*$F$4</f>
        <v>45000</v>
      </c>
      <c r="K84" s="8" t="n">
        <f aca="false">IF(9&gt;=INDEX(Assumptions!$C$173:$E$173,$D$3),INDEX(Assumptions!$C$174:$E$174,$D$3)*INDEX(Assumptions!$C$175:$E$175,$B$3),INDEX(Assumptions!$C$179:$E$179,$B$3))*$F$4</f>
        <v>45000</v>
      </c>
      <c r="L84" s="8" t="n">
        <f aca="false">IF(10&gt;=INDEX(Assumptions!$C$173:$E$173,$D$3),INDEX(Assumptions!$C$174:$E$174,$D$3)*INDEX(Assumptions!$C$175:$E$175,$B$3),INDEX(Assumptions!$C$179:$E$179,$B$3))*$F$4</f>
        <v>45000</v>
      </c>
      <c r="M84" s="8" t="n">
        <f aca="false">IF(11&gt;=INDEX(Assumptions!$C$173:$E$173,$D$3),INDEX(Assumptions!$C$174:$E$174,$D$3)*INDEX(Assumptions!$C$175:$E$175,$B$3),INDEX(Assumptions!$C$179:$E$179,$B$3))*$F$4</f>
        <v>45000</v>
      </c>
      <c r="N84" s="8" t="n">
        <f aca="false">IF(12&gt;=INDEX(Assumptions!$C$173:$E$173,$D$3),INDEX(Assumptions!$C$174:$E$174,$D$3)*INDEX(Assumptions!$C$175:$E$175,$B$3),INDEX(Assumptions!$C$179:$E$179,$B$3))*$F$4</f>
        <v>45000</v>
      </c>
      <c r="O84" s="37" t="n">
        <f aca="false">SUM(C84:N84)</f>
        <v>540000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12000</v>
      </c>
      <c r="D85" s="8" t="n">
        <f aca="false">IF(2&gt;=INDEX(Assumptions!$C$173:$E$173,$D$3),INDEX(Assumptions!$C$174:$E$174,$D$3)*INDEX(Assumptions!$C$181:$E$181,$B$3),INDEX(Assumptions!$C$180:$E$180,$B$3))</f>
        <v>12000</v>
      </c>
      <c r="E85" s="8" t="n">
        <f aca="false">IF(3&gt;=INDEX(Assumptions!$C$173:$E$173,$D$3),INDEX(Assumptions!$C$174:$E$174,$D$3)*INDEX(Assumptions!$C$181:$E$181,$B$3),INDEX(Assumptions!$C$180:$E$180,$B$3))</f>
        <v>12000</v>
      </c>
      <c r="F85" s="8" t="n">
        <f aca="false">IF(4&gt;=INDEX(Assumptions!$C$173:$E$173,$D$3),INDEX(Assumptions!$C$174:$E$174,$D$3)*INDEX(Assumptions!$C$181:$E$181,$B$3),INDEX(Assumptions!$C$180:$E$180,$B$3))</f>
        <v>12000</v>
      </c>
      <c r="G85" s="8" t="n">
        <f aca="false">IF(5&gt;=INDEX(Assumptions!$C$173:$E$173,$D$3),INDEX(Assumptions!$C$174:$E$174,$D$3)*INDEX(Assumptions!$C$181:$E$181,$B$3),INDEX(Assumptions!$C$180:$E$180,$B$3))</f>
        <v>12000</v>
      </c>
      <c r="H85" s="8" t="n">
        <f aca="false">IF(6&gt;=INDEX(Assumptions!$C$173:$E$173,$D$3),INDEX(Assumptions!$C$174:$E$174,$D$3)*INDEX(Assumptions!$C$181:$E$181,$B$3),INDEX(Assumptions!$C$180:$E$180,$B$3))</f>
        <v>12000</v>
      </c>
      <c r="I85" s="8" t="n">
        <f aca="false">IF(7&gt;=INDEX(Assumptions!$C$173:$E$173,$D$3),INDEX(Assumptions!$C$174:$E$174,$D$3)*INDEX(Assumptions!$C$181:$E$181,$B$3),INDEX(Assumptions!$C$180:$E$180,$B$3))</f>
        <v>12000</v>
      </c>
      <c r="J85" s="8" t="n">
        <f aca="false">IF(8&gt;=INDEX(Assumptions!$C$173:$E$173,$D$3),INDEX(Assumptions!$C$174:$E$174,$D$3)*INDEX(Assumptions!$C$181:$E$181,$B$3),INDEX(Assumptions!$C$180:$E$180,$B$3))</f>
        <v>12000</v>
      </c>
      <c r="K85" s="8" t="n">
        <f aca="false">IF(9&gt;=INDEX(Assumptions!$C$173:$E$173,$D$3),INDEX(Assumptions!$C$174:$E$174,$D$3)*INDEX(Assumptions!$C$181:$E$181,$B$3),INDEX(Assumptions!$C$180:$E$180,$B$3))</f>
        <v>12000</v>
      </c>
      <c r="L85" s="8" t="n">
        <f aca="false">IF(10&gt;=INDEX(Assumptions!$C$173:$E$173,$D$3),INDEX(Assumptions!$C$174:$E$174,$D$3)*INDEX(Assumptions!$C$181:$E$181,$B$3),INDEX(Assumptions!$C$180:$E$180,$B$3))</f>
        <v>12000</v>
      </c>
      <c r="M85" s="8" t="n">
        <f aca="false">IF(11&gt;=INDEX(Assumptions!$C$173:$E$173,$D$3),INDEX(Assumptions!$C$174:$E$174,$D$3)*INDEX(Assumptions!$C$181:$E$181,$B$3),INDEX(Assumptions!$C$180:$E$180,$B$3))</f>
        <v>12000</v>
      </c>
      <c r="N85" s="8" t="n">
        <f aca="false">IF(12&gt;=INDEX(Assumptions!$C$173:$E$173,$D$3),INDEX(Assumptions!$C$174:$E$174,$D$3)*INDEX(Assumptions!$C$181:$E$181,$B$3),INDEX(Assumptions!$C$180:$E$180,$B$3))</f>
        <v>12000</v>
      </c>
      <c r="O85" s="37" t="n">
        <f aca="false">SUM(C85:N85)</f>
        <v>144000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8000</v>
      </c>
      <c r="D86" s="8" t="n">
        <f aca="false">INDEX(Assumptions!$C$107:$E$107,$D$3)+IF(2&gt;=INDEX(Assumptions!$C$189:$E$189,$D$3)-1,INDEX(Assumptions!$C$188:$E$188,$D$3),0)</f>
        <v>8000</v>
      </c>
      <c r="E86" s="8" t="n">
        <f aca="false">INDEX(Assumptions!$C$107:$E$107,$D$3)+IF(3&gt;=INDEX(Assumptions!$C$189:$E$189,$D$3)-1,INDEX(Assumptions!$C$188:$E$188,$D$3),0)</f>
        <v>8000</v>
      </c>
      <c r="F86" s="8" t="n">
        <f aca="false">INDEX(Assumptions!$C$107:$E$107,$D$3)+IF(4&gt;=INDEX(Assumptions!$C$189:$E$189,$D$3)-1,INDEX(Assumptions!$C$188:$E$188,$D$3),0)</f>
        <v>8000</v>
      </c>
      <c r="G86" s="8" t="n">
        <f aca="false">INDEX(Assumptions!$C$107:$E$107,$D$3)+IF(5&gt;=INDEX(Assumptions!$C$189:$E$189,$D$3)-1,INDEX(Assumptions!$C$188:$E$188,$D$3),0)</f>
        <v>8000</v>
      </c>
      <c r="H86" s="8" t="n">
        <f aca="false">INDEX(Assumptions!$C$107:$E$107,$D$3)+IF(6&gt;=INDEX(Assumptions!$C$189:$E$189,$D$3)-1,INDEX(Assumptions!$C$188:$E$188,$D$3),0)</f>
        <v>8000</v>
      </c>
      <c r="I86" s="8" t="n">
        <f aca="false">INDEX(Assumptions!$C$107:$E$107,$D$3)+IF(7&gt;=INDEX(Assumptions!$C$189:$E$189,$D$3)-1,INDEX(Assumptions!$C$188:$E$188,$D$3),0)</f>
        <v>8000</v>
      </c>
      <c r="J86" s="8" t="n">
        <f aca="false">INDEX(Assumptions!$C$107:$E$107,$D$3)+IF(8&gt;=INDEX(Assumptions!$C$189:$E$189,$D$3)-1,INDEX(Assumptions!$C$188:$E$188,$D$3),0)</f>
        <v>8000</v>
      </c>
      <c r="K86" s="8" t="n">
        <f aca="false">INDEX(Assumptions!$C$107:$E$107,$D$3)+IF(9&gt;=INDEX(Assumptions!$C$189:$E$189,$D$3)-1,INDEX(Assumptions!$C$188:$E$188,$D$3),0)</f>
        <v>8000</v>
      </c>
      <c r="L86" s="8" t="n">
        <f aca="false">INDEX(Assumptions!$C$107:$E$107,$D$3)+IF(10&gt;=INDEX(Assumptions!$C$189:$E$189,$D$3)-1,INDEX(Assumptions!$C$188:$E$188,$D$3),0)</f>
        <v>8000</v>
      </c>
      <c r="M86" s="8" t="n">
        <f aca="false">INDEX(Assumptions!$C$107:$E$107,$D$3)+IF(11&gt;=INDEX(Assumptions!$C$189:$E$189,$D$3)-1,INDEX(Assumptions!$C$188:$E$188,$D$3),0)</f>
        <v>8000</v>
      </c>
      <c r="N86" s="8" t="n">
        <f aca="false">INDEX(Assumptions!$C$107:$E$107,$D$3)+IF(12&gt;=INDEX(Assumptions!$C$189:$E$189,$D$3)-1,INDEX(Assumptions!$C$188:$E$188,$D$3),0)</f>
        <v>8000</v>
      </c>
      <c r="O86" s="37" t="n">
        <f aca="false">SUM(C86:N86)</f>
        <v>96000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10000</v>
      </c>
      <c r="D87" s="8" t="n">
        <f aca="false">D15</f>
        <v>25000</v>
      </c>
      <c r="E87" s="8" t="n">
        <f aca="false">E15</f>
        <v>30000</v>
      </c>
      <c r="F87" s="8" t="n">
        <f aca="false">F15</f>
        <v>35000</v>
      </c>
      <c r="G87" s="8" t="n">
        <f aca="false">G15</f>
        <v>40000</v>
      </c>
      <c r="H87" s="8" t="n">
        <f aca="false">H15</f>
        <v>40000</v>
      </c>
      <c r="I87" s="8" t="n">
        <f aca="false">I15</f>
        <v>40000</v>
      </c>
      <c r="J87" s="8" t="n">
        <f aca="false">J15</f>
        <v>40000</v>
      </c>
      <c r="K87" s="8" t="n">
        <f aca="false">K15</f>
        <v>40000</v>
      </c>
      <c r="L87" s="8" t="n">
        <f aca="false">L15</f>
        <v>40000</v>
      </c>
      <c r="M87" s="8" t="n">
        <f aca="false">M15</f>
        <v>40000</v>
      </c>
      <c r="N87" s="8" t="n">
        <f aca="false">N15</f>
        <v>40000</v>
      </c>
      <c r="O87" s="37" t="n">
        <f aca="false">SUM(C87:N87)</f>
        <v>420000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3333</v>
      </c>
      <c r="D88" s="8" t="n">
        <f aca="false">INDEX(Assumptions!$C$170:$E$170,$D$3)</f>
        <v>3333</v>
      </c>
      <c r="E88" s="8" t="n">
        <f aca="false">INDEX(Assumptions!$C$170:$E$170,$D$3)</f>
        <v>3333</v>
      </c>
      <c r="F88" s="8" t="n">
        <f aca="false">INDEX(Assumptions!$C$170:$E$170,$D$3)</f>
        <v>3333</v>
      </c>
      <c r="G88" s="8" t="n">
        <f aca="false">INDEX(Assumptions!$C$170:$E$170,$D$3)</f>
        <v>3333</v>
      </c>
      <c r="H88" s="8" t="n">
        <f aca="false">INDEX(Assumptions!$C$170:$E$170,$D$3)</f>
        <v>3333</v>
      </c>
      <c r="I88" s="8" t="n">
        <f aca="false">INDEX(Assumptions!$C$170:$E$170,$D$3)</f>
        <v>3333</v>
      </c>
      <c r="J88" s="8" t="n">
        <f aca="false">INDEX(Assumptions!$C$170:$E$170,$D$3)</f>
        <v>3333</v>
      </c>
      <c r="K88" s="8" t="n">
        <f aca="false">INDEX(Assumptions!$C$170:$E$170,$D$3)</f>
        <v>3333</v>
      </c>
      <c r="L88" s="8" t="n">
        <f aca="false">INDEX(Assumptions!$C$170:$E$170,$D$3)</f>
        <v>3333</v>
      </c>
      <c r="M88" s="8" t="n">
        <f aca="false">INDEX(Assumptions!$C$170:$E$170,$D$3)</f>
        <v>3333</v>
      </c>
      <c r="N88" s="8" t="n">
        <f aca="false">INDEX(Assumptions!$C$170:$E$170,$D$3)</f>
        <v>3333</v>
      </c>
      <c r="O88" s="37" t="n">
        <f aca="false">SUM(C88:N88)</f>
        <v>39996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12000</v>
      </c>
      <c r="D89" s="8" t="n">
        <f aca="false">INDEX(Assumptions!$C$195:$E$195,$D$3)</f>
        <v>12000</v>
      </c>
      <c r="E89" s="8" t="n">
        <f aca="false">INDEX(Assumptions!$C$195:$E$195,$D$3)</f>
        <v>12000</v>
      </c>
      <c r="F89" s="8" t="n">
        <f aca="false">INDEX(Assumptions!$C$195:$E$195,$D$3)</f>
        <v>12000</v>
      </c>
      <c r="G89" s="8" t="n">
        <f aca="false">INDEX(Assumptions!$C$195:$E$195,$D$3)</f>
        <v>12000</v>
      </c>
      <c r="H89" s="8" t="n">
        <f aca="false">INDEX(Assumptions!$C$195:$E$195,$D$3)</f>
        <v>12000</v>
      </c>
      <c r="I89" s="8" t="n">
        <f aca="false">INDEX(Assumptions!$C$195:$E$195,$D$3)</f>
        <v>12000</v>
      </c>
      <c r="J89" s="8" t="n">
        <f aca="false">INDEX(Assumptions!$C$195:$E$195,$D$3)</f>
        <v>12000</v>
      </c>
      <c r="K89" s="8" t="n">
        <f aca="false">INDEX(Assumptions!$C$195:$E$195,$D$3)</f>
        <v>12000</v>
      </c>
      <c r="L89" s="8" t="n">
        <f aca="false">INDEX(Assumptions!$C$195:$E$195,$D$3)</f>
        <v>12000</v>
      </c>
      <c r="M89" s="8" t="n">
        <f aca="false">INDEX(Assumptions!$C$195:$E$195,$D$3)</f>
        <v>12000</v>
      </c>
      <c r="N89" s="8" t="n">
        <f aca="false">INDEX(Assumptions!$C$195:$E$195,$D$3)</f>
        <v>12000</v>
      </c>
      <c r="O89" s="37" t="n">
        <f aca="false">SUM(C89:N89)</f>
        <v>144000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50000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100000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172333</v>
      </c>
      <c r="D91" s="37" t="n">
        <f aca="false">D82+SUM(D84:D90)</f>
        <v>137333</v>
      </c>
      <c r="E91" s="37" t="n">
        <f aca="false">E82+SUM(E84:E90)</f>
        <v>249833</v>
      </c>
      <c r="F91" s="37" t="n">
        <f aca="false">F82+SUM(F84:F90)</f>
        <v>204833</v>
      </c>
      <c r="G91" s="37" t="n">
        <f aca="false">G82+SUM(G84:G90)</f>
        <v>209833</v>
      </c>
      <c r="H91" s="37" t="n">
        <f aca="false">H82+SUM(H84:H90)</f>
        <v>209833</v>
      </c>
      <c r="I91" s="37" t="n">
        <f aca="false">I82+SUM(I84:I90)</f>
        <v>209833</v>
      </c>
      <c r="J91" s="37" t="n">
        <f aca="false">J82+SUM(J84:J90)</f>
        <v>209833</v>
      </c>
      <c r="K91" s="37" t="n">
        <f aca="false">K82+SUM(K84:K90)</f>
        <v>209833</v>
      </c>
      <c r="L91" s="37" t="n">
        <f aca="false">L82+SUM(L84:L90)</f>
        <v>209833</v>
      </c>
      <c r="M91" s="37" t="n">
        <f aca="false">M82+SUM(M84:M90)</f>
        <v>209833</v>
      </c>
      <c r="N91" s="37" t="n">
        <f aca="false">N82+SUM(N84:N90)</f>
        <v>209833</v>
      </c>
      <c r="O91" s="31" t="n">
        <f aca="false">SUM(C91:N91)</f>
        <v>2442996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-156838.446705102</v>
      </c>
      <c r="D92" s="37" t="n">
        <f aca="false">D69-D91</f>
        <v>-111341.625752102</v>
      </c>
      <c r="E92" s="37" t="n">
        <f aca="false">E69-E91</f>
        <v>-209394.815113511</v>
      </c>
      <c r="F92" s="37" t="n">
        <f aca="false">F69-F91</f>
        <v>-143806.418780154</v>
      </c>
      <c r="G92" s="37" t="n">
        <f aca="false">G69-G91</f>
        <v>-143375.335959778</v>
      </c>
      <c r="H92" s="37" t="n">
        <f aca="false">H69-H91</f>
        <v>-132219.007753205</v>
      </c>
      <c r="I92" s="37" t="n">
        <f aca="false">I69-I91</f>
        <v>-110432.627131134</v>
      </c>
      <c r="J92" s="37" t="n">
        <f aca="false">J69-J91</f>
        <v>-105383.509089826</v>
      </c>
      <c r="K92" s="37" t="n">
        <f aca="false">K69-K91</f>
        <v>-110212.155178049</v>
      </c>
      <c r="L92" s="37" t="n">
        <f aca="false">L69-L91</f>
        <v>-43975.704530034</v>
      </c>
      <c r="M92" s="37" t="n">
        <f aca="false">M69-M91</f>
        <v>-44412.8076020589</v>
      </c>
      <c r="N92" s="37" t="n">
        <f aca="false">N69-N91</f>
        <v>-44053.2597019463</v>
      </c>
      <c r="O92" s="31" t="n">
        <f aca="false">SUM(C92:N92)</f>
        <v>-1355445.7132969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-6.44637474838527</v>
      </c>
      <c r="D93" s="7" t="n">
        <f aca="false">IFERROR(D92/D57,0)</f>
        <v>-2.7211666303967</v>
      </c>
      <c r="E93" s="7" t="n">
        <f aca="false">IFERROR(E92/E57,0)</f>
        <v>-3.37528902302641</v>
      </c>
      <c r="F93" s="7" t="n">
        <f aca="false">IFERROR(F92/F57,0)</f>
        <v>-1.44843666032722</v>
      </c>
      <c r="G93" s="7" t="n">
        <f aca="false">IFERROR(G92/G57,0)</f>
        <v>-1.25803618973236</v>
      </c>
      <c r="H93" s="7" t="n">
        <f aca="false">IFERROR(H92/H57,0)</f>
        <v>-0.974913669979119</v>
      </c>
      <c r="I93" s="7" t="n">
        <f aca="false">IFERROR(I92/I57,0)</f>
        <v>-0.619358743489029</v>
      </c>
      <c r="J93" s="7" t="n">
        <f aca="false">IFERROR(J92/J57,0)</f>
        <v>-0.559262317014182</v>
      </c>
      <c r="K93" s="7" t="n">
        <f aca="false">IFERROR(K92/K57,0)</f>
        <v>-0.615681954901563</v>
      </c>
      <c r="L93" s="7" t="n">
        <f aca="false">IFERROR(L92/L57,0)</f>
        <v>-0.202929438357209</v>
      </c>
      <c r="M93" s="7" t="n">
        <f aca="false">IFERROR(M92/M57,0)</f>
        <v>-0.205490354119719</v>
      </c>
      <c r="N93" s="7" t="n">
        <f aca="false">IFERROR(N92/N57,0)</f>
        <v>-0.203287147541891</v>
      </c>
      <c r="O93" s="7" t="n">
        <f aca="false">IFERROR(O92/O57,0)</f>
        <v>-0.810945058638418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-231838.446705102</v>
      </c>
      <c r="D94" s="8" t="n">
        <f aca="false">D92-INDEX(Assumptions!$C$163:$E$163,$B$3)</f>
        <v>-186341.625752102</v>
      </c>
      <c r="E94" s="8" t="n">
        <f aca="false">E92-INDEX(Assumptions!$C$163:$E$163,$B$3)</f>
        <v>-284394.815113511</v>
      </c>
      <c r="F94" s="8" t="n">
        <f aca="false">F92-INDEX(Assumptions!$C$163:$E$163,$B$3)</f>
        <v>-218806.418780154</v>
      </c>
      <c r="G94" s="8" t="n">
        <f aca="false">G92-INDEX(Assumptions!$C$163:$E$163,$B$3)</f>
        <v>-218375.335959778</v>
      </c>
      <c r="H94" s="8" t="n">
        <f aca="false">H92-INDEX(Assumptions!$C$163:$E$163,$B$3)</f>
        <v>-207219.007753205</v>
      </c>
      <c r="I94" s="8" t="n">
        <f aca="false">I92-INDEX(Assumptions!$C$163:$E$163,$B$3)</f>
        <v>-185432.627131134</v>
      </c>
      <c r="J94" s="8" t="n">
        <f aca="false">J92-INDEX(Assumptions!$C$163:$E$163,$B$3)</f>
        <v>-180383.509089826</v>
      </c>
      <c r="K94" s="8" t="n">
        <f aca="false">K92-INDEX(Assumptions!$C$163:$E$163,$B$3)</f>
        <v>-185212.155178049</v>
      </c>
      <c r="L94" s="8" t="n">
        <f aca="false">L92-INDEX(Assumptions!$C$163:$E$163,$B$3)</f>
        <v>-118975.704530034</v>
      </c>
      <c r="M94" s="8" t="n">
        <f aca="false">M92-INDEX(Assumptions!$C$163:$E$163,$B$3)</f>
        <v>-119412.807602059</v>
      </c>
      <c r="N94" s="8" t="n">
        <f aca="false">N92-INDEX(Assumptions!$C$163:$E$163,$B$3)</f>
        <v>-119053.259701946</v>
      </c>
      <c r="O94" s="37" t="n">
        <f aca="false">SUM(C94:N94)</f>
        <v>-2255445.7132969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0</v>
      </c>
      <c r="I101" s="37" t="n">
        <f aca="false">SUM(I96:I100)</f>
        <v>0</v>
      </c>
      <c r="J101" s="37" t="n">
        <f aca="false">SUM(J96:J100)</f>
        <v>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50000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-7954.50148355892</v>
      </c>
      <c r="D102" s="8" t="n">
        <f aca="false">((D58+IF(INDEX(Assumptions!$C$87:$E$87,$B$3)&gt;=2,C58,0)+IF(INDEX(Assumptions!$C$87:$E$87,$B$3)&gt;=3,0,0))/INDEX(Assumptions!$C$87:$E$87,$B$3))-D58</f>
        <v>-9166.30314392554</v>
      </c>
      <c r="E102" s="8" t="n">
        <f aca="false">((E58+IF(INDEX(Assumptions!$C$87:$E$87,$B$3)&gt;=2,D58,0)+IF(INDEX(Assumptions!$C$87:$E$87,$B$3)&gt;=3,C58,0))/INDEX(Assumptions!$C$87:$E$87,$B$3))-E58</f>
        <v>-5392.50021592895</v>
      </c>
      <c r="F102" s="8" t="n">
        <f aca="false">((F58+IF(INDEX(Assumptions!$C$87:$E$87,$B$3)&gt;=2,E58,0)+IF(INDEX(Assumptions!$C$87:$E$87,$B$3)&gt;=3,D58,0))/INDEX(Assumptions!$C$87:$E$87,$B$3))-F58</f>
        <v>-19350.8026523696</v>
      </c>
      <c r="G102" s="8" t="n">
        <f aca="false">((G58+IF(INDEX(Assumptions!$C$87:$E$87,$B$3)&gt;=2,F58,0)+IF(INDEX(Assumptions!$C$87:$E$87,$B$3)&gt;=3,E58,0))/INDEX(Assumptions!$C$87:$E$87,$B$3))-G58</f>
        <v>-20664.9526035951</v>
      </c>
      <c r="H102" s="8" t="n">
        <f aca="false">((H58+IF(INDEX(Assumptions!$C$87:$E$87,$B$3)&gt;=2,G58,0)+IF(INDEX(Assumptions!$C$87:$E$87,$B$3)&gt;=3,F58,0))/INDEX(Assumptions!$C$87:$E$87,$B$3))-H58</f>
        <v>-17103.8200371906</v>
      </c>
      <c r="I102" s="8" t="n">
        <f aca="false">((I58+IF(INDEX(Assumptions!$C$87:$E$87,$B$3)&gt;=2,H58,0)+IF(INDEX(Assumptions!$C$87:$E$87,$B$3)&gt;=3,G58,0))/INDEX(Assumptions!$C$87:$E$87,$B$3))-I58</f>
        <v>-30306.4158842418</v>
      </c>
      <c r="J102" s="8" t="n">
        <f aca="false">((J58+IF(INDEX(Assumptions!$C$87:$E$87,$B$3)&gt;=2,I58,0)+IF(INDEX(Assumptions!$C$87:$E$87,$B$3)&gt;=3,H58,0))/INDEX(Assumptions!$C$87:$E$87,$B$3))-J58</f>
        <v>-16265.2623663781</v>
      </c>
      <c r="K102" s="8" t="n">
        <f aca="false">((K58+IF(INDEX(Assumptions!$C$87:$E$87,$B$3)&gt;=2,J58,0)+IF(INDEX(Assumptions!$C$87:$E$87,$B$3)&gt;=3,I58,0))/INDEX(Assumptions!$C$87:$E$87,$B$3))-K58</f>
        <v>4046.1427468195</v>
      </c>
      <c r="L102" s="8" t="n">
        <f aca="false">((L58+IF(INDEX(Assumptions!$C$87:$E$87,$B$3)&gt;=2,K58,0)+IF(INDEX(Assumptions!$C$87:$E$87,$B$3)&gt;=3,J58,0))/INDEX(Assumptions!$C$87:$E$87,$B$3))-L58</f>
        <v>-18465.8070154046</v>
      </c>
      <c r="M102" s="8" t="n">
        <f aca="false">((M58+IF(INDEX(Assumptions!$C$87:$E$87,$B$3)&gt;=2,L58,0)+IF(INDEX(Assumptions!$C$87:$E$87,$B$3)&gt;=3,K58,0))/INDEX(Assumptions!$C$87:$E$87,$B$3))-M58</f>
        <v>-5435.94023086617</v>
      </c>
      <c r="N102" s="8" t="n">
        <f aca="false">((N58+IF(INDEX(Assumptions!$C$87:$E$87,$B$3)&gt;=2,M58,0)+IF(INDEX(Assumptions!$C$87:$E$87,$B$3)&gt;=3,L58,0))/INDEX(Assumptions!$C$87:$E$87,$B$3))-N58</f>
        <v>7184.18231516483</v>
      </c>
      <c r="O102" s="37" t="n">
        <f aca="false">SUM(C102:N102)</f>
        <v>-138875.980571475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-214792.948188661</v>
      </c>
      <c r="D103" s="37" t="n">
        <f aca="false">D92+D102-D101</f>
        <v>-120507.928896027</v>
      </c>
      <c r="E103" s="37" t="n">
        <f aca="false">E92+E102-E101</f>
        <v>-214787.31532944</v>
      </c>
      <c r="F103" s="37" t="n">
        <f aca="false">F92+F102-F101</f>
        <v>-163157.221432524</v>
      </c>
      <c r="G103" s="37" t="n">
        <f aca="false">G92+G102-G101</f>
        <v>-164040.288563373</v>
      </c>
      <c r="H103" s="37" t="n">
        <f aca="false">H92+H102-H101</f>
        <v>-149322.827790395</v>
      </c>
      <c r="I103" s="37" t="n">
        <f aca="false">I92+I102-I101</f>
        <v>-140739.043015376</v>
      </c>
      <c r="J103" s="37" t="n">
        <f aca="false">J92+J102-J101</f>
        <v>-121648.771456204</v>
      </c>
      <c r="K103" s="37" t="n">
        <f aca="false">K92+K102-K101</f>
        <v>-106166.01243123</v>
      </c>
      <c r="L103" s="37" t="n">
        <f aca="false">L92+L102-L101</f>
        <v>-62441.5115454386</v>
      </c>
      <c r="M103" s="37" t="n">
        <f aca="false">M92+M102-M101</f>
        <v>-49848.7478329251</v>
      </c>
      <c r="N103" s="37" t="n">
        <f aca="false">N92+N102-N101</f>
        <v>-36869.0773867815</v>
      </c>
      <c r="O103" s="31" t="n">
        <f aca="false">SUM(C103:N103)</f>
        <v>-1544321.69386837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-214792.948188661</v>
      </c>
      <c r="D104" s="37" t="n">
        <f aca="false">C104+D103</f>
        <v>-335300.877084688</v>
      </c>
      <c r="E104" s="37" t="n">
        <f aca="false">D104+E103</f>
        <v>-550088.192414128</v>
      </c>
      <c r="F104" s="37" t="n">
        <f aca="false">E104+F103</f>
        <v>-713245.413846652</v>
      </c>
      <c r="G104" s="37" t="n">
        <f aca="false">F104+G103</f>
        <v>-877285.702410025</v>
      </c>
      <c r="H104" s="37" t="n">
        <f aca="false">G104+H103</f>
        <v>-1026608.53020042</v>
      </c>
      <c r="I104" s="37" t="n">
        <f aca="false">H104+I103</f>
        <v>-1167347.5732158</v>
      </c>
      <c r="J104" s="37" t="n">
        <f aca="false">I104+J103</f>
        <v>-1288996.344672</v>
      </c>
      <c r="K104" s="37" t="n">
        <f aca="false">J104+K103</f>
        <v>-1395162.35710323</v>
      </c>
      <c r="L104" s="37" t="n">
        <f aca="false">K104+L103</f>
        <v>-1457603.86864867</v>
      </c>
      <c r="M104" s="37" t="n">
        <f aca="false">L104+M103</f>
        <v>-1507452.61648159</v>
      </c>
      <c r="N104" s="37" t="n">
        <f aca="false">M104+N103</f>
        <v>-1544321.69386837</v>
      </c>
      <c r="O104" s="31" t="n">
        <f aca="false">N104</f>
        <v>-1544321.69386837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214792.948188661</v>
      </c>
      <c r="D105" s="37" t="n">
        <f aca="false">-MIN(0,MIN($C$104:D104))</f>
        <v>335300.877084688</v>
      </c>
      <c r="E105" s="37" t="n">
        <f aca="false">-MIN(0,MIN($C$104:E104))</f>
        <v>550088.192414128</v>
      </c>
      <c r="F105" s="37" t="n">
        <f aca="false">-MIN(0,MIN($C$104:F104))</f>
        <v>713245.413846652</v>
      </c>
      <c r="G105" s="37" t="n">
        <f aca="false">-MIN(0,MIN($C$104:G104))</f>
        <v>877285.702410025</v>
      </c>
      <c r="H105" s="37" t="n">
        <f aca="false">-MIN(0,MIN($C$104:H104))</f>
        <v>1026608.53020042</v>
      </c>
      <c r="I105" s="37" t="n">
        <f aca="false">-MIN(0,MIN($C$104:I104))</f>
        <v>1167347.5732158</v>
      </c>
      <c r="J105" s="37" t="n">
        <f aca="false">-MIN(0,MIN($C$104:J104))</f>
        <v>1288996.344672</v>
      </c>
      <c r="K105" s="37" t="n">
        <f aca="false">-MIN(0,MIN($C$104:K104))</f>
        <v>1395162.35710323</v>
      </c>
      <c r="L105" s="37" t="n">
        <f aca="false">-MIN(0,MIN($C$104:L104))</f>
        <v>1457603.86864867</v>
      </c>
      <c r="M105" s="37" t="n">
        <f aca="false">-MIN(0,MIN($C$104:M104))</f>
        <v>1507452.61648159</v>
      </c>
      <c r="N105" s="37" t="n">
        <f aca="false">-MIN(0,MIN($C$104:N104))</f>
        <v>1544321.69386837</v>
      </c>
      <c r="O105" s="31" t="n">
        <f aca="false">MAX(C105:N105)</f>
        <v>1544321.69386837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0</v>
      </c>
      <c r="J106" s="8" t="n">
        <f aca="false">IF(J92&gt;=0,1,0)</f>
        <v>0</v>
      </c>
      <c r="K106" s="8" t="n">
        <f aca="false">IF(K92&gt;=0,1,0)</f>
        <v>0</v>
      </c>
      <c r="L106" s="8" t="n">
        <f aca="false">IF(L92&gt;=0,1,0)</f>
        <v>0</v>
      </c>
      <c r="M106" s="8" t="n">
        <f aca="false">IF(M92&gt;=0,1,0)</f>
        <v>0</v>
      </c>
      <c r="N106" s="8" t="n">
        <f aca="false">IF(N92&gt;=0,1,0)</f>
        <v>0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1671439.63559344</v>
      </c>
    </row>
    <row r="110" customFormat="false" ht="15" hidden="false" customHeight="false" outlineLevel="0" collapsed="false">
      <c r="A110" s="3" t="s">
        <v>28</v>
      </c>
      <c r="B110" s="31" t="n">
        <f aca="false">O92</f>
        <v>-1355445.7132969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-0.810945058638418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-2255445.7132969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50000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1544321.69386837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1000000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-544321.693868374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30.3764009892086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3.63590647482014</v>
      </c>
    </row>
    <row r="119" customFormat="false" ht="15" hidden="false" customHeight="false" outlineLevel="0" collapsed="false">
      <c r="A119" s="3" t="s">
        <v>37</v>
      </c>
      <c r="B119" s="31" t="n">
        <f aca="false">O37</f>
        <v>67.5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0.483498201438849</v>
      </c>
    </row>
    <row r="121" customFormat="false" ht="15" hidden="false" customHeight="false" outlineLevel="0" collapsed="false">
      <c r="A121" s="3" t="s">
        <v>39</v>
      </c>
      <c r="B121" s="40" t="str">
        <f aca="false">IFERROR(MATCH(1,C35:N35,0),"not in Y1")</f>
        <v>not in Y1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0.4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1.5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34929.9645127119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209833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57692.860181452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4.35557670730471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52.2669204876565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12834.946935475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0.233003652059393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0.650892629520058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7.52884009442716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-132441.771834039</v>
      </c>
    </row>
    <row r="134" customFormat="false" ht="15" hidden="false" customHeight="false" outlineLevel="0" collapsed="false">
      <c r="A134" s="3" t="s">
        <v>50</v>
      </c>
      <c r="B134" s="40" t="str">
        <f aca="false">IFERROR(MATCH(1,C106:N106,0),"not in Y1")</f>
        <v>not in Y1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-1544321.69386837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1209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-229883.204915576</v>
      </c>
      <c r="D92" s="37" t="n">
        <f aca="false">D69-D91</f>
        <v>-199321.791038066</v>
      </c>
      <c r="E92" s="37" t="n">
        <f aca="false">E69-E91</f>
        <v>-283501.537732209</v>
      </c>
      <c r="F92" s="37" t="n">
        <f aca="false">F69-F91</f>
        <v>-67760.8663476415</v>
      </c>
      <c r="G92" s="37" t="n">
        <f aca="false">G69-G91</f>
        <v>-24985.5833511413</v>
      </c>
      <c r="H92" s="37" t="n">
        <f aca="false">H69-H91</f>
        <v>-52840.2441432459</v>
      </c>
      <c r="I92" s="37" t="n">
        <f aca="false">I69-I91</f>
        <v>304457.362840912</v>
      </c>
      <c r="J92" s="37" t="n">
        <f aca="false">J69-J91</f>
        <v>343050.504617652</v>
      </c>
      <c r="K92" s="37" t="n">
        <f aca="false">K69-K91</f>
        <v>94312.6257893313</v>
      </c>
      <c r="L92" s="37" t="n">
        <f aca="false">L69-L91</f>
        <v>207129.924410484</v>
      </c>
      <c r="M92" s="37" t="n">
        <f aca="false">M69-M91</f>
        <v>233907.092985795</v>
      </c>
      <c r="N92" s="37" t="n">
        <f aca="false">N69-N91</f>
        <v>226901.227051843</v>
      </c>
      <c r="O92" s="31" t="n">
        <f aca="false">SUM(C92:N92)</f>
        <v>551465.510168139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-2.8050003678375</v>
      </c>
      <c r="D93" s="7" t="n">
        <f aca="false">IFERROR(D92/D57,0)</f>
        <v>-1.32882780382482</v>
      </c>
      <c r="E93" s="7" t="n">
        <f aca="false">IFERROR(E92/E57,0)</f>
        <v>-1.05741077511732</v>
      </c>
      <c r="F93" s="7" t="n">
        <f aca="false">IFERROR(F92/F57,0)</f>
        <v>-0.183249711690377</v>
      </c>
      <c r="G93" s="7" t="n">
        <f aca="false">IFERROR(G92/G57,0)</f>
        <v>-0.0541192939551171</v>
      </c>
      <c r="H93" s="7" t="n">
        <f aca="false">IFERROR(H92/H57,0)</f>
        <v>-0.117887107151984</v>
      </c>
      <c r="I93" s="7" t="n">
        <f aca="false">IFERROR(I92/I57,0)</f>
        <v>0.322539224792692</v>
      </c>
      <c r="J93" s="7" t="n">
        <f aca="false">IFERROR(J92/J57,0)</f>
        <v>0.345829893030294</v>
      </c>
      <c r="K93" s="7" t="n">
        <f aca="false">IFERROR(K92/K57,0)</f>
        <v>0.12792003925584</v>
      </c>
      <c r="L93" s="7" t="n">
        <f aca="false">IFERROR(L92/L57,0)</f>
        <v>0.238368949384997</v>
      </c>
      <c r="M93" s="7" t="n">
        <f aca="false">IFERROR(M92/M57,0)</f>
        <v>0.259750482165384</v>
      </c>
      <c r="N93" s="7" t="n">
        <f aca="false">IFERROR(N92/N57,0)</f>
        <v>0.254379166733019</v>
      </c>
      <c r="O93" s="7" t="n">
        <f aca="false">IFERROR(O92/O57,0)</f>
        <v>0.07751449621183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-304883.204915576</v>
      </c>
      <c r="D94" s="8" t="n">
        <f aca="false">D92-INDEX(Assumptions!$C$163:$E$163,$B$3)</f>
        <v>-274321.791038066</v>
      </c>
      <c r="E94" s="8" t="n">
        <f aca="false">E92-INDEX(Assumptions!$C$163:$E$163,$B$3)</f>
        <v>-358501.537732209</v>
      </c>
      <c r="F94" s="8" t="n">
        <f aca="false">F92-INDEX(Assumptions!$C$163:$E$163,$B$3)</f>
        <v>-142760.866347641</v>
      </c>
      <c r="G94" s="8" t="n">
        <f aca="false">G92-INDEX(Assumptions!$C$163:$E$163,$B$3)</f>
        <v>-99985.5833511413</v>
      </c>
      <c r="H94" s="8" t="n">
        <f aca="false">H92-INDEX(Assumptions!$C$163:$E$163,$B$3)</f>
        <v>-127840.244143246</v>
      </c>
      <c r="I94" s="8" t="n">
        <f aca="false">I92-INDEX(Assumptions!$C$163:$E$163,$B$3)</f>
        <v>229457.362840912</v>
      </c>
      <c r="J94" s="8" t="n">
        <f aca="false">J92-INDEX(Assumptions!$C$163:$E$163,$B$3)</f>
        <v>268050.504617652</v>
      </c>
      <c r="K94" s="8" t="n">
        <f aca="false">K92-INDEX(Assumptions!$C$163:$E$163,$B$3)</f>
        <v>19312.6257893313</v>
      </c>
      <c r="L94" s="8" t="n">
        <f aca="false">L92-INDEX(Assumptions!$C$163:$E$163,$B$3)</f>
        <v>132129.924410484</v>
      </c>
      <c r="M94" s="8" t="n">
        <f aca="false">M92-INDEX(Assumptions!$C$163:$E$163,$B$3)</f>
        <v>158907.092985795</v>
      </c>
      <c r="N94" s="8" t="n">
        <f aca="false">N92-INDEX(Assumptions!$C$163:$E$163,$B$3)</f>
        <v>151901.227051843</v>
      </c>
      <c r="O94" s="37" t="n">
        <f aca="false">SUM(C94:N94)</f>
        <v>-348534.489831861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-405618.376441</v>
      </c>
      <c r="D103" s="37" t="n">
        <f aca="false">D92+D102-D101</f>
        <v>-222399.787334676</v>
      </c>
      <c r="E103" s="37" t="n">
        <f aca="false">E92+E102-E101</f>
        <v>-313958.159634751</v>
      </c>
      <c r="F103" s="37" t="n">
        <f aca="false">F92+F102-F101</f>
        <v>-99510.9071315398</v>
      </c>
      <c r="G103" s="37" t="n">
        <f aca="false">G92+G102-G101</f>
        <v>-67567.6850460565</v>
      </c>
      <c r="H103" s="37" t="n">
        <f aca="false">H92+H102-H101</f>
        <v>-1505168.60360357</v>
      </c>
      <c r="I103" s="37" t="n">
        <f aca="false">I92+I102-I101</f>
        <v>74091.1807616272</v>
      </c>
      <c r="J103" s="37" t="n">
        <f aca="false">J92+J102-J101</f>
        <v>-18565.5111935092</v>
      </c>
      <c r="K103" s="37" t="n">
        <f aca="false">K92+K102-K101</f>
        <v>230105.705621523</v>
      </c>
      <c r="L103" s="37" t="n">
        <f aca="false">L92+L102-L101</f>
        <v>147763.786700973</v>
      </c>
      <c r="M103" s="37" t="n">
        <f aca="false">M92+M102-M101</f>
        <v>227492.519578069</v>
      </c>
      <c r="N103" s="37" t="n">
        <f aca="false">N92+N102-N101</f>
        <v>240375.076704607</v>
      </c>
      <c r="O103" s="31" t="n">
        <f aca="false">SUM(C103:N103)</f>
        <v>-1712960.7610183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-405618.376441</v>
      </c>
      <c r="D104" s="37" t="n">
        <f aca="false">C104+D103</f>
        <v>-628018.163775676</v>
      </c>
      <c r="E104" s="37" t="n">
        <f aca="false">D104+E103</f>
        <v>-941976.323410427</v>
      </c>
      <c r="F104" s="37" t="n">
        <f aca="false">E104+F103</f>
        <v>-1041487.23054197</v>
      </c>
      <c r="G104" s="37" t="n">
        <f aca="false">F104+G103</f>
        <v>-1109054.91558802</v>
      </c>
      <c r="H104" s="37" t="n">
        <f aca="false">G104+H103</f>
        <v>-2614223.51919159</v>
      </c>
      <c r="I104" s="37" t="n">
        <f aca="false">H104+I103</f>
        <v>-2540132.33842996</v>
      </c>
      <c r="J104" s="37" t="n">
        <f aca="false">I104+J103</f>
        <v>-2558697.84962347</v>
      </c>
      <c r="K104" s="37" t="n">
        <f aca="false">J104+K103</f>
        <v>-2328592.14400195</v>
      </c>
      <c r="L104" s="37" t="n">
        <f aca="false">K104+L103</f>
        <v>-2180828.35730098</v>
      </c>
      <c r="M104" s="37" t="n">
        <f aca="false">L104+M103</f>
        <v>-1953335.83772291</v>
      </c>
      <c r="N104" s="37" t="n">
        <f aca="false">M104+N103</f>
        <v>-1712960.7610183</v>
      </c>
      <c r="O104" s="31" t="n">
        <f aca="false">N104</f>
        <v>-1712960.7610183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405618.376441</v>
      </c>
      <c r="D105" s="37" t="n">
        <f aca="false">-MIN(0,MIN($C$104:D104))</f>
        <v>628018.163775676</v>
      </c>
      <c r="E105" s="37" t="n">
        <f aca="false">-MIN(0,MIN($C$104:E104))</f>
        <v>941976.323410427</v>
      </c>
      <c r="F105" s="37" t="n">
        <f aca="false">-MIN(0,MIN($C$104:F104))</f>
        <v>1041487.23054197</v>
      </c>
      <c r="G105" s="37" t="n">
        <f aca="false">-MIN(0,MIN($C$104:G104))</f>
        <v>1109054.91558802</v>
      </c>
      <c r="H105" s="37" t="n">
        <f aca="false">-MIN(0,MIN($C$104:H104))</f>
        <v>2614223.51919159</v>
      </c>
      <c r="I105" s="37" t="n">
        <f aca="false">-MIN(0,MIN($C$104:I104))</f>
        <v>2614223.51919159</v>
      </c>
      <c r="J105" s="37" t="n">
        <f aca="false">-MIN(0,MIN($C$104:J104))</f>
        <v>2614223.51919159</v>
      </c>
      <c r="K105" s="37" t="n">
        <f aca="false">-MIN(0,MIN($C$104:K104))</f>
        <v>2614223.51919159</v>
      </c>
      <c r="L105" s="37" t="n">
        <f aca="false">-MIN(0,MIN($C$104:L104))</f>
        <v>2614223.51919159</v>
      </c>
      <c r="M105" s="37" t="n">
        <f aca="false">-MIN(0,MIN($C$104:M104))</f>
        <v>2614223.51919159</v>
      </c>
      <c r="N105" s="37" t="n">
        <f aca="false">-MIN(0,MIN($C$104:N104))</f>
        <v>2614223.51919159</v>
      </c>
      <c r="O105" s="31" t="n">
        <f aca="false">MAX(C105:N105)</f>
        <v>2614223.51919159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551465.510168139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0.07751449621183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-348534.489831861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2614223.51919159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385776.480808409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5.47965738818625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65.755888658235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667938.244448122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-1712960.7610183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1210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3</v>
      </c>
      <c r="C3" s="13" t="s">
        <v>1088</v>
      </c>
      <c r="D3" s="34" t="n">
        <v>3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0.908333333333333</v>
      </c>
      <c r="D11" s="7" t="n">
        <f aca="false">IF(2&lt;=6,1-(1-INDEX(Assumptions!$C$157:$E$157,$D$3))*2/6,INDEX(Assumptions!$C$157:$E$157,$D$3)-(INDEX(Assumptions!$C$157:$E$157,$D$3)-INDEX(Assumptions!$C$158:$E$158,$D$3))*(2-6)/6)</f>
        <v>0.816666666666667</v>
      </c>
      <c r="E11" s="7" t="n">
        <f aca="false">IF(3&lt;=6,1-(1-INDEX(Assumptions!$C$157:$E$157,$D$3))*3/6,INDEX(Assumptions!$C$157:$E$157,$D$3)-(INDEX(Assumptions!$C$157:$E$157,$D$3)-INDEX(Assumptions!$C$158:$E$158,$D$3))*(3-6)/6)</f>
        <v>0.725</v>
      </c>
      <c r="F11" s="7" t="n">
        <f aca="false">IF(4&lt;=6,1-(1-INDEX(Assumptions!$C$157:$E$157,$D$3))*4/6,INDEX(Assumptions!$C$157:$E$157,$D$3)-(INDEX(Assumptions!$C$157:$E$157,$D$3)-INDEX(Assumptions!$C$158:$E$158,$D$3))*(4-6)/6)</f>
        <v>0.633333333333333</v>
      </c>
      <c r="G11" s="7" t="n">
        <f aca="false">IF(5&lt;=6,1-(1-INDEX(Assumptions!$C$157:$E$157,$D$3))*5/6,INDEX(Assumptions!$C$157:$E$157,$D$3)-(INDEX(Assumptions!$C$157:$E$157,$D$3)-INDEX(Assumptions!$C$158:$E$158,$D$3))*(5-6)/6)</f>
        <v>0.541666666666667</v>
      </c>
      <c r="H11" s="7" t="n">
        <f aca="false">IF(6&lt;=6,1-(1-INDEX(Assumptions!$C$157:$E$157,$D$3))*6/6,INDEX(Assumptions!$C$157:$E$157,$D$3)-(INDEX(Assumptions!$C$157:$E$157,$D$3)-INDEX(Assumptions!$C$158:$E$158,$D$3))*(6-6)/6)</f>
        <v>0.45</v>
      </c>
      <c r="I11" s="7" t="n">
        <f aca="false">IF(7&lt;=6,1-(1-INDEX(Assumptions!$C$157:$E$157,$D$3))*7/6,INDEX(Assumptions!$C$157:$E$157,$D$3)-(INDEX(Assumptions!$C$157:$E$157,$D$3)-INDEX(Assumptions!$C$158:$E$158,$D$3))*(7-6)/6)</f>
        <v>0.416666666666667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0.383333333333333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0.35</v>
      </c>
      <c r="L11" s="7" t="n">
        <f aca="false">IF(10&lt;=6,1-(1-INDEX(Assumptions!$C$157:$E$157,$D$3))*10/6,INDEX(Assumptions!$C$157:$E$157,$D$3)-(INDEX(Assumptions!$C$157:$E$157,$D$3)-INDEX(Assumptions!$C$158:$E$158,$D$3))*(10-6)/6)</f>
        <v>0.316666666666667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0.283333333333333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0.25</v>
      </c>
      <c r="O11" s="36" t="n">
        <f aca="false">N11</f>
        <v>0.25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3</v>
      </c>
      <c r="D13" s="27" t="n">
        <f aca="false">INDEX(Assumptions!$C$9:$E$9,$B$3)*INDEX(Assumptions!$C$12:$E$12,$B$3)/12</f>
        <v>3</v>
      </c>
      <c r="E13" s="27" t="n">
        <f aca="false">INDEX(Assumptions!$C$9:$E$9,$B$3)*INDEX(Assumptions!$C$12:$E$12,$B$3)/12</f>
        <v>3</v>
      </c>
      <c r="F13" s="27" t="n">
        <f aca="false">INDEX(Assumptions!$C$9:$E$9,$B$3)*INDEX(Assumptions!$C$12:$E$12,$B$3)/12</f>
        <v>3</v>
      </c>
      <c r="G13" s="27" t="n">
        <f aca="false">INDEX(Assumptions!$C$9:$E$9,$B$3)*INDEX(Assumptions!$C$12:$E$12,$B$3)/12</f>
        <v>3</v>
      </c>
      <c r="H13" s="27" t="n">
        <f aca="false">INDEX(Assumptions!$C$9:$E$9,$B$3)*INDEX(Assumptions!$C$12:$E$12,$B$3)/12</f>
        <v>3</v>
      </c>
      <c r="I13" s="27" t="n">
        <f aca="false">INDEX(Assumptions!$C$9:$E$9,$B$3)*INDEX(Assumptions!$C$12:$E$12,$B$3)/12</f>
        <v>3</v>
      </c>
      <c r="J13" s="27" t="n">
        <f aca="false">INDEX(Assumptions!$C$9:$E$9,$B$3)*INDEX(Assumptions!$C$12:$E$12,$B$3)/12</f>
        <v>3</v>
      </c>
      <c r="K13" s="27" t="n">
        <f aca="false">INDEX(Assumptions!$C$9:$E$9,$B$3)*INDEX(Assumptions!$C$12:$E$12,$B$3)/12</f>
        <v>3</v>
      </c>
      <c r="L13" s="27" t="n">
        <f aca="false">INDEX(Assumptions!$C$9:$E$9,$B$3)*INDEX(Assumptions!$C$12:$E$12,$B$3)/12</f>
        <v>3</v>
      </c>
      <c r="M13" s="27" t="n">
        <f aca="false">INDEX(Assumptions!$C$9:$E$9,$B$3)*INDEX(Assumptions!$C$12:$E$12,$B$3)/12</f>
        <v>3</v>
      </c>
      <c r="N13" s="27" t="n">
        <f aca="false">INDEX(Assumptions!$C$9:$E$9,$B$3)*INDEX(Assumptions!$C$12:$E$12,$B$3)/12</f>
        <v>3</v>
      </c>
      <c r="O13" s="35" t="n">
        <f aca="false">SUM(C13:N13)</f>
        <v>36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3</v>
      </c>
      <c r="D14" s="27" t="n">
        <f aca="false">D13+(INDEX(Assumptions!$C$25:$E$25,$D$3)-D13)*MIN(1,(2-1)/6)</f>
        <v>5</v>
      </c>
      <c r="E14" s="27" t="n">
        <f aca="false">E13+(INDEX(Assumptions!$C$25:$E$25,$D$3)-E13)*MIN(1,(3-1)/6)</f>
        <v>7</v>
      </c>
      <c r="F14" s="27" t="n">
        <f aca="false">F13+(INDEX(Assumptions!$C$25:$E$25,$D$3)-F13)*MIN(1,(4-1)/6)</f>
        <v>9</v>
      </c>
      <c r="G14" s="27" t="n">
        <f aca="false">G13+(INDEX(Assumptions!$C$25:$E$25,$D$3)-G13)*MIN(1,(5-1)/6)</f>
        <v>11</v>
      </c>
      <c r="H14" s="27" t="n">
        <f aca="false">H13+(INDEX(Assumptions!$C$25:$E$25,$D$3)-H13)*MIN(1,(6-1)/6)</f>
        <v>13</v>
      </c>
      <c r="I14" s="27" t="n">
        <f aca="false">I13+(INDEX(Assumptions!$C$25:$E$25,$D$3)-I13)*MIN(1,(7-1)/6)</f>
        <v>15</v>
      </c>
      <c r="J14" s="27" t="n">
        <f aca="false">J13+(INDEX(Assumptions!$C$25:$E$25,$D$3)-J13)*MIN(1,(8-1)/6)</f>
        <v>15</v>
      </c>
      <c r="K14" s="27" t="n">
        <f aca="false">K13+(INDEX(Assumptions!$C$25:$E$25,$D$3)-K13)*MIN(1,(9-1)/6)</f>
        <v>15</v>
      </c>
      <c r="L14" s="27" t="n">
        <f aca="false">L13+(INDEX(Assumptions!$C$25:$E$25,$D$3)-L13)*MIN(1,(10-1)/6)</f>
        <v>15</v>
      </c>
      <c r="M14" s="27" t="n">
        <f aca="false">M13+(INDEX(Assumptions!$C$25:$E$25,$D$3)-M13)*MIN(1,(11-1)/6)</f>
        <v>15</v>
      </c>
      <c r="N14" s="27" t="n">
        <f aca="false">N13+(INDEX(Assumptions!$C$25:$E$25,$D$3)-N13)*MIN(1,(12-1)/6)</f>
        <v>15</v>
      </c>
      <c r="O14" s="35" t="n">
        <f aca="false">SUM(C14:N14)</f>
        <v>138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50000</v>
      </c>
      <c r="E15" s="8" t="n">
        <f aca="false">INDEX(Assumptions!$C$123:$E$123,$D$3)*$J$4</f>
        <v>60000</v>
      </c>
      <c r="F15" s="8" t="n">
        <f aca="false">INDEX(Assumptions!$C$124:$E$124,$D$3)*$J$4</f>
        <v>70000</v>
      </c>
      <c r="G15" s="8" t="n">
        <f aca="false">INDEX(Assumptions!$C$125:$E$125,$D$3)*$J$4</f>
        <v>120000</v>
      </c>
      <c r="H15" s="8" t="n">
        <f aca="false">INDEX(Assumptions!$C$126:$E$126,$D$3)*$J$4</f>
        <v>170000</v>
      </c>
      <c r="I15" s="8" t="n">
        <f aca="false">INDEX(Assumptions!$C$127:$E$127,$D$3)*$J$4</f>
        <v>200000</v>
      </c>
      <c r="J15" s="8" t="n">
        <f aca="false">INDEX(Assumptions!$C$128:$E$128,$D$3)*$J$4</f>
        <v>200000</v>
      </c>
      <c r="K15" s="8" t="n">
        <f aca="false">INDEX(Assumptions!$C$129:$E$129,$D$3)*$J$4</f>
        <v>200000</v>
      </c>
      <c r="L15" s="8" t="n">
        <f aca="false">INDEX(Assumptions!$C$130:$E$130,$D$3)*$J$4</f>
        <v>200000</v>
      </c>
      <c r="M15" s="8" t="n">
        <f aca="false">INDEX(Assumptions!$C$131:$E$131,$D$3)*$J$4</f>
        <v>200000</v>
      </c>
      <c r="N15" s="8" t="n">
        <f aca="false">INDEX(Assumptions!$C$132:$E$132,$D$3)*$J$4</f>
        <v>200000</v>
      </c>
      <c r="O15" s="37" t="n">
        <f aca="false">SUM(C15:N15)</f>
        <v>1685000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3437.62950683796</v>
      </c>
      <c r="D16" s="8" t="n">
        <f aca="false">INDEX(Assumptions!$C$115:$E$115,$B$3)*INDEX(Assumptions!$C$120:$E$120,$B$3)*$L$3/$F$3</f>
        <v>3437.62950683796</v>
      </c>
      <c r="E16" s="8" t="n">
        <f aca="false">INDEX(Assumptions!$C$115:$E$115,$B$3)*INDEX(Assumptions!$C$120:$E$120,$B$3)*$L$3/$F$3</f>
        <v>3437.62950683796</v>
      </c>
      <c r="F16" s="8" t="n">
        <f aca="false">INDEX(Assumptions!$C$115:$E$115,$B$3)*INDEX(Assumptions!$C$120:$E$120,$B$3)*$L$3/$F$3</f>
        <v>3437.62950683796</v>
      </c>
      <c r="G16" s="8" t="n">
        <f aca="false">INDEX(Assumptions!$C$115:$E$115,$B$3)*INDEX(Assumptions!$C$120:$E$120,$B$3)*$L$3/$F$3</f>
        <v>3437.62950683796</v>
      </c>
      <c r="H16" s="8" t="n">
        <f aca="false">INDEX(Assumptions!$C$115:$E$115,$B$3)*INDEX(Assumptions!$C$120:$E$120,$B$3)*$L$3/$F$3</f>
        <v>3437.62950683796</v>
      </c>
      <c r="I16" s="8" t="n">
        <f aca="false">INDEX(Assumptions!$C$115:$E$115,$B$3)*INDEX(Assumptions!$C$120:$E$120,$B$3)*$L$3/$F$3</f>
        <v>3437.62950683796</v>
      </c>
      <c r="J16" s="8" t="n">
        <f aca="false">INDEX(Assumptions!$C$115:$E$115,$B$3)*INDEX(Assumptions!$C$120:$E$120,$B$3)*$L$3/$F$3</f>
        <v>3437.62950683796</v>
      </c>
      <c r="K16" s="8" t="n">
        <f aca="false">INDEX(Assumptions!$C$115:$E$115,$B$3)*INDEX(Assumptions!$C$120:$E$120,$B$3)*$L$3/$F$3</f>
        <v>3437.62950683796</v>
      </c>
      <c r="L16" s="8" t="n">
        <f aca="false">INDEX(Assumptions!$C$115:$E$115,$B$3)*INDEX(Assumptions!$C$120:$E$120,$B$3)*$L$3/$F$3</f>
        <v>3437.62950683796</v>
      </c>
      <c r="M16" s="8" t="n">
        <f aca="false">INDEX(Assumptions!$C$115:$E$115,$B$3)*INDEX(Assumptions!$C$120:$E$120,$B$3)*$L$3/$F$3</f>
        <v>3437.62950683796</v>
      </c>
      <c r="N16" s="8" t="n">
        <f aca="false">INDEX(Assumptions!$C$115:$E$115,$B$3)*INDEX(Assumptions!$C$120:$E$120,$B$3)*$L$3/$F$3</f>
        <v>3437.62950683796</v>
      </c>
      <c r="O16" s="37" t="n">
        <f aca="false">AVERAGE(C16:N16)</f>
        <v>3437.62950683796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0.839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1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0.986583333333333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3.05443037974684</v>
      </c>
      <c r="D18" s="27" t="n">
        <f aca="false">D15*INDEX(Assumptions!$C$119:$E$119,$B$3)/D16</f>
        <v>10.1814345991561</v>
      </c>
      <c r="E18" s="27" t="n">
        <f aca="false">E15*INDEX(Assumptions!$C$119:$E$119,$B$3)/E16</f>
        <v>12.2177215189873</v>
      </c>
      <c r="F18" s="27" t="n">
        <f aca="false">F15*INDEX(Assumptions!$C$119:$E$119,$B$3)/F16</f>
        <v>14.2540084388186</v>
      </c>
      <c r="G18" s="27" t="n">
        <f aca="false">G15*INDEX(Assumptions!$C$119:$E$119,$B$3)/G16</f>
        <v>24.4354430379747</v>
      </c>
      <c r="H18" s="27" t="n">
        <f aca="false">H15*INDEX(Assumptions!$C$119:$E$119,$B$3)/H16</f>
        <v>34.6168776371308</v>
      </c>
      <c r="I18" s="27" t="n">
        <f aca="false">I15*INDEX(Assumptions!$C$119:$E$119,$B$3)/I16</f>
        <v>40.7257383966245</v>
      </c>
      <c r="J18" s="27" t="n">
        <f aca="false">J15*INDEX(Assumptions!$C$119:$E$119,$B$3)/J16</f>
        <v>40.7257383966245</v>
      </c>
      <c r="K18" s="27" t="n">
        <f aca="false">K15*INDEX(Assumptions!$C$119:$E$119,$B$3)/K16</f>
        <v>40.7257383966245</v>
      </c>
      <c r="L18" s="27" t="n">
        <f aca="false">L15*INDEX(Assumptions!$C$119:$E$119,$B$3)/L16</f>
        <v>40.7257383966245</v>
      </c>
      <c r="M18" s="27" t="n">
        <f aca="false">M15*INDEX(Assumptions!$C$119:$E$119,$B$3)/M16</f>
        <v>40.7257383966245</v>
      </c>
      <c r="N18" s="27" t="n">
        <f aca="false">N15*INDEX(Assumptions!$C$119:$E$119,$B$3)/N16</f>
        <v>40.7257383966245</v>
      </c>
      <c r="O18" s="35" t="n">
        <f aca="false">SUM(C18:N18)</f>
        <v>343.114345991561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2.0136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3.75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4.9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7.2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9.9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13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19.5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20.25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18.75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16.5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15.75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15</v>
      </c>
      <c r="O19" s="38" t="n">
        <f aca="false">SUM(C19:N19)</f>
        <v>146.5136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16</v>
      </c>
      <c r="G20" s="8" t="n">
        <f aca="false">IF(5&gt;=INDEX(Assumptions!$C$173:$E$173,$D$3),INDEX(Assumptions!$C$176:$E$176,$D$3),INDEX(Assumptions!$C$171:$E$171,$B$3))</f>
        <v>16</v>
      </c>
      <c r="H20" s="8" t="n">
        <f aca="false">IF(6&gt;=INDEX(Assumptions!$C$173:$E$173,$D$3),INDEX(Assumptions!$C$176:$E$176,$D$3),INDEX(Assumptions!$C$171:$E$171,$B$3))</f>
        <v>16</v>
      </c>
      <c r="I20" s="8" t="n">
        <f aca="false">IF(7&gt;=INDEX(Assumptions!$C$173:$E$173,$D$3),INDEX(Assumptions!$C$176:$E$176,$D$3),INDEX(Assumptions!$C$171:$E$171,$B$3))</f>
        <v>16</v>
      </c>
      <c r="J20" s="8" t="n">
        <f aca="false">IF(8&gt;=INDEX(Assumptions!$C$173:$E$173,$D$3),INDEX(Assumptions!$C$176:$E$176,$D$3),INDEX(Assumptions!$C$171:$E$171,$B$3))</f>
        <v>16</v>
      </c>
      <c r="K20" s="8" t="n">
        <f aca="false">IF(9&gt;=INDEX(Assumptions!$C$173:$E$173,$D$3),INDEX(Assumptions!$C$176:$E$176,$D$3),INDEX(Assumptions!$C$171:$E$171,$B$3))</f>
        <v>16</v>
      </c>
      <c r="L20" s="8" t="n">
        <f aca="false">IF(10&gt;=INDEX(Assumptions!$C$173:$E$173,$D$3),INDEX(Assumptions!$C$176:$E$176,$D$3),INDEX(Assumptions!$C$171:$E$171,$B$3))</f>
        <v>16</v>
      </c>
      <c r="M20" s="8" t="n">
        <f aca="false">IF(11&gt;=INDEX(Assumptions!$C$173:$E$173,$D$3),INDEX(Assumptions!$C$176:$E$176,$D$3),INDEX(Assumptions!$C$171:$E$171,$B$3))</f>
        <v>16</v>
      </c>
      <c r="N20" s="8" t="n">
        <f aca="false">IF(12&gt;=INDEX(Assumptions!$C$173:$E$173,$D$3),INDEX(Assumptions!$C$176:$E$176,$D$3),INDEX(Assumptions!$C$171:$E$171,$B$3))</f>
        <v>16</v>
      </c>
      <c r="O20" s="37" t="n">
        <f aca="false">N20</f>
        <v>16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2.5</v>
      </c>
      <c r="G21" s="6" t="n">
        <f aca="false">IF(5&gt;=INDEX(Assumptions!$C$173:$E$173,$D$3),INDEX(Assumptions!$C$177:$E$177,$D$3),INDEX(Assumptions!$C$172:$E$172,$D$3))</f>
        <v>2.5</v>
      </c>
      <c r="H21" s="6" t="n">
        <f aca="false">IF(6&gt;=INDEX(Assumptions!$C$173:$E$173,$D$3),INDEX(Assumptions!$C$177:$E$177,$D$3),INDEX(Assumptions!$C$172:$E$172,$D$3))</f>
        <v>2.5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36</v>
      </c>
      <c r="G22" s="6" t="n">
        <f aca="false">G20*G21*INDEX(Assumptions!$C$178:$E$178,$B$3)</f>
        <v>36</v>
      </c>
      <c r="H22" s="6" t="n">
        <f aca="false">H20*H21*INDEX(Assumptions!$C$178:$E$178,$B$3)</f>
        <v>36</v>
      </c>
      <c r="I22" s="6" t="n">
        <f aca="false">I20*I21*INDEX(Assumptions!$C$178:$E$178,$B$3)</f>
        <v>36</v>
      </c>
      <c r="J22" s="6" t="n">
        <f aca="false">J20*J21*INDEX(Assumptions!$C$178:$E$178,$B$3)</f>
        <v>36</v>
      </c>
      <c r="K22" s="6" t="n">
        <f aca="false">K20*K21*INDEX(Assumptions!$C$178:$E$178,$B$3)</f>
        <v>36</v>
      </c>
      <c r="L22" s="6" t="n">
        <f aca="false">L20*L21*INDEX(Assumptions!$C$178:$E$178,$B$3)</f>
        <v>36</v>
      </c>
      <c r="M22" s="6" t="n">
        <f aca="false">M20*M21*INDEX(Assumptions!$C$178:$E$178,$B$3)</f>
        <v>36</v>
      </c>
      <c r="N22" s="6" t="n">
        <f aca="false">N20*N21*INDEX(Assumptions!$C$178:$E$178,$B$3)</f>
        <v>36</v>
      </c>
      <c r="O22" s="39" t="n">
        <f aca="false">N22</f>
        <v>36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0.35</v>
      </c>
      <c r="K23" s="7" t="n">
        <f aca="false">IF(9&gt;=INDEX(Assumptions!$C$189:$E$189,$D$3),INDEX(Assumptions!$C$74:$E$74,$B$3),0)</f>
        <v>0.35</v>
      </c>
      <c r="L23" s="7" t="n">
        <f aca="false">IF(10&gt;=INDEX(Assumptions!$C$189:$E$189,$D$3),INDEX(Assumptions!$C$74:$E$74,$B$3),0)</f>
        <v>0.35</v>
      </c>
      <c r="M23" s="7" t="n">
        <f aca="false">IF(11&gt;=INDEX(Assumptions!$C$189:$E$189,$D$3),INDEX(Assumptions!$C$74:$E$74,$B$3),0)</f>
        <v>0.35</v>
      </c>
      <c r="N23" s="7" t="n">
        <f aca="false">IF(12&gt;=INDEX(Assumptions!$C$189:$E$189,$D$3),INDEX(Assumptions!$C$74:$E$74,$B$3),0)</f>
        <v>0.35</v>
      </c>
      <c r="O23" s="36" t="n">
        <f aca="false">N23</f>
        <v>0.35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1.40952</v>
      </c>
      <c r="E24" s="6" t="n">
        <f aca="false">D27+C27+D30+C30+1.25*D28</f>
        <v>4.276152</v>
      </c>
      <c r="F24" s="6" t="n">
        <f aca="false">E27+D27+E30+D30+1.25*E28</f>
        <v>6.746632</v>
      </c>
      <c r="G24" s="6" t="n">
        <f aca="false">F27+E27+F30+E30+1.25*F28</f>
        <v>9.508</v>
      </c>
      <c r="H24" s="6" t="n">
        <f aca="false">G27+F27+G30+F30+1.25*G28</f>
        <v>13.422</v>
      </c>
      <c r="I24" s="6" t="n">
        <f aca="false">H27+G27+H30+G30+1.25*H28</f>
        <v>18.082</v>
      </c>
      <c r="J24" s="6" t="n">
        <f aca="false">I27+H27+I30+H30+1.25*I28</f>
        <v>23.2287777777778</v>
      </c>
      <c r="K24" s="6" t="n">
        <f aca="false">J27+I27+J30+I30+1.25*J28</f>
        <v>22.4078600748294</v>
      </c>
      <c r="L24" s="6" t="n">
        <f aca="false">K27+J27+K30+J30+1.25*K28</f>
        <v>16.0832559304507</v>
      </c>
      <c r="M24" s="6" t="n">
        <f aca="false">L27+K27+L30+K30+1.25*L28</f>
        <v>20.3129184419865</v>
      </c>
      <c r="N24" s="6" t="n">
        <f aca="false">M27+L27+M30+L30+1.25*M28</f>
        <v>20.6709367722005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2.0136</v>
      </c>
      <c r="D25" s="6" t="n">
        <f aca="false">D19*(INDEX(Assumptions!$C$26:$E$26,$B$3)*(1-D23)+INDEX(Assumptions!$C$26:$E$26,$B$3)*D23*1.25+(1-INDEX(Assumptions!$C$26:$E$26,$B$3)))+C29*INDEX(Assumptions!$C$89:$E$89,$B$3)</f>
        <v>3.991632</v>
      </c>
      <c r="E25" s="6" t="n">
        <f aca="false">E19*(INDEX(Assumptions!$C$26:$E$26,$B$3)*(1-E23)+INDEX(Assumptions!$C$26:$E$26,$B$3)*E23*1.25+(1-INDEX(Assumptions!$C$26:$E$26,$B$3)))+D29*INDEX(Assumptions!$C$89:$E$89,$B$3)</f>
        <v>5.35</v>
      </c>
      <c r="F25" s="6" t="n">
        <f aca="false">F19*(INDEX(Assumptions!$C$26:$E$26,$B$3)*(1-F23)+INDEX(Assumptions!$C$26:$E$26,$B$3)*F23*1.25+(1-INDEX(Assumptions!$C$26:$E$26,$B$3)))+E29*INDEX(Assumptions!$C$89:$E$89,$B$3)</f>
        <v>7.788</v>
      </c>
      <c r="G25" s="6" t="n">
        <f aca="false">G19*(INDEX(Assumptions!$C$26:$E$26,$B$3)*(1-G23)+INDEX(Assumptions!$C$26:$E$26,$B$3)*G23*1.25+(1-INDEX(Assumptions!$C$26:$E$26,$B$3)))+F29*INDEX(Assumptions!$C$89:$E$89,$B$3)</f>
        <v>10.764</v>
      </c>
      <c r="H25" s="6" t="n">
        <f aca="false">H19*(INDEX(Assumptions!$C$26:$E$26,$B$3)*(1-H23)+INDEX(Assumptions!$C$26:$E$26,$B$3)*H23*1.25+(1-INDEX(Assumptions!$C$26:$E$26,$B$3)))+G29*INDEX(Assumptions!$C$89:$E$89,$B$3)</f>
        <v>14.188</v>
      </c>
      <c r="I25" s="6" t="n">
        <f aca="false">I19*(INDEX(Assumptions!$C$26:$E$26,$B$3)*(1-I23)+INDEX(Assumptions!$C$26:$E$26,$B$3)*I23*1.25+(1-INDEX(Assumptions!$C$26:$E$26,$B$3)))+H29*INDEX(Assumptions!$C$89:$E$89,$B$3)</f>
        <v>21.06</v>
      </c>
      <c r="J25" s="6" t="n">
        <f aca="false">J19*(INDEX(Assumptions!$C$26:$E$26,$B$3)*(1-J23)+INDEX(Assumptions!$C$26:$E$26,$B$3)*J23*1.25+(1-INDEX(Assumptions!$C$26:$E$26,$B$3)))+I29*INDEX(Assumptions!$C$89:$E$89,$B$3)</f>
        <v>23.4812013888889</v>
      </c>
      <c r="K25" s="6" t="n">
        <f aca="false">K19*(INDEX(Assumptions!$C$26:$E$26,$B$3)*(1-K23)+INDEX(Assumptions!$C$26:$E$26,$B$3)*K23*1.25+(1-INDEX(Assumptions!$C$26:$E$26,$B$3)))+J29*INDEX(Assumptions!$C$89:$E$89,$B$3)</f>
        <v>21.2200934700683</v>
      </c>
      <c r="L25" s="6" t="n">
        <f aca="false">L19*(INDEX(Assumptions!$C$26:$E$26,$B$3)*(1-L23)+INDEX(Assumptions!$C$26:$E$26,$B$3)*L23*1.25+(1-INDEX(Assumptions!$C$26:$E$26,$B$3)))+K29*INDEX(Assumptions!$C$89:$E$89,$B$3)</f>
        <v>18.951821047264</v>
      </c>
      <c r="M25" s="6" t="n">
        <f aca="false">M19*(INDEX(Assumptions!$C$26:$E$26,$B$3)*(1-M23)+INDEX(Assumptions!$C$26:$E$26,$B$3)*M23*1.25+(1-INDEX(Assumptions!$C$26:$E$26,$B$3)))+L29*INDEX(Assumptions!$C$89:$E$89,$B$3)</f>
        <v>18.6946875</v>
      </c>
      <c r="N25" s="6" t="n">
        <f aca="false">N19*(INDEX(Assumptions!$C$26:$E$26,$B$3)*(1-N23)+INDEX(Assumptions!$C$26:$E$26,$B$3)*N23*1.25+(1-INDEX(Assumptions!$C$26:$E$26,$B$3)))+M29*INDEX(Assumptions!$C$89:$E$89,$B$3)</f>
        <v>17.5046863332308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1</v>
      </c>
      <c r="I26" s="7" t="n">
        <f aca="false">IF(I25&lt;=0,1,MAX(0,MIN(1,(I22-I24)/I25)))</f>
        <v>0.850807217473884</v>
      </c>
      <c r="J26" s="7" t="n">
        <f aca="false">IF(J25&lt;=0,1,MAX(0,MIN(1,(J22-J24)/J25)))</f>
        <v>0.543891345707101</v>
      </c>
      <c r="K26" s="7" t="n">
        <f aca="false">IF(K25&lt;=0,1,MAX(0,MIN(1,(K22-K24)/K25)))</f>
        <v>0.640531576561756</v>
      </c>
      <c r="L26" s="7" t="n">
        <f aca="false">IF(L25&lt;=0,1,MAX(0,MIN(1,(L22-L24)/L25)))</f>
        <v>1</v>
      </c>
      <c r="M26" s="7" t="n">
        <f aca="false">IF(M25&lt;=0,1,MAX(0,MIN(1,(M22-M24)/M25)))</f>
        <v>0.839119753032165</v>
      </c>
      <c r="N26" s="7" t="n">
        <f aca="false">IF(N25&lt;=0,1,MAX(0,MIN(1,(N22-N24)/N25)))</f>
        <v>0.875711962841569</v>
      </c>
      <c r="O26" s="7" t="n">
        <f aca="false">MIN(C26:N26)</f>
        <v>0.543891345707101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1.40952</v>
      </c>
      <c r="D27" s="35" t="n">
        <f aca="false">D19*INDEX(Assumptions!$C$26:$E$26,$B$3)*(1-D23)*D26</f>
        <v>2.625</v>
      </c>
      <c r="E27" s="35" t="n">
        <f aca="false">E19*INDEX(Assumptions!$C$26:$E$26,$B$3)*(1-E23)*E26</f>
        <v>3.43</v>
      </c>
      <c r="F27" s="35" t="n">
        <f aca="false">F19*INDEX(Assumptions!$C$26:$E$26,$B$3)*(1-F23)*F26</f>
        <v>5.04</v>
      </c>
      <c r="G27" s="35" t="n">
        <f aca="false">G19*INDEX(Assumptions!$C$26:$E$26,$B$3)*(1-G23)*G26</f>
        <v>6.93</v>
      </c>
      <c r="H27" s="35" t="n">
        <f aca="false">H19*INDEX(Assumptions!$C$26:$E$26,$B$3)*(1-H23)*H26</f>
        <v>9.1</v>
      </c>
      <c r="I27" s="35" t="n">
        <f aca="false">I19*INDEX(Assumptions!$C$26:$E$26,$B$3)*(1-I23)*I26</f>
        <v>11.6135185185185</v>
      </c>
      <c r="J27" s="35" t="n">
        <f aca="false">J19*INDEX(Assumptions!$C$26:$E$26,$B$3)*(1-J23)*J26</f>
        <v>5.0112788865088</v>
      </c>
      <c r="K27" s="35" t="n">
        <f aca="false">K19*INDEX(Assumptions!$C$26:$E$26,$B$3)*(1-K23)*K26</f>
        <v>5.46453501254248</v>
      </c>
      <c r="L27" s="35" t="n">
        <f aca="false">L19*INDEX(Assumptions!$C$26:$E$26,$B$3)*(1-L23)*L26</f>
        <v>7.5075</v>
      </c>
      <c r="M27" s="35" t="n">
        <f aca="false">M19*INDEX(Assumptions!$C$26:$E$26,$B$3)*(1-M23)*M26</f>
        <v>6.01334193016675</v>
      </c>
      <c r="N27" s="35" t="n">
        <f aca="false">N19*INDEX(Assumptions!$C$26:$E$26,$B$3)*(1-N23)*N26</f>
        <v>5.97673414639371</v>
      </c>
      <c r="O27" s="38" t="n">
        <f aca="false">SUM(C27:N27)</f>
        <v>70.1214284941303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2.69838093888935</v>
      </c>
      <c r="K28" s="27" t="n">
        <f aca="false">K19*INDEX(Assumptions!$C$26:$E$26,$B$3)*K23*K26</f>
        <v>2.94244192983057</v>
      </c>
      <c r="L28" s="27" t="n">
        <f aca="false">L19*INDEX(Assumptions!$C$26:$E$26,$B$3)*L23*L26</f>
        <v>4.0425</v>
      </c>
      <c r="M28" s="27" t="n">
        <f aca="false">M19*INDEX(Assumptions!$C$26:$E$26,$B$3)*M23*M26</f>
        <v>3.23795334701286</v>
      </c>
      <c r="N28" s="27" t="n">
        <f aca="false">N19*INDEX(Assumptions!$C$26:$E$26,$B$3)*N23*N26</f>
        <v>3.21824146344277</v>
      </c>
      <c r="O28" s="35" t="n">
        <f aca="false">SUM(C28:N28)</f>
        <v>16.1395176791756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0.60408</v>
      </c>
      <c r="D29" s="27" t="n">
        <f aca="false">D19*(1-INDEX(Assumptions!$C$26:$E$26,$B$3))*D26</f>
        <v>1.125</v>
      </c>
      <c r="E29" s="27" t="n">
        <f aca="false">E19*(1-INDEX(Assumptions!$C$26:$E$26,$B$3))*E26</f>
        <v>1.47</v>
      </c>
      <c r="F29" s="27" t="n">
        <f aca="false">F19*(1-INDEX(Assumptions!$C$26:$E$26,$B$3))*F26</f>
        <v>2.16</v>
      </c>
      <c r="G29" s="27" t="n">
        <f aca="false">G19*(1-INDEX(Assumptions!$C$26:$E$26,$B$3))*G26</f>
        <v>2.97</v>
      </c>
      <c r="H29" s="27" t="n">
        <f aca="false">H19*(1-INDEX(Assumptions!$C$26:$E$26,$B$3))*H26</f>
        <v>3.9</v>
      </c>
      <c r="I29" s="27" t="n">
        <f aca="false">I19*(1-INDEX(Assumptions!$C$26:$E$26,$B$3))*I26</f>
        <v>4.97722222222222</v>
      </c>
      <c r="J29" s="27" t="n">
        <f aca="false">J19*(1-INDEX(Assumptions!$C$26:$E$26,$B$3))*J26</f>
        <v>3.30413992517064</v>
      </c>
      <c r="K29" s="27" t="n">
        <f aca="false">K19*(1-INDEX(Assumptions!$C$26:$E$26,$B$3))*K26</f>
        <v>3.60299011815988</v>
      </c>
      <c r="L29" s="27" t="n">
        <f aca="false">L19*(1-INDEX(Assumptions!$C$26:$E$26,$B$3))*L26</f>
        <v>4.95</v>
      </c>
      <c r="M29" s="27" t="n">
        <f aca="false">M19*(1-INDEX(Assumptions!$C$26:$E$26,$B$3))*M26</f>
        <v>3.96484083307698</v>
      </c>
      <c r="N29" s="27" t="n">
        <f aca="false">N19*(1-INDEX(Assumptions!$C$26:$E$26,$B$3))*N26</f>
        <v>3.94070383278706</v>
      </c>
      <c r="O29" s="35" t="n">
        <f aca="false">SUM(C29:N29)</f>
        <v>36.9689769314168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0.241632</v>
      </c>
      <c r="E30" s="27" t="n">
        <f aca="false">D29*INDEX(Assumptions!$C$89:$E$89,$B$3)*E26</f>
        <v>0.45</v>
      </c>
      <c r="F30" s="27" t="n">
        <f aca="false">E29*INDEX(Assumptions!$C$89:$E$89,$B$3)*F26</f>
        <v>0.588</v>
      </c>
      <c r="G30" s="27" t="n">
        <f aca="false">F29*INDEX(Assumptions!$C$89:$E$89,$B$3)*G26</f>
        <v>0.864</v>
      </c>
      <c r="H30" s="27" t="n">
        <f aca="false">G29*INDEX(Assumptions!$C$89:$E$89,$B$3)*H26</f>
        <v>1.188</v>
      </c>
      <c r="I30" s="27" t="n">
        <f aca="false">H29*INDEX(Assumptions!$C$89:$E$89,$B$3)*I26</f>
        <v>1.32725925925926</v>
      </c>
      <c r="J30" s="27" t="n">
        <f aca="false">I29*INDEX(Assumptions!$C$89:$E$89,$B$3)*J26</f>
        <v>1.08282723693109</v>
      </c>
      <c r="K30" s="27" t="n">
        <f aca="false">J29*INDEX(Assumptions!$C$89:$E$89,$B$3)*K26</f>
        <v>0.846562382180076</v>
      </c>
      <c r="L30" s="27" t="n">
        <f aca="false">K29*INDEX(Assumptions!$C$89:$E$89,$B$3)*L26</f>
        <v>1.44119604726395</v>
      </c>
      <c r="M30" s="27" t="n">
        <f aca="false">L29*INDEX(Assumptions!$C$89:$E$89,$B$3)*M26</f>
        <v>1.66145711100369</v>
      </c>
      <c r="N30" s="27" t="n">
        <f aca="false">M29*INDEX(Assumptions!$C$89:$E$89,$B$3)*N26</f>
        <v>1.3888234193153</v>
      </c>
      <c r="O30" s="35" t="n">
        <f aca="false">SUM(C30:N30)</f>
        <v>11.0797574559534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2.0136</v>
      </c>
      <c r="D31" s="35" t="n">
        <f aca="false">D27+D28+D29</f>
        <v>3.75</v>
      </c>
      <c r="E31" s="35" t="n">
        <f aca="false">E27+E28+E29</f>
        <v>4.9</v>
      </c>
      <c r="F31" s="35" t="n">
        <f aca="false">F27+F28+F29</f>
        <v>7.2</v>
      </c>
      <c r="G31" s="35" t="n">
        <f aca="false">G27+G28+G29</f>
        <v>9.9</v>
      </c>
      <c r="H31" s="35" t="n">
        <f aca="false">H27+H28+H29</f>
        <v>13</v>
      </c>
      <c r="I31" s="35" t="n">
        <f aca="false">I27+I28+I29</f>
        <v>16.5907407407407</v>
      </c>
      <c r="J31" s="35" t="n">
        <f aca="false">J27+J28+J29</f>
        <v>11.0137997505688</v>
      </c>
      <c r="K31" s="35" t="n">
        <f aca="false">K27+K28+K29</f>
        <v>12.0099670605329</v>
      </c>
      <c r="L31" s="35" t="n">
        <f aca="false">L27+L28+L29</f>
        <v>16.5</v>
      </c>
      <c r="M31" s="35" t="n">
        <f aca="false">M27+M28+M29</f>
        <v>13.2161361102566</v>
      </c>
      <c r="N31" s="35" t="n">
        <f aca="false">N27+N28+N29</f>
        <v>13.1356794426235</v>
      </c>
      <c r="O31" s="38" t="n">
        <f aca="false">SUM(C31:N31)</f>
        <v>123.229923104723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0.70476</v>
      </c>
      <c r="D32" s="27" t="n">
        <f aca="false">D31*INDEX(Assumptions!$C$74:$E$74,$B$3)</f>
        <v>1.3125</v>
      </c>
      <c r="E32" s="27" t="n">
        <f aca="false">E31*INDEX(Assumptions!$C$74:$E$74,$B$3)</f>
        <v>1.715</v>
      </c>
      <c r="F32" s="27" t="n">
        <f aca="false">F31*INDEX(Assumptions!$C$74:$E$74,$B$3)</f>
        <v>2.52</v>
      </c>
      <c r="G32" s="27" t="n">
        <f aca="false">G31*INDEX(Assumptions!$C$74:$E$74,$B$3)</f>
        <v>3.465</v>
      </c>
      <c r="H32" s="27" t="n">
        <f aca="false">H31*INDEX(Assumptions!$C$74:$E$74,$B$3)</f>
        <v>4.55</v>
      </c>
      <c r="I32" s="27" t="n">
        <f aca="false">I31*INDEX(Assumptions!$C$74:$E$74,$B$3)</f>
        <v>5.80675925925926</v>
      </c>
      <c r="J32" s="27" t="n">
        <f aca="false">J31*INDEX(Assumptions!$C$74:$E$74,$B$3)</f>
        <v>3.85482991269908</v>
      </c>
      <c r="K32" s="27" t="n">
        <f aca="false">K31*INDEX(Assumptions!$C$74:$E$74,$B$3)</f>
        <v>4.20348847118652</v>
      </c>
      <c r="L32" s="27" t="n">
        <f aca="false">L31*INDEX(Assumptions!$C$74:$E$74,$B$3)</f>
        <v>5.775</v>
      </c>
      <c r="M32" s="27" t="n">
        <f aca="false">M31*INDEX(Assumptions!$C$74:$E$74,$B$3)</f>
        <v>4.62564763858981</v>
      </c>
      <c r="N32" s="27" t="n">
        <f aca="false">N31*INDEX(Assumptions!$C$74:$E$74,$B$3)</f>
        <v>4.59748780491824</v>
      </c>
      <c r="O32" s="35" t="n">
        <f aca="false">SUM(C32:N32)</f>
        <v>43.1304730866529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2.0136</v>
      </c>
      <c r="D33" s="6" t="n">
        <f aca="false">D24+D27+D30+D29+1.25*D28</f>
        <v>5.401152</v>
      </c>
      <c r="E33" s="6" t="n">
        <f aca="false">E24+E27+E30+E29+1.25*E28</f>
        <v>9.626152</v>
      </c>
      <c r="F33" s="6" t="n">
        <f aca="false">F24+F27+F30+F29+1.25*F28</f>
        <v>14.534632</v>
      </c>
      <c r="G33" s="6" t="n">
        <f aca="false">G24+G27+G30+G29+1.25*G28</f>
        <v>20.272</v>
      </c>
      <c r="H33" s="6" t="n">
        <f aca="false">H24+H27+H30+H29+1.25*H28</f>
        <v>27.61</v>
      </c>
      <c r="I33" s="6" t="n">
        <f aca="false">I24+I27+I30+I29+1.25*I28</f>
        <v>36</v>
      </c>
      <c r="J33" s="6" t="n">
        <f aca="false">J24+J27+J30+J29+1.25*J28</f>
        <v>36</v>
      </c>
      <c r="K33" s="6" t="n">
        <f aca="false">K24+K27+K30+K29+1.25*K28</f>
        <v>36</v>
      </c>
      <c r="L33" s="6" t="n">
        <f aca="false">L24+L27+L30+L29+1.25*L28</f>
        <v>35.0350769777146</v>
      </c>
      <c r="M33" s="6" t="n">
        <f aca="false">M24+M27+M30+M29+1.25*M28</f>
        <v>36</v>
      </c>
      <c r="N33" s="6" t="n">
        <f aca="false">N24+N27+N30+N29+1.25*N28</f>
        <v>36</v>
      </c>
      <c r="O33" s="39" t="n">
        <f aca="false">AVERAGE(C33:N33)</f>
        <v>24.5410510814762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0.12585</v>
      </c>
      <c r="D34" s="36" t="n">
        <f aca="false">D33/(D20*D21)</f>
        <v>0.337572</v>
      </c>
      <c r="E34" s="36" t="n">
        <f aca="false">E33/(E20*E21)</f>
        <v>0.6016345</v>
      </c>
      <c r="F34" s="36" t="n">
        <f aca="false">F33/(F20*F21)</f>
        <v>0.3633658</v>
      </c>
      <c r="G34" s="36" t="n">
        <f aca="false">G33/(G20*G21)</f>
        <v>0.5068</v>
      </c>
      <c r="H34" s="36" t="n">
        <f aca="false">H33/(H20*H21)</f>
        <v>0.69025</v>
      </c>
      <c r="I34" s="36" t="n">
        <f aca="false">I33/(I20*I21)</f>
        <v>0.9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0.875876924442865</v>
      </c>
      <c r="M34" s="36" t="n">
        <f aca="false">M33/(M20*M21)</f>
        <v>0.9</v>
      </c>
      <c r="N34" s="36" t="n">
        <f aca="false">N33/(N20*N21)</f>
        <v>0.9</v>
      </c>
      <c r="O34" s="30" t="n">
        <f aca="false">N34</f>
        <v>0.9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0</v>
      </c>
      <c r="I35" s="8" t="n">
        <f aca="false">IF(I26&lt;0.999,1,0)</f>
        <v>1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0</v>
      </c>
      <c r="M35" s="8" t="n">
        <f aca="false">IF(M26&lt;0.999,1,0)</f>
        <v>1</v>
      </c>
      <c r="N35" s="8" t="n">
        <f aca="false">IF(N26&lt;0.999,1,0)</f>
        <v>1</v>
      </c>
      <c r="O35" s="37" t="n">
        <f aca="false">SUM(C35:N35)</f>
        <v>5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4.5</v>
      </c>
      <c r="F37" s="6" t="n">
        <f aca="false">IF(4&gt;=3,INDEX(Assumptions!$C$192:$E$192,$D$3)*INDEX(Assumptions!$C$193:$E$193,$B$3)*MIN(1,(4-2)/6),0)*$F$3</f>
        <v>9</v>
      </c>
      <c r="G37" s="6" t="n">
        <f aca="false">IF(5&gt;=3,INDEX(Assumptions!$C$192:$E$192,$D$3)*INDEX(Assumptions!$C$193:$E$193,$B$3)*MIN(1,(5-2)/6),0)*$F$3</f>
        <v>13.5</v>
      </c>
      <c r="H37" s="6" t="n">
        <f aca="false">IF(6&gt;=3,INDEX(Assumptions!$C$192:$E$192,$D$3)*INDEX(Assumptions!$C$193:$E$193,$B$3)*MIN(1,(6-2)/6),0)*$F$3</f>
        <v>18</v>
      </c>
      <c r="I37" s="6" t="n">
        <f aca="false">IF(7&gt;=3,INDEX(Assumptions!$C$192:$E$192,$D$3)*INDEX(Assumptions!$C$193:$E$193,$B$3)*MIN(1,(7-2)/6),0)*$F$3</f>
        <v>22.5</v>
      </c>
      <c r="J37" s="6" t="n">
        <f aca="false">IF(8&gt;=3,INDEX(Assumptions!$C$192:$E$192,$D$3)*INDEX(Assumptions!$C$193:$E$193,$B$3)*MIN(1,(8-2)/6),0)*$F$3</f>
        <v>27</v>
      </c>
      <c r="K37" s="6" t="n">
        <f aca="false">IF(9&gt;=3,INDEX(Assumptions!$C$192:$E$192,$D$3)*INDEX(Assumptions!$C$193:$E$193,$B$3)*MIN(1,(9-2)/6),0)*$F$3</f>
        <v>27</v>
      </c>
      <c r="L37" s="6" t="n">
        <f aca="false">IF(10&gt;=3,INDEX(Assumptions!$C$192:$E$192,$D$3)*INDEX(Assumptions!$C$193:$E$193,$B$3)*MIN(1,(10-2)/6),0)*$F$3</f>
        <v>27</v>
      </c>
      <c r="M37" s="6" t="n">
        <f aca="false">IF(11&gt;=3,INDEX(Assumptions!$C$192:$E$192,$D$3)*INDEX(Assumptions!$C$193:$E$193,$B$3)*MIN(1,(11-2)/6),0)*$F$3</f>
        <v>27</v>
      </c>
      <c r="N37" s="6" t="n">
        <f aca="false">IF(12&gt;=3,INDEX(Assumptions!$C$192:$E$192,$D$3)*INDEX(Assumptions!$C$193:$E$193,$B$3)*MIN(1,(12-2)/6),0)*$F$3</f>
        <v>27</v>
      </c>
      <c r="O37" s="39" t="n">
        <f aca="false">SUM(C37:N37)</f>
        <v>202.5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10.2666666666667</v>
      </c>
      <c r="D38" s="6" t="n">
        <f aca="false">INDEX(Assumptions!$C$194:$E$194,$D$3)*D10*MIN(1,2/3)*$F$3</f>
        <v>17.6</v>
      </c>
      <c r="E38" s="6" t="n">
        <f aca="false">INDEX(Assumptions!$C$194:$E$194,$D$3)*E10*MIN(1,3/3)*$F$3</f>
        <v>26.4</v>
      </c>
      <c r="F38" s="6" t="n">
        <f aca="false">INDEX(Assumptions!$C$194:$E$194,$D$3)*F10*MIN(1,4/3)*$F$3</f>
        <v>28.6</v>
      </c>
      <c r="G38" s="6" t="n">
        <f aca="false">INDEX(Assumptions!$C$194:$E$194,$D$3)*G10*MIN(1,5/3)*$F$3</f>
        <v>19.8</v>
      </c>
      <c r="H38" s="6" t="n">
        <f aca="false">INDEX(Assumptions!$C$194:$E$194,$D$3)*H10*MIN(1,6/3)*$F$3</f>
        <v>17.6</v>
      </c>
      <c r="I38" s="6" t="n">
        <f aca="false">INDEX(Assumptions!$C$194:$E$194,$D$3)*I10*MIN(1,7/3)*$F$3</f>
        <v>15.4</v>
      </c>
      <c r="J38" s="6" t="n">
        <f aca="false">INDEX(Assumptions!$C$194:$E$194,$D$3)*J10*MIN(1,8/3)*$F$3</f>
        <v>13.2</v>
      </c>
      <c r="K38" s="6" t="n">
        <f aca="false">INDEX(Assumptions!$C$194:$E$194,$D$3)*K10*MIN(1,9/3)*$F$3</f>
        <v>13.2</v>
      </c>
      <c r="L38" s="6" t="n">
        <f aca="false">INDEX(Assumptions!$C$194:$E$194,$D$3)*L10*MIN(1,10/3)*$F$3</f>
        <v>17.6</v>
      </c>
      <c r="M38" s="6" t="n">
        <f aca="false">INDEX(Assumptions!$C$194:$E$194,$D$3)*M10*MIN(1,11/3)*$F$3</f>
        <v>24.2</v>
      </c>
      <c r="N38" s="6" t="n">
        <f aca="false">INDEX(Assumptions!$C$194:$E$194,$D$3)*N10*MIN(1,12/3)*$F$3</f>
        <v>30.8</v>
      </c>
      <c r="O38" s="39" t="n">
        <f aca="false">SUM(C38:N38)</f>
        <v>234.666666666667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1.11866666666667</v>
      </c>
      <c r="D39" s="6" t="n">
        <f aca="false">D19*INDEX(Assumptions!$C$31:$E$31,$B$3)/(INDEX(Assumptions!$C$56:$E$56,$B$3)*INDEX(Assumptions!$C$57:$E$57,$B$3)*INDEX(Assumptions!$C$58:$E$58,$B$3))</f>
        <v>2.08333333333333</v>
      </c>
      <c r="E39" s="6" t="n">
        <f aca="false">E19*INDEX(Assumptions!$C$31:$E$31,$B$3)/(INDEX(Assumptions!$C$56:$E$56,$B$3)*INDEX(Assumptions!$C$57:$E$57,$B$3)*INDEX(Assumptions!$C$58:$E$58,$B$3))</f>
        <v>2.72222222222222</v>
      </c>
      <c r="F39" s="6" t="n">
        <f aca="false">F19*INDEX(Assumptions!$C$31:$E$31,$B$3)/(INDEX(Assumptions!$C$56:$E$56,$B$3)*INDEX(Assumptions!$C$57:$E$57,$B$3)*INDEX(Assumptions!$C$58:$E$58,$B$3))</f>
        <v>4</v>
      </c>
      <c r="G39" s="6" t="n">
        <f aca="false">G19*INDEX(Assumptions!$C$31:$E$31,$B$3)/(INDEX(Assumptions!$C$56:$E$56,$B$3)*INDEX(Assumptions!$C$57:$E$57,$B$3)*INDEX(Assumptions!$C$58:$E$58,$B$3))</f>
        <v>5.5</v>
      </c>
      <c r="H39" s="6" t="n">
        <f aca="false">H19*INDEX(Assumptions!$C$31:$E$31,$B$3)/(INDEX(Assumptions!$C$56:$E$56,$B$3)*INDEX(Assumptions!$C$57:$E$57,$B$3)*INDEX(Assumptions!$C$58:$E$58,$B$3))</f>
        <v>7.22222222222222</v>
      </c>
      <c r="I39" s="6" t="n">
        <f aca="false">I19*INDEX(Assumptions!$C$31:$E$31,$B$3)/(INDEX(Assumptions!$C$56:$E$56,$B$3)*INDEX(Assumptions!$C$57:$E$57,$B$3)*INDEX(Assumptions!$C$58:$E$58,$B$3))</f>
        <v>10.8333333333333</v>
      </c>
      <c r="J39" s="6" t="n">
        <f aca="false">J19*INDEX(Assumptions!$C$31:$E$31,$B$3)/(INDEX(Assumptions!$C$56:$E$56,$B$3)*INDEX(Assumptions!$C$57:$E$57,$B$3)*INDEX(Assumptions!$C$58:$E$58,$B$3))</f>
        <v>11.25</v>
      </c>
      <c r="K39" s="6" t="n">
        <f aca="false">K19*INDEX(Assumptions!$C$31:$E$31,$B$3)/(INDEX(Assumptions!$C$56:$E$56,$B$3)*INDEX(Assumptions!$C$57:$E$57,$B$3)*INDEX(Assumptions!$C$58:$E$58,$B$3))</f>
        <v>10.4166666666667</v>
      </c>
      <c r="L39" s="6" t="n">
        <f aca="false">L19*INDEX(Assumptions!$C$31:$E$31,$B$3)/(INDEX(Assumptions!$C$56:$E$56,$B$3)*INDEX(Assumptions!$C$57:$E$57,$B$3)*INDEX(Assumptions!$C$58:$E$58,$B$3))</f>
        <v>9.16666666666667</v>
      </c>
      <c r="M39" s="6" t="n">
        <f aca="false">M19*INDEX(Assumptions!$C$31:$E$31,$B$3)/(INDEX(Assumptions!$C$56:$E$56,$B$3)*INDEX(Assumptions!$C$57:$E$57,$B$3)*INDEX(Assumptions!$C$58:$E$58,$B$3))</f>
        <v>8.75</v>
      </c>
      <c r="N39" s="6" t="n">
        <f aca="false">N19*INDEX(Assumptions!$C$31:$E$31,$B$3)/(INDEX(Assumptions!$C$56:$E$56,$B$3)*INDEX(Assumptions!$C$57:$E$57,$B$3)*INDEX(Assumptions!$C$58:$E$58,$B$3))</f>
        <v>8.33333333333333</v>
      </c>
      <c r="O39" s="39" t="n">
        <f aca="false">SUM(C39:N39)</f>
        <v>81.3964444444444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1</v>
      </c>
      <c r="I40" s="27" t="n">
        <f aca="false">IF(7&gt;=INDEX(Assumptions!$C$191:$E$191,$D$3),MAX(INDEX(Assumptions!$C$86:$E$86,$D$3),0.5),0)</f>
        <v>1</v>
      </c>
      <c r="J40" s="27" t="n">
        <f aca="false">IF(8&gt;=INDEX(Assumptions!$C$191:$E$191,$D$3),MAX(INDEX(Assumptions!$C$86:$E$86,$D$3),0.5),0)</f>
        <v>1</v>
      </c>
      <c r="K40" s="27" t="n">
        <f aca="false">IF(9&gt;=INDEX(Assumptions!$C$191:$E$191,$D$3),MAX(INDEX(Assumptions!$C$86:$E$86,$D$3),0.5),0)</f>
        <v>1</v>
      </c>
      <c r="L40" s="27" t="n">
        <f aca="false">IF(10&gt;=INDEX(Assumptions!$C$191:$E$191,$D$3),MAX(INDEX(Assumptions!$C$86:$E$86,$D$3),0.5),0)</f>
        <v>1</v>
      </c>
      <c r="M40" s="27" t="n">
        <f aca="false">IF(11&gt;=INDEX(Assumptions!$C$191:$E$191,$D$3),MAX(INDEX(Assumptions!$C$86:$E$86,$D$3),0.5),0)</f>
        <v>1</v>
      </c>
      <c r="N40" s="27" t="n">
        <f aca="false">IF(12&gt;=INDEX(Assumptions!$C$191:$E$191,$D$3),MAX(INDEX(Assumptions!$C$86:$E$86,$D$3),0.5),0)</f>
        <v>1</v>
      </c>
      <c r="O40" s="35" t="n">
        <f aca="false">SUM(C40:N40)</f>
        <v>7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40</v>
      </c>
      <c r="I41" s="6" t="n">
        <f aca="false">I40*INDEX(Assumptions!$C$82:$E$82,$B$3)*$F$3</f>
        <v>40</v>
      </c>
      <c r="J41" s="6" t="n">
        <f aca="false">J40*INDEX(Assumptions!$C$82:$E$82,$B$3)*$F$3</f>
        <v>40</v>
      </c>
      <c r="K41" s="6" t="n">
        <f aca="false">K40*INDEX(Assumptions!$C$82:$E$82,$B$3)*$F$3</f>
        <v>40</v>
      </c>
      <c r="L41" s="6" t="n">
        <f aca="false">L40*INDEX(Assumptions!$C$82:$E$82,$B$3)*$F$3</f>
        <v>40</v>
      </c>
      <c r="M41" s="6" t="n">
        <f aca="false">M40*INDEX(Assumptions!$C$82:$E$82,$B$3)*$F$3</f>
        <v>40</v>
      </c>
      <c r="N41" s="6" t="n">
        <f aca="false">N40*INDEX(Assumptions!$C$82:$E$82,$B$3)*$F$3</f>
        <v>40</v>
      </c>
      <c r="O41" s="39" t="n">
        <f aca="false">SUM(C41:N41)</f>
        <v>280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0.63</v>
      </c>
      <c r="F42" s="27" t="n">
        <f aca="false">F37*0.7*INDEX(Assumptions!$C$73:$E$73,$B$3)</f>
        <v>1.26</v>
      </c>
      <c r="G42" s="27" t="n">
        <f aca="false">G37*0.7*INDEX(Assumptions!$C$73:$E$73,$B$3)</f>
        <v>1.89</v>
      </c>
      <c r="H42" s="27" t="n">
        <f aca="false">H37*0.7*INDEX(Assumptions!$C$73:$E$73,$B$3)</f>
        <v>2.52</v>
      </c>
      <c r="I42" s="27" t="n">
        <f aca="false">I37*0.7*INDEX(Assumptions!$C$73:$E$73,$B$3)</f>
        <v>3.15</v>
      </c>
      <c r="J42" s="27" t="n">
        <f aca="false">J37*0.7*INDEX(Assumptions!$C$73:$E$73,$B$3)</f>
        <v>3.78</v>
      </c>
      <c r="K42" s="27" t="n">
        <f aca="false">K37*0.7*INDEX(Assumptions!$C$73:$E$73,$B$3)</f>
        <v>3.78</v>
      </c>
      <c r="L42" s="27" t="n">
        <f aca="false">L37*0.7*INDEX(Assumptions!$C$73:$E$73,$B$3)</f>
        <v>3.78</v>
      </c>
      <c r="M42" s="27" t="n">
        <f aca="false">M37*0.7*INDEX(Assumptions!$C$73:$E$73,$B$3)</f>
        <v>3.78</v>
      </c>
      <c r="N42" s="27" t="n">
        <f aca="false">N37*0.7*INDEX(Assumptions!$C$73:$E$73,$B$3)</f>
        <v>3.78</v>
      </c>
      <c r="O42" s="35" t="n">
        <f aca="false">SUM(C42:N42)</f>
        <v>28.35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75000</v>
      </c>
      <c r="D44" s="8" t="n">
        <f aca="false">IF(2&gt;=INDEX(Assumptions!$C$105:$E$105,$B$3),INDEX(Assumptions!$C$20:$E$20,$B$3),INDEX(Assumptions!$C$10:$E$10,$B$3))*$H$3</f>
        <v>75000</v>
      </c>
      <c r="E44" s="8" t="n">
        <f aca="false">IF(3&gt;=INDEX(Assumptions!$C$105:$E$105,$B$3),INDEX(Assumptions!$C$20:$E$20,$B$3),INDEX(Assumptions!$C$10:$E$10,$B$3))*$H$3</f>
        <v>75000</v>
      </c>
      <c r="F44" s="8" t="n">
        <f aca="false">IF(4&gt;=INDEX(Assumptions!$C$105:$E$105,$B$3),INDEX(Assumptions!$C$20:$E$20,$B$3),INDEX(Assumptions!$C$10:$E$10,$B$3))*$H$3</f>
        <v>75000</v>
      </c>
      <c r="G44" s="8" t="n">
        <f aca="false">IF(5&gt;=INDEX(Assumptions!$C$105:$E$105,$B$3),INDEX(Assumptions!$C$20:$E$20,$B$3),INDEX(Assumptions!$C$10:$E$10,$B$3))*$H$3</f>
        <v>100000</v>
      </c>
      <c r="H44" s="8" t="n">
        <f aca="false">IF(6&gt;=INDEX(Assumptions!$C$105:$E$105,$B$3),INDEX(Assumptions!$C$20:$E$20,$B$3),INDEX(Assumptions!$C$10:$E$10,$B$3))*$H$3</f>
        <v>100000</v>
      </c>
      <c r="I44" s="8" t="n">
        <f aca="false">IF(7&gt;=INDEX(Assumptions!$C$105:$E$105,$B$3),INDEX(Assumptions!$C$20:$E$20,$B$3),INDEX(Assumptions!$C$10:$E$10,$B$3))*$H$3</f>
        <v>100000</v>
      </c>
      <c r="J44" s="8" t="n">
        <f aca="false">IF(8&gt;=INDEX(Assumptions!$C$105:$E$105,$B$3),INDEX(Assumptions!$C$20:$E$20,$B$3),INDEX(Assumptions!$C$10:$E$10,$B$3))*$H$3</f>
        <v>100000</v>
      </c>
      <c r="K44" s="8" t="n">
        <f aca="false">IF(9&gt;=INDEX(Assumptions!$C$105:$E$105,$B$3),INDEX(Assumptions!$C$20:$E$20,$B$3),INDEX(Assumptions!$C$10:$E$10,$B$3))*$H$3</f>
        <v>100000</v>
      </c>
      <c r="L44" s="8" t="n">
        <f aca="false">IF(10&gt;=INDEX(Assumptions!$C$105:$E$105,$B$3),INDEX(Assumptions!$C$20:$E$20,$B$3),INDEX(Assumptions!$C$10:$E$10,$B$3))*$H$3</f>
        <v>100000</v>
      </c>
      <c r="M44" s="8" t="n">
        <f aca="false">IF(11&gt;=INDEX(Assumptions!$C$105:$E$105,$B$3),INDEX(Assumptions!$C$20:$E$20,$B$3),INDEX(Assumptions!$C$10:$E$10,$B$3))*$H$3</f>
        <v>100000</v>
      </c>
      <c r="N44" s="8" t="n">
        <f aca="false">IF(12&gt;=INDEX(Assumptions!$C$105:$E$105,$B$3),INDEX(Assumptions!$C$20:$E$20,$B$3),INDEX(Assumptions!$C$10:$E$10,$B$3))*$H$3</f>
        <v>100000</v>
      </c>
      <c r="O44" s="37" t="n">
        <f aca="false">AVERAGE(C44:N44)</f>
        <v>91666.6666666667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0</v>
      </c>
      <c r="H45" s="8" t="n">
        <f aca="false">IF(6&gt;=INDEX(Assumptions!$C$105:$E$105,$B$3),0,1)</f>
        <v>0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89588.1355932204</v>
      </c>
      <c r="D47" s="8" t="n">
        <f aca="false">D27*D44/(1+INDEX(Assumptions!$C$15:$E$15,$B$3)*$H$4)</f>
        <v>166843.220338983</v>
      </c>
      <c r="E47" s="8" t="n">
        <f aca="false">E27*E44/(1+INDEX(Assumptions!$C$15:$E$15,$B$3)*$H$4)</f>
        <v>218008.474576271</v>
      </c>
      <c r="F47" s="8" t="n">
        <f aca="false">F27*F44/(1+INDEX(Assumptions!$C$15:$E$15,$B$3)*$H$4)</f>
        <v>320338.983050848</v>
      </c>
      <c r="G47" s="8" t="n">
        <f aca="false">G27*G44/(1+INDEX(Assumptions!$C$15:$E$15,$B$3)*$H$4)</f>
        <v>587288.13559322</v>
      </c>
      <c r="H47" s="8" t="n">
        <f aca="false">H27*H44/(1+INDEX(Assumptions!$C$15:$E$15,$B$3)*$H$4)</f>
        <v>771186.440677966</v>
      </c>
      <c r="I47" s="8" t="n">
        <f aca="false">I27*I44/(1+INDEX(Assumptions!$C$15:$E$15,$B$3)*$H$4)</f>
        <v>984196.484620213</v>
      </c>
      <c r="J47" s="8" t="n">
        <f aca="false">J27*J44/(1+INDEX(Assumptions!$C$15:$E$15,$B$3)*$H$4)</f>
        <v>424684.651399051</v>
      </c>
      <c r="K47" s="8" t="n">
        <f aca="false">K27*K44/(1+INDEX(Assumptions!$C$15:$E$15,$B$3)*$H$4)</f>
        <v>463096.1875036</v>
      </c>
      <c r="L47" s="8" t="n">
        <f aca="false">L27*L44/(1+INDEX(Assumptions!$C$15:$E$15,$B$3)*$H$4)</f>
        <v>636228.813559322</v>
      </c>
      <c r="M47" s="8" t="n">
        <f aca="false">M27*M44/(1+INDEX(Assumptions!$C$15:$E$15,$B$3)*$H$4)</f>
        <v>509605.248319216</v>
      </c>
      <c r="N47" s="8" t="n">
        <f aca="false">N27*N44/(1+INDEX(Assumptions!$C$15:$E$15,$B$3)*$H$4)</f>
        <v>506502.893762179</v>
      </c>
      <c r="O47" s="37" t="n">
        <f aca="false">SUM(C47:N47)</f>
        <v>5677567.66899409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228676.350753335</v>
      </c>
      <c r="K48" s="8" t="n">
        <f aca="false">K28*K44/(1+INDEX(Assumptions!$C$15:$E$15,$B$3)*$H$4)</f>
        <v>249359.485578862</v>
      </c>
      <c r="L48" s="8" t="n">
        <f aca="false">L28*L44/(1+INDEX(Assumptions!$C$15:$E$15,$B$3)*$H$4)</f>
        <v>342584.745762712</v>
      </c>
      <c r="M48" s="8" t="n">
        <f aca="false">M28*M44/(1+INDEX(Assumptions!$C$15:$E$15,$B$3)*$H$4)</f>
        <v>274402.826018039</v>
      </c>
      <c r="N48" s="8" t="n">
        <f aca="false">N28*N44/(1+INDEX(Assumptions!$C$15:$E$15,$B$3)*$H$4)</f>
        <v>272732.327410404</v>
      </c>
      <c r="O48" s="37" t="n">
        <f aca="false">SUM(C48:N48)</f>
        <v>1367755.73552335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6143.18644067797</v>
      </c>
      <c r="E49" s="8" t="n">
        <f aca="false">E30*MAX(0,E44-INDEX(Assumptions!$C$18:$E$18,$B$3)*$H$3)/(1+INDEX(Assumptions!$C$15:$E$15,$B$3)*$H$4)</f>
        <v>11440.6779661017</v>
      </c>
      <c r="F49" s="8" t="n">
        <f aca="false">F30*MAX(0,F44-INDEX(Assumptions!$C$18:$E$18,$B$3)*$H$3)/(1+INDEX(Assumptions!$C$15:$E$15,$B$3)*$H$4)</f>
        <v>14949.1525423729</v>
      </c>
      <c r="G49" s="8" t="n">
        <f aca="false">G30*MAX(0,G44-INDEX(Assumptions!$C$18:$E$18,$B$3)*$H$3)/(1+INDEX(Assumptions!$C$15:$E$15,$B$3)*$H$4)</f>
        <v>40271.186440678</v>
      </c>
      <c r="H49" s="8" t="n">
        <f aca="false">H30*MAX(0,H44-INDEX(Assumptions!$C$18:$E$18,$B$3)*$H$3)/(1+INDEX(Assumptions!$C$15:$E$15,$B$3)*$H$4)</f>
        <v>55372.8813559322</v>
      </c>
      <c r="I49" s="8" t="n">
        <f aca="false">I30*MAX(0,I44-INDEX(Assumptions!$C$18:$E$18,$B$3)*$H$3)/(1+INDEX(Assumptions!$C$15:$E$15,$B$3)*$H$4)</f>
        <v>61863.7790332706</v>
      </c>
      <c r="J49" s="8" t="n">
        <f aca="false">J30*MAX(0,J44-INDEX(Assumptions!$C$18:$E$18,$B$3)*$H$3)/(1+INDEX(Assumptions!$C$15:$E$15,$B$3)*$H$4)</f>
        <v>50470.7610433984</v>
      </c>
      <c r="K49" s="8" t="n">
        <f aca="false">K30*MAX(0,K44-INDEX(Assumptions!$C$18:$E$18,$B$3)*$H$3)/(1+INDEX(Assumptions!$C$15:$E$15,$B$3)*$H$4)</f>
        <v>39458.4161185629</v>
      </c>
      <c r="L49" s="8" t="n">
        <f aca="false">L30*MAX(0,L44-INDEX(Assumptions!$C$18:$E$18,$B$3)*$H$3)/(1+INDEX(Assumptions!$C$15:$E$15,$B$3)*$H$4)</f>
        <v>67174.3920334892</v>
      </c>
      <c r="M49" s="8" t="n">
        <f aca="false">M30*MAX(0,M44-INDEX(Assumptions!$C$18:$E$18,$B$3)*$H$3)/(1+INDEX(Assumptions!$C$15:$E$15,$B$3)*$H$4)</f>
        <v>77440.797546782</v>
      </c>
      <c r="N49" s="8" t="n">
        <f aca="false">N30*MAX(0,N44-INDEX(Assumptions!$C$18:$E$18,$B$3)*$H$3)/(1+INDEX(Assumptions!$C$15:$E$15,$B$3)*$H$4)</f>
        <v>64733.2949680859</v>
      </c>
      <c r="O49" s="37" t="n">
        <f aca="false">SUM(C49:N49)</f>
        <v>489318.525489352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23036.9491525424</v>
      </c>
      <c r="D50" s="8" t="n">
        <f aca="false">D29*INDEX(Assumptions!$C$18:$E$18,$B$3)*$H$3/(1+INDEX(Assumptions!$C$15:$E$15,$B$3)*$H$4)</f>
        <v>42902.5423728814</v>
      </c>
      <c r="E50" s="8" t="n">
        <f aca="false">E29*INDEX(Assumptions!$C$18:$E$18,$B$3)*$H$3/(1+INDEX(Assumptions!$C$15:$E$15,$B$3)*$H$4)</f>
        <v>56059.3220338983</v>
      </c>
      <c r="F50" s="8" t="n">
        <f aca="false">F29*INDEX(Assumptions!$C$18:$E$18,$B$3)*$H$3/(1+INDEX(Assumptions!$C$15:$E$15,$B$3)*$H$4)</f>
        <v>82372.8813559322</v>
      </c>
      <c r="G50" s="8" t="n">
        <f aca="false">G29*INDEX(Assumptions!$C$18:$E$18,$B$3)*$H$3/(1+INDEX(Assumptions!$C$15:$E$15,$B$3)*$H$4)</f>
        <v>113262.711864407</v>
      </c>
      <c r="H50" s="8" t="n">
        <f aca="false">H29*INDEX(Assumptions!$C$18:$E$18,$B$3)*$H$3/(1+INDEX(Assumptions!$C$15:$E$15,$B$3)*$H$4)</f>
        <v>148728.813559322</v>
      </c>
      <c r="I50" s="8" t="n">
        <f aca="false">I29*INDEX(Assumptions!$C$18:$E$18,$B$3)*$H$3/(1+INDEX(Assumptions!$C$15:$E$15,$B$3)*$H$4)</f>
        <v>189809.322033898</v>
      </c>
      <c r="J50" s="8" t="n">
        <f aca="false">J29*INDEX(Assumptions!$C$18:$E$18,$B$3)*$H$3/(1+INDEX(Assumptions!$C$15:$E$15,$B$3)*$H$4)</f>
        <v>126005.336129389</v>
      </c>
      <c r="K50" s="8" t="n">
        <f aca="false">K29*INDEX(Assumptions!$C$18:$E$18,$B$3)*$H$3/(1+INDEX(Assumptions!$C$15:$E$15,$B$3)*$H$4)</f>
        <v>137402.165523046</v>
      </c>
      <c r="L50" s="8" t="n">
        <f aca="false">L29*INDEX(Assumptions!$C$18:$E$18,$B$3)*$H$3/(1+INDEX(Assumptions!$C$15:$E$15,$B$3)*$H$4)</f>
        <v>188771.186440678</v>
      </c>
      <c r="M50" s="8" t="n">
        <f aca="false">M29*INDEX(Assumptions!$C$18:$E$18,$B$3)*$H$3/(1+INDEX(Assumptions!$C$15:$E$15,$B$3)*$H$4)</f>
        <v>151201.557193614</v>
      </c>
      <c r="N50" s="8" t="n">
        <f aca="false">N29*INDEX(Assumptions!$C$18:$E$18,$B$3)*$H$3/(1+INDEX(Assumptions!$C$15:$E$15,$B$3)*$H$4)</f>
        <v>150281.078368998</v>
      </c>
      <c r="O50" s="37" t="n">
        <f aca="false">SUM(C50:N50)</f>
        <v>1409833.86602861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776.601152542373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1446.29237288136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1889.8220338983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2776.8813559322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3818.21186440678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5013.81355932203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7520.72033898305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7809.97881355932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7231.46186440678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6363.68644067797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6074.4279661017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5785.16949152542</v>
      </c>
      <c r="O51" s="37" t="n">
        <f aca="false">SUM(C51:N51)</f>
        <v>56507.0672542373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53389.8305084746</v>
      </c>
      <c r="F52" s="8" t="n">
        <f aca="false">F37*INDEX(Assumptions!$C$21:$E$21,$B$3)*$H$3/(1+INDEX(Assumptions!$C$15:$E$15,$B$3)*$H$4)</f>
        <v>106779.661016949</v>
      </c>
      <c r="G52" s="8" t="n">
        <f aca="false">G37*INDEX(Assumptions!$C$21:$E$21,$B$3)*$H$3/(1+INDEX(Assumptions!$C$15:$E$15,$B$3)*$H$4)</f>
        <v>160169.491525424</v>
      </c>
      <c r="H52" s="8" t="n">
        <f aca="false">H37*INDEX(Assumptions!$C$21:$E$21,$B$3)*$H$3/(1+INDEX(Assumptions!$C$15:$E$15,$B$3)*$H$4)</f>
        <v>213559.322033898</v>
      </c>
      <c r="I52" s="8" t="n">
        <f aca="false">I37*INDEX(Assumptions!$C$21:$E$21,$B$3)*$H$3/(1+INDEX(Assumptions!$C$15:$E$15,$B$3)*$H$4)</f>
        <v>266949.152542373</v>
      </c>
      <c r="J52" s="8" t="n">
        <f aca="false">J37*INDEX(Assumptions!$C$21:$E$21,$B$3)*$H$3/(1+INDEX(Assumptions!$C$15:$E$15,$B$3)*$H$4)</f>
        <v>320338.983050848</v>
      </c>
      <c r="K52" s="8" t="n">
        <f aca="false">K37*INDEX(Assumptions!$C$21:$E$21,$B$3)*$H$3/(1+INDEX(Assumptions!$C$15:$E$15,$B$3)*$H$4)</f>
        <v>320338.983050848</v>
      </c>
      <c r="L52" s="8" t="n">
        <f aca="false">L37*INDEX(Assumptions!$C$21:$E$21,$B$3)*$H$3/(1+INDEX(Assumptions!$C$15:$E$15,$B$3)*$H$4)</f>
        <v>320338.983050848</v>
      </c>
      <c r="M52" s="8" t="n">
        <f aca="false">M37*INDEX(Assumptions!$C$21:$E$21,$B$3)*$H$3/(1+INDEX(Assumptions!$C$15:$E$15,$B$3)*$H$4)</f>
        <v>320338.983050848</v>
      </c>
      <c r="N52" s="8" t="n">
        <f aca="false">N37*INDEX(Assumptions!$C$21:$E$21,$B$3)*$H$3/(1+INDEX(Assumptions!$C$15:$E$15,$B$3)*$H$4)</f>
        <v>320338.983050848</v>
      </c>
      <c r="O52" s="37" t="n">
        <f aca="false">SUM(C52:N52)</f>
        <v>2402542.37288136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56553.6723163842</v>
      </c>
      <c r="D53" s="8" t="n">
        <f aca="false">D38*INDEX(Assumptions!$C$22:$E$22,$B$3)*$H$3/(1+INDEX(Assumptions!$C$15:$E$15,$B$3)*$H$4)</f>
        <v>96949.1525423729</v>
      </c>
      <c r="E53" s="8" t="n">
        <f aca="false">E38*INDEX(Assumptions!$C$22:$E$22,$B$3)*$H$3/(1+INDEX(Assumptions!$C$15:$E$15,$B$3)*$H$4)</f>
        <v>145423.728813559</v>
      </c>
      <c r="F53" s="8" t="n">
        <f aca="false">F38*INDEX(Assumptions!$C$22:$E$22,$B$3)*$H$3/(1+INDEX(Assumptions!$C$15:$E$15,$B$3)*$H$4)</f>
        <v>157542.372881356</v>
      </c>
      <c r="G53" s="8" t="n">
        <f aca="false">G38*INDEX(Assumptions!$C$22:$E$22,$B$3)*$H$3/(1+INDEX(Assumptions!$C$15:$E$15,$B$3)*$H$4)</f>
        <v>109067.796610169</v>
      </c>
      <c r="H53" s="8" t="n">
        <f aca="false">H38*INDEX(Assumptions!$C$22:$E$22,$B$3)*$H$3/(1+INDEX(Assumptions!$C$15:$E$15,$B$3)*$H$4)</f>
        <v>96949.1525423729</v>
      </c>
      <c r="I53" s="8" t="n">
        <f aca="false">I38*INDEX(Assumptions!$C$22:$E$22,$B$3)*$H$3/(1+INDEX(Assumptions!$C$15:$E$15,$B$3)*$H$4)</f>
        <v>84830.5084745763</v>
      </c>
      <c r="J53" s="8" t="n">
        <f aca="false">J38*INDEX(Assumptions!$C$22:$E$22,$B$3)*$H$3/(1+INDEX(Assumptions!$C$15:$E$15,$B$3)*$H$4)</f>
        <v>72711.8644067797</v>
      </c>
      <c r="K53" s="8" t="n">
        <f aca="false">K38*INDEX(Assumptions!$C$22:$E$22,$B$3)*$H$3/(1+INDEX(Assumptions!$C$15:$E$15,$B$3)*$H$4)</f>
        <v>72711.8644067797</v>
      </c>
      <c r="L53" s="8" t="n">
        <f aca="false">L38*INDEX(Assumptions!$C$22:$E$22,$B$3)*$H$3/(1+INDEX(Assumptions!$C$15:$E$15,$B$3)*$H$4)</f>
        <v>96949.1525423729</v>
      </c>
      <c r="M53" s="8" t="n">
        <f aca="false">M38*INDEX(Assumptions!$C$22:$E$22,$B$3)*$H$3/(1+INDEX(Assumptions!$C$15:$E$15,$B$3)*$H$4)</f>
        <v>133305.084745763</v>
      </c>
      <c r="N53" s="8" t="n">
        <f aca="false">N38*INDEX(Assumptions!$C$22:$E$22,$B$3)*$H$3/(1+INDEX(Assumptions!$C$15:$E$15,$B$3)*$H$4)</f>
        <v>169661.016949153</v>
      </c>
      <c r="O53" s="37" t="n">
        <f aca="false">SUM(C53:N53)</f>
        <v>1292655.36723164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50813.5593220339</v>
      </c>
      <c r="I54" s="8" t="n">
        <f aca="false">I41*INDEX(Assumptions!$C$83:$E$83,$B$3)/(1+INDEX(Assumptions!$C$15:$E$15,$B$3)*$H$4)</f>
        <v>50813.5593220339</v>
      </c>
      <c r="J54" s="8" t="n">
        <f aca="false">J41*INDEX(Assumptions!$C$83:$E$83,$B$3)/(1+INDEX(Assumptions!$C$15:$E$15,$B$3)*$H$4)</f>
        <v>50813.5593220339</v>
      </c>
      <c r="K54" s="8" t="n">
        <f aca="false">K41*INDEX(Assumptions!$C$83:$E$83,$B$3)/(1+INDEX(Assumptions!$C$15:$E$15,$B$3)*$H$4)</f>
        <v>50813.5593220339</v>
      </c>
      <c r="L54" s="8" t="n">
        <f aca="false">L41*INDEX(Assumptions!$C$83:$E$83,$B$3)/(1+INDEX(Assumptions!$C$15:$E$15,$B$3)*$H$4)</f>
        <v>50813.5593220339</v>
      </c>
      <c r="M54" s="8" t="n">
        <f aca="false">M41*INDEX(Assumptions!$C$83:$E$83,$B$3)/(1+INDEX(Assumptions!$C$15:$E$15,$B$3)*$H$4)</f>
        <v>50813.5593220339</v>
      </c>
      <c r="N54" s="8" t="n">
        <f aca="false">N41*INDEX(Assumptions!$C$83:$E$83,$B$3)/(1+INDEX(Assumptions!$C$15:$E$15,$B$3)*$H$4)</f>
        <v>50813.5593220339</v>
      </c>
      <c r="O54" s="37" t="n">
        <f aca="false">SUM(C54:N54)</f>
        <v>355694.915254237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6673.19491525424</v>
      </c>
      <c r="F55" s="8" t="n">
        <f aca="false">F42*INDEX(Assumptions!$C$23:$E$23,$B$3)/(1+INDEX(Assumptions!$C$15:$E$15,$B$3)*$H$4)</f>
        <v>13346.3898305085</v>
      </c>
      <c r="G55" s="8" t="n">
        <f aca="false">G42*INDEX(Assumptions!$C$23:$E$23,$B$3)/(1+INDEX(Assumptions!$C$15:$E$15,$B$3)*$H$4)</f>
        <v>20019.5847457627</v>
      </c>
      <c r="H55" s="8" t="n">
        <f aca="false">H42*INDEX(Assumptions!$C$23:$E$23,$B$3)/(1+INDEX(Assumptions!$C$15:$E$15,$B$3)*$H$4)</f>
        <v>26692.779661017</v>
      </c>
      <c r="I55" s="8" t="n">
        <f aca="false">I42*INDEX(Assumptions!$C$23:$E$23,$B$3)/(1+INDEX(Assumptions!$C$15:$E$15,$B$3)*$H$4)</f>
        <v>33365.9745762712</v>
      </c>
      <c r="J55" s="8" t="n">
        <f aca="false">J42*INDEX(Assumptions!$C$23:$E$23,$B$3)/(1+INDEX(Assumptions!$C$15:$E$15,$B$3)*$H$4)</f>
        <v>40039.1694915254</v>
      </c>
      <c r="K55" s="8" t="n">
        <f aca="false">K42*INDEX(Assumptions!$C$23:$E$23,$B$3)/(1+INDEX(Assumptions!$C$15:$E$15,$B$3)*$H$4)</f>
        <v>40039.1694915254</v>
      </c>
      <c r="L55" s="8" t="n">
        <f aca="false">L42*INDEX(Assumptions!$C$23:$E$23,$B$3)/(1+INDEX(Assumptions!$C$15:$E$15,$B$3)*$H$4)</f>
        <v>40039.1694915254</v>
      </c>
      <c r="M55" s="8" t="n">
        <f aca="false">M42*INDEX(Assumptions!$C$23:$E$23,$B$3)/(1+INDEX(Assumptions!$C$15:$E$15,$B$3)*$H$4)</f>
        <v>40039.1694915254</v>
      </c>
      <c r="N55" s="8" t="n">
        <f aca="false">N42*INDEX(Assumptions!$C$23:$E$23,$B$3)/(1+INDEX(Assumptions!$C$15:$E$15,$B$3)*$H$4)</f>
        <v>40039.1694915254</v>
      </c>
      <c r="O55" s="37" t="n">
        <f aca="false">SUM(C55:N55)</f>
        <v>300293.771186441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9702</v>
      </c>
      <c r="H56" s="8" t="n">
        <f aca="false">(H27+H28)*(1-H45)*INDEX(Assumptions!$C$90:$E$90,$B$3)</f>
        <v>12740</v>
      </c>
      <c r="I56" s="8" t="n">
        <f aca="false">(I27+I28)*(1-I45)*INDEX(Assumptions!$C$90:$E$90,$B$3)</f>
        <v>16258.9259259259</v>
      </c>
      <c r="J56" s="8" t="n">
        <f aca="false">(J27+J28)*(1-J45)*INDEX(Assumptions!$C$90:$E$90,$B$3)</f>
        <v>10793.5237555574</v>
      </c>
      <c r="K56" s="8" t="n">
        <f aca="false">(K27+K28)*(1-K45)*INDEX(Assumptions!$C$90:$E$90,$B$3)</f>
        <v>11769.7677193223</v>
      </c>
      <c r="L56" s="8" t="n">
        <f aca="false">(L27+L28)*(1-L45)*INDEX(Assumptions!$C$90:$E$90,$B$3)</f>
        <v>16170</v>
      </c>
      <c r="M56" s="8" t="n">
        <f aca="false">(M27+M28)*(1-M45)*INDEX(Assumptions!$C$90:$E$90,$B$3)</f>
        <v>12951.8133880515</v>
      </c>
      <c r="N56" s="8" t="n">
        <f aca="false">(N27+N28)*(1-N45)*INDEX(Assumptions!$C$90:$E$90,$B$3)</f>
        <v>12872.9658537711</v>
      </c>
      <c r="O56" s="37" t="n">
        <f aca="false">SUM(C56:N56)</f>
        <v>103258.996642628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169955.358214689</v>
      </c>
      <c r="D57" s="37" t="n">
        <f aca="false">SUM(D47:D56)</f>
        <v>314284.394067797</v>
      </c>
      <c r="E57" s="37" t="n">
        <f aca="false">SUM(E47:E56)</f>
        <v>492885.050847458</v>
      </c>
      <c r="F57" s="37" t="n">
        <f aca="false">SUM(F47:F56)</f>
        <v>698106.322033898</v>
      </c>
      <c r="G57" s="37" t="n">
        <f aca="false">SUM(G47:G56)</f>
        <v>1043599.11864407</v>
      </c>
      <c r="H57" s="37" t="n">
        <f aca="false">SUM(H47:H56)</f>
        <v>1381056.76271186</v>
      </c>
      <c r="I57" s="37" t="n">
        <f aca="false">SUM(I47:I56)</f>
        <v>1695608.42686755</v>
      </c>
      <c r="J57" s="37" t="n">
        <f aca="false">SUM(J47:J56)</f>
        <v>1332344.17816548</v>
      </c>
      <c r="K57" s="37" t="n">
        <f aca="false">SUM(K47:K56)</f>
        <v>1392221.06057899</v>
      </c>
      <c r="L57" s="37" t="n">
        <f aca="false">SUM(L47:L56)</f>
        <v>1765433.68864366</v>
      </c>
      <c r="M57" s="37" t="n">
        <f aca="false">SUM(M47:M56)</f>
        <v>1576173.46704197</v>
      </c>
      <c r="N57" s="37" t="n">
        <f aca="false">SUM(N47:N56)</f>
        <v>1593760.45866852</v>
      </c>
      <c r="O57" s="31" t="n">
        <f aca="false">SUM(C57:N57)</f>
        <v>13455428.2864859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112625.084745763</v>
      </c>
      <c r="D58" s="8" t="n">
        <f aca="false">D47+D48+D49+D50</f>
        <v>215888.949152542</v>
      </c>
      <c r="E58" s="8" t="n">
        <f aca="false">E47+E48+E49+E50</f>
        <v>285508.474576271</v>
      </c>
      <c r="F58" s="8" t="n">
        <f aca="false">F47+F48+F49+F50</f>
        <v>417661.016949153</v>
      </c>
      <c r="G58" s="8" t="n">
        <f aca="false">G47+G48+G49+G50</f>
        <v>740822.033898305</v>
      </c>
      <c r="H58" s="8" t="n">
        <f aca="false">H47+H48+H49+H50</f>
        <v>975288.13559322</v>
      </c>
      <c r="I58" s="8" t="n">
        <f aca="false">I47+I48+I49+I50</f>
        <v>1235869.58568738</v>
      </c>
      <c r="J58" s="8" t="n">
        <f aca="false">J47+J48+J49+J50</f>
        <v>829837.099325173</v>
      </c>
      <c r="K58" s="8" t="n">
        <f aca="false">K47+K48+K49+K50</f>
        <v>889316.25472407</v>
      </c>
      <c r="L58" s="8" t="n">
        <f aca="false">L47+L48+L49+L50</f>
        <v>1234759.1377962</v>
      </c>
      <c r="M58" s="8" t="n">
        <f aca="false">M47+M48+M49+M50</f>
        <v>1012650.42907765</v>
      </c>
      <c r="N58" s="8" t="n">
        <f aca="false">N47+N48+N49+N50</f>
        <v>994249.594509667</v>
      </c>
      <c r="O58" s="37" t="n">
        <f aca="false">SUM(C58:N58)</f>
        <v>8944475.7960354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7047.6</v>
      </c>
      <c r="D60" s="8" t="n">
        <f aca="false">((D27+D30)*INDEX(Assumptions!$C$91:$E$91,$B$3)+D28*INDEX(Assumptions!$C$93:$E$93,$B$3))*$N$3</f>
        <v>14333.16</v>
      </c>
      <c r="E60" s="8" t="n">
        <f aca="false">((E27+E30)*INDEX(Assumptions!$C$91:$E$91,$B$3)+E28*INDEX(Assumptions!$C$93:$E$93,$B$3))*$N$3</f>
        <v>19400</v>
      </c>
      <c r="F60" s="8" t="n">
        <f aca="false">((F27+F30)*INDEX(Assumptions!$C$91:$E$91,$B$3)+F28*INDEX(Assumptions!$C$93:$E$93,$B$3))*$N$3</f>
        <v>28140</v>
      </c>
      <c r="G60" s="8" t="n">
        <f aca="false">((G27+G30)*INDEX(Assumptions!$C$91:$E$91,$B$3)+G28*INDEX(Assumptions!$C$93:$E$93,$B$3))*$N$3</f>
        <v>38970</v>
      </c>
      <c r="H60" s="8" t="n">
        <f aca="false">((H27+H30)*INDEX(Assumptions!$C$91:$E$91,$B$3)+H28*INDEX(Assumptions!$C$93:$E$93,$B$3))*$N$3</f>
        <v>51440</v>
      </c>
      <c r="I60" s="8" t="n">
        <f aca="false">((I27+I30)*INDEX(Assumptions!$C$91:$E$91,$B$3)+I28*INDEX(Assumptions!$C$93:$E$93,$B$3))*$N$3</f>
        <v>64703.8888888889</v>
      </c>
      <c r="J60" s="8" t="n">
        <f aca="false">((J27+J30)*INDEX(Assumptions!$C$91:$E$91,$B$3)+J28*INDEX(Assumptions!$C$93:$E$93,$B$3))*$N$3</f>
        <v>46660.8162505356</v>
      </c>
      <c r="K60" s="8" t="n">
        <f aca="false">((K27+K30)*INDEX(Assumptions!$C$91:$E$91,$B$3)+K28*INDEX(Assumptions!$C$93:$E$93,$B$3))*$N$3</f>
        <v>49210.1385525962</v>
      </c>
      <c r="L60" s="8" t="n">
        <f aca="false">((L27+L30)*INDEX(Assumptions!$C$91:$E$91,$B$3)+L28*INDEX(Assumptions!$C$93:$E$93,$B$3))*$N$3</f>
        <v>68998.4802363198</v>
      </c>
      <c r="M60" s="8" t="n">
        <f aca="false">((M27+M30)*INDEX(Assumptions!$C$91:$E$91,$B$3)+M28*INDEX(Assumptions!$C$93:$E$93,$B$3))*$N$3</f>
        <v>57801.7152879294</v>
      </c>
      <c r="N60" s="8" t="n">
        <f aca="false">((N27+N30)*INDEX(Assumptions!$C$91:$E$91,$B$3)+N28*INDEX(Assumptions!$C$93:$E$93,$B$3))*$N$3</f>
        <v>56137.2366092016</v>
      </c>
      <c r="O60" s="37" t="n">
        <f aca="false">SUM(C60:N60)</f>
        <v>502843.035825471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14095.2</v>
      </c>
      <c r="D61" s="8" t="n">
        <f aca="false">(D27+D28)*D45*INDEX(Assumptions!$C$14:$E$14,$B$3)*$N$3</f>
        <v>26250</v>
      </c>
      <c r="E61" s="8" t="n">
        <f aca="false">(E27+E28)*E45*INDEX(Assumptions!$C$14:$E$14,$B$3)*$N$3</f>
        <v>34300</v>
      </c>
      <c r="F61" s="8" t="n">
        <f aca="false">(F27+F28)*F45*INDEX(Assumptions!$C$14:$E$14,$B$3)*$N$3</f>
        <v>50400</v>
      </c>
      <c r="G61" s="8" t="n">
        <f aca="false">(G27+G28)*G45*INDEX(Assumptions!$C$14:$E$14,$B$3)*$N$3</f>
        <v>0</v>
      </c>
      <c r="H61" s="8" t="n">
        <f aca="false">(H27+H28)*H45*INDEX(Assumptions!$C$14:$E$14,$B$3)*$N$3</f>
        <v>0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125045.2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906.12</v>
      </c>
      <c r="D62" s="8" t="n">
        <f aca="false">D29*INDEX(Assumptions!$C$92:$E$92,$B$3)*$N$3</f>
        <v>1687.5</v>
      </c>
      <c r="E62" s="8" t="n">
        <f aca="false">E29*INDEX(Assumptions!$C$92:$E$92,$B$3)*$N$3</f>
        <v>2205</v>
      </c>
      <c r="F62" s="8" t="n">
        <f aca="false">F29*INDEX(Assumptions!$C$92:$E$92,$B$3)*$N$3</f>
        <v>3240</v>
      </c>
      <c r="G62" s="8" t="n">
        <f aca="false">G29*INDEX(Assumptions!$C$92:$E$92,$B$3)*$N$3</f>
        <v>4455</v>
      </c>
      <c r="H62" s="8" t="n">
        <f aca="false">H29*INDEX(Assumptions!$C$92:$E$92,$B$3)*$N$3</f>
        <v>5850</v>
      </c>
      <c r="I62" s="8" t="n">
        <f aca="false">I29*INDEX(Assumptions!$C$92:$E$92,$B$3)*$N$3</f>
        <v>7465.83333333333</v>
      </c>
      <c r="J62" s="8" t="n">
        <f aca="false">J29*INDEX(Assumptions!$C$92:$E$92,$B$3)*$N$3</f>
        <v>4956.20988775596</v>
      </c>
      <c r="K62" s="8" t="n">
        <f aca="false">K29*INDEX(Assumptions!$C$92:$E$92,$B$3)*$N$3</f>
        <v>5404.48517723982</v>
      </c>
      <c r="L62" s="8" t="n">
        <f aca="false">L29*INDEX(Assumptions!$C$92:$E$92,$B$3)*$N$3</f>
        <v>7425</v>
      </c>
      <c r="M62" s="8" t="n">
        <f aca="false">M29*INDEX(Assumptions!$C$92:$E$92,$B$3)*$N$3</f>
        <v>5947.26124961547</v>
      </c>
      <c r="N62" s="8" t="n">
        <f aca="false">N29*INDEX(Assumptions!$C$92:$E$92,$B$3)*$N$3</f>
        <v>5911.05574918059</v>
      </c>
      <c r="O62" s="37" t="n">
        <f aca="false">SUM(C62:N62)</f>
        <v>55453.4653971252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3303.73333333333</v>
      </c>
      <c r="D63" s="8" t="n">
        <f aca="false">(D37*INDEX(Assumptions!$C$94:$E$94,$B$3)+D38*INDEX(Assumptions!$C$95:$E$95,$B$3)+D39*INDEX(Assumptions!$C$96:$E$96,$B$3))*$N$3</f>
        <v>5696.66666666667</v>
      </c>
      <c r="E63" s="8" t="n">
        <f aca="false">(E37*INDEX(Assumptions!$C$94:$E$94,$B$3)+E38*INDEX(Assumptions!$C$95:$E$95,$B$3)+E39*INDEX(Assumptions!$C$96:$E$96,$B$3))*$N$3</f>
        <v>12064.4444444444</v>
      </c>
      <c r="F63" s="8" t="n">
        <f aca="false">(F37*INDEX(Assumptions!$C$94:$E$94,$B$3)+F38*INDEX(Assumptions!$C$95:$E$95,$B$3)+F39*INDEX(Assumptions!$C$96:$E$96,$B$3))*$N$3</f>
        <v>16580</v>
      </c>
      <c r="G63" s="8" t="n">
        <f aca="false">(G37*INDEX(Assumptions!$C$94:$E$94,$B$3)+G38*INDEX(Assumptions!$C$95:$E$95,$B$3)+G39*INDEX(Assumptions!$C$96:$E$96,$B$3))*$N$3</f>
        <v>17840</v>
      </c>
      <c r="H63" s="8" t="n">
        <f aca="false">(H37*INDEX(Assumptions!$C$94:$E$94,$B$3)+H38*INDEX(Assumptions!$C$95:$E$95,$B$3)+H39*INDEX(Assumptions!$C$96:$E$96,$B$3))*$N$3</f>
        <v>21124.4444444444</v>
      </c>
      <c r="I63" s="8" t="n">
        <f aca="false">(I37*INDEX(Assumptions!$C$94:$E$94,$B$3)+I38*INDEX(Assumptions!$C$95:$E$95,$B$3)+I39*INDEX(Assumptions!$C$96:$E$96,$B$3))*$N$3</f>
        <v>24786.6666666667</v>
      </c>
      <c r="J63" s="8" t="n">
        <f aca="false">(J37*INDEX(Assumptions!$C$94:$E$94,$B$3)+J38*INDEX(Assumptions!$C$95:$E$95,$B$3)+J39*INDEX(Assumptions!$C$96:$E$96,$B$3))*$N$3</f>
        <v>27810</v>
      </c>
      <c r="K63" s="8" t="n">
        <f aca="false">(K37*INDEX(Assumptions!$C$94:$E$94,$B$3)+K38*INDEX(Assumptions!$C$95:$E$95,$B$3)+K39*INDEX(Assumptions!$C$96:$E$96,$B$3))*$N$3</f>
        <v>27643.3333333333</v>
      </c>
      <c r="L63" s="8" t="n">
        <f aca="false">(L37*INDEX(Assumptions!$C$94:$E$94,$B$3)+L38*INDEX(Assumptions!$C$95:$E$95,$B$3)+L39*INDEX(Assumptions!$C$96:$E$96,$B$3))*$N$3</f>
        <v>28713.3333333333</v>
      </c>
      <c r="M63" s="8" t="n">
        <f aca="false">(M37*INDEX(Assumptions!$C$94:$E$94,$B$3)+M38*INDEX(Assumptions!$C$95:$E$95,$B$3)+M39*INDEX(Assumptions!$C$96:$E$96,$B$3))*$N$3</f>
        <v>30610</v>
      </c>
      <c r="N63" s="8" t="n">
        <f aca="false">(N37*INDEX(Assumptions!$C$94:$E$94,$B$3)+N38*INDEX(Assumptions!$C$95:$E$95,$B$3)+N39*INDEX(Assumptions!$C$96:$E$96,$B$3))*$N$3</f>
        <v>32506.6666666667</v>
      </c>
      <c r="O63" s="37" t="n">
        <f aca="false">SUM(C63:N63)</f>
        <v>248679.288888889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45000</v>
      </c>
      <c r="I64" s="8" t="n">
        <f aca="false">I40*INDEX(Assumptions!$C$84:$E$84,$B$3)</f>
        <v>45000</v>
      </c>
      <c r="J64" s="8" t="n">
        <f aca="false">J40*INDEX(Assumptions!$C$84:$E$84,$B$3)</f>
        <v>45000</v>
      </c>
      <c r="K64" s="8" t="n">
        <f aca="false">K40*INDEX(Assumptions!$C$84:$E$84,$B$3)</f>
        <v>45000</v>
      </c>
      <c r="L64" s="8" t="n">
        <f aca="false">L40*INDEX(Assumptions!$C$84:$E$84,$B$3)</f>
        <v>45000</v>
      </c>
      <c r="M64" s="8" t="n">
        <f aca="false">M40*INDEX(Assumptions!$C$84:$E$84,$B$3)</f>
        <v>45000</v>
      </c>
      <c r="N64" s="8" t="n">
        <f aca="false">N40*INDEX(Assumptions!$C$84:$E$84,$B$3)</f>
        <v>45000</v>
      </c>
      <c r="O64" s="37" t="n">
        <f aca="false">SUM(C64:N64)</f>
        <v>315000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945</v>
      </c>
      <c r="F65" s="8" t="n">
        <f aca="false">F42*INDEX(Assumptions!$C$97:$E$97,$B$3)</f>
        <v>1890</v>
      </c>
      <c r="G65" s="8" t="n">
        <f aca="false">G42*INDEX(Assumptions!$C$97:$E$97,$B$3)</f>
        <v>2835</v>
      </c>
      <c r="H65" s="8" t="n">
        <f aca="false">H42*INDEX(Assumptions!$C$97:$E$97,$B$3)</f>
        <v>3780</v>
      </c>
      <c r="I65" s="8" t="n">
        <f aca="false">I42*INDEX(Assumptions!$C$97:$E$97,$B$3)</f>
        <v>4725</v>
      </c>
      <c r="J65" s="8" t="n">
        <f aca="false">J42*INDEX(Assumptions!$C$97:$E$97,$B$3)</f>
        <v>5670</v>
      </c>
      <c r="K65" s="8" t="n">
        <f aca="false">K42*INDEX(Assumptions!$C$97:$E$97,$B$3)</f>
        <v>5670</v>
      </c>
      <c r="L65" s="8" t="n">
        <f aca="false">L42*INDEX(Assumptions!$C$97:$E$97,$B$3)</f>
        <v>5670</v>
      </c>
      <c r="M65" s="8" t="n">
        <f aca="false">M42*INDEX(Assumptions!$C$97:$E$97,$B$3)</f>
        <v>5670</v>
      </c>
      <c r="N65" s="8" t="n">
        <f aca="false">N42*INDEX(Assumptions!$C$97:$E$97,$B$3)</f>
        <v>5670</v>
      </c>
      <c r="O65" s="37" t="n">
        <f aca="false">SUM(C65:N65)</f>
        <v>42525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4244.13580848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7900.14429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12093.37848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17201.61828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26609.16528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35185.68564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43420.8296533333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33282.1192276609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34894.3270782409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44903.4062423884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39576.9824529105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39826.7692363954</v>
      </c>
      <c r="O66" s="37" t="n">
        <f aca="false">SUM(C66:N66)</f>
        <v>339138.561669409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805.44</v>
      </c>
      <c r="D67" s="8" t="n">
        <f aca="false">D31*INDEX(Assumptions!$C$198:$E$198,$B$3)*INDEX(Assumptions!$C$69:$E$69,$B$3)</f>
        <v>1500</v>
      </c>
      <c r="E67" s="8" t="n">
        <f aca="false">E31*INDEX(Assumptions!$C$198:$E$198,$B$3)*INDEX(Assumptions!$C$69:$E$69,$B$3)</f>
        <v>1960</v>
      </c>
      <c r="F67" s="8" t="n">
        <f aca="false">F31*INDEX(Assumptions!$C$198:$E$198,$B$3)*INDEX(Assumptions!$C$69:$E$69,$B$3)</f>
        <v>2880</v>
      </c>
      <c r="G67" s="8" t="n">
        <f aca="false">G31*INDEX(Assumptions!$C$198:$E$198,$B$3)*INDEX(Assumptions!$C$69:$E$69,$B$3)</f>
        <v>3960</v>
      </c>
      <c r="H67" s="8" t="n">
        <f aca="false">H31*INDEX(Assumptions!$C$198:$E$198,$B$3)*INDEX(Assumptions!$C$69:$E$69,$B$3)</f>
        <v>5200</v>
      </c>
      <c r="I67" s="8" t="n">
        <f aca="false">I31*INDEX(Assumptions!$C$198:$E$198,$B$3)*INDEX(Assumptions!$C$69:$E$69,$B$3)</f>
        <v>6636.2962962963</v>
      </c>
      <c r="J67" s="8" t="n">
        <f aca="false">J31*INDEX(Assumptions!$C$198:$E$198,$B$3)*INDEX(Assumptions!$C$69:$E$69,$B$3)</f>
        <v>4405.51990022752</v>
      </c>
      <c r="K67" s="8" t="n">
        <f aca="false">K31*INDEX(Assumptions!$C$198:$E$198,$B$3)*INDEX(Assumptions!$C$69:$E$69,$B$3)</f>
        <v>4803.98682421317</v>
      </c>
      <c r="L67" s="8" t="n">
        <f aca="false">L31*INDEX(Assumptions!$C$198:$E$198,$B$3)*INDEX(Assumptions!$C$69:$E$69,$B$3)</f>
        <v>6600</v>
      </c>
      <c r="M67" s="8" t="n">
        <f aca="false">M31*INDEX(Assumptions!$C$198:$E$198,$B$3)*INDEX(Assumptions!$C$69:$E$69,$B$3)</f>
        <v>5286.45444410264</v>
      </c>
      <c r="N67" s="8" t="n">
        <f aca="false">N31*INDEX(Assumptions!$C$198:$E$198,$B$3)*INDEX(Assumptions!$C$69:$E$69,$B$3)</f>
        <v>5254.27177704942</v>
      </c>
      <c r="O67" s="37" t="n">
        <f aca="false">SUM(C67:N67)</f>
        <v>49291.969241889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30402.2291418133</v>
      </c>
      <c r="D68" s="37" t="n">
        <f aca="false">SUM(D60:D67)</f>
        <v>57367.4709566667</v>
      </c>
      <c r="E68" s="37" t="n">
        <f aca="false">SUM(E60:E67)</f>
        <v>82967.8229244444</v>
      </c>
      <c r="F68" s="37" t="n">
        <f aca="false">SUM(F60:F67)</f>
        <v>120331.61828</v>
      </c>
      <c r="G68" s="37" t="n">
        <f aca="false">SUM(G60:G67)</f>
        <v>94669.16528</v>
      </c>
      <c r="H68" s="37" t="n">
        <f aca="false">SUM(H60:H67)</f>
        <v>167580.130084444</v>
      </c>
      <c r="I68" s="37" t="n">
        <f aca="false">SUM(I60:I67)</f>
        <v>196738.514838519</v>
      </c>
      <c r="J68" s="37" t="n">
        <f aca="false">SUM(J60:J67)</f>
        <v>167784.66526618</v>
      </c>
      <c r="K68" s="37" t="n">
        <f aca="false">SUM(K60:K67)</f>
        <v>172626.270965623</v>
      </c>
      <c r="L68" s="37" t="n">
        <f aca="false">SUM(L60:L67)</f>
        <v>207310.219812042</v>
      </c>
      <c r="M68" s="37" t="n">
        <f aca="false">SUM(M60:M67)</f>
        <v>189892.413434558</v>
      </c>
      <c r="N68" s="37" t="n">
        <f aca="false">SUM(N60:N67)</f>
        <v>190306.000038494</v>
      </c>
      <c r="O68" s="31" t="n">
        <f aca="false">SUM(C68:N68)</f>
        <v>1677976.52102278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139553.129072876</v>
      </c>
      <c r="D69" s="37" t="n">
        <f aca="false">D57-D68</f>
        <v>256916.92311113</v>
      </c>
      <c r="E69" s="37" t="n">
        <f aca="false">E57-E68</f>
        <v>409917.227923013</v>
      </c>
      <c r="F69" s="37" t="n">
        <f aca="false">F57-F68</f>
        <v>577774.703753898</v>
      </c>
      <c r="G69" s="37" t="n">
        <f aca="false">G57-G68</f>
        <v>948929.953364068</v>
      </c>
      <c r="H69" s="37" t="n">
        <f aca="false">H57-H68</f>
        <v>1213476.63262742</v>
      </c>
      <c r="I69" s="37" t="n">
        <f aca="false">I57-I68</f>
        <v>1498869.91202903</v>
      </c>
      <c r="J69" s="37" t="n">
        <f aca="false">J57-J68</f>
        <v>1164559.5128993</v>
      </c>
      <c r="K69" s="37" t="n">
        <f aca="false">K57-K68</f>
        <v>1219594.78961336</v>
      </c>
      <c r="L69" s="37" t="n">
        <f aca="false">L57-L68</f>
        <v>1558123.46883162</v>
      </c>
      <c r="M69" s="37" t="n">
        <f aca="false">M57-M68</f>
        <v>1386281.05360742</v>
      </c>
      <c r="N69" s="37" t="n">
        <f aca="false">N57-N68</f>
        <v>1403454.45863003</v>
      </c>
      <c r="O69" s="31" t="n">
        <f aca="false">SUM(C69:N69)</f>
        <v>11777451.7654632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0.821116383377517</v>
      </c>
      <c r="D70" s="7" t="n">
        <f aca="false">IFERROR(D69/D57,0)</f>
        <v>0.817466371097346</v>
      </c>
      <c r="E70" s="7" t="n">
        <f aca="false">IFERROR(E69/E57,0)</f>
        <v>0.831669021444673</v>
      </c>
      <c r="F70" s="7" t="n">
        <f aca="false">IFERROR(F69/F57,0)</f>
        <v>0.827631387251415</v>
      </c>
      <c r="G70" s="7" t="n">
        <f aca="false">IFERROR(G69/G57,0)</f>
        <v>0.909285889966061</v>
      </c>
      <c r="H70" s="7" t="n">
        <f aca="false">IFERROR(H69/H57,0)</f>
        <v>0.878658043167334</v>
      </c>
      <c r="I70" s="7" t="n">
        <f aca="false">IFERROR(I69/I57,0)</f>
        <v>0.883971728542319</v>
      </c>
      <c r="J70" s="7" t="n">
        <f aca="false">IFERROR(J69/J57,0)</f>
        <v>0.874068076390588</v>
      </c>
      <c r="K70" s="7" t="n">
        <f aca="false">IFERROR(K69/K57,0)</f>
        <v>0.876006565441674</v>
      </c>
      <c r="L70" s="7" t="n">
        <f aca="false">IFERROR(L69/L57,0)</f>
        <v>0.88257263858417</v>
      </c>
      <c r="M70" s="7" t="n">
        <f aca="false">IFERROR(M69/M57,0)</f>
        <v>0.879523150588919</v>
      </c>
      <c r="N70" s="7" t="n">
        <f aca="false">IFERROR(N69/N57,0)</f>
        <v>0.880593097285472</v>
      </c>
      <c r="O70" s="13" t="n">
        <f aca="false">IFERROR(O69/O57,0)</f>
        <v>0.87529371155669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2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3</v>
      </c>
      <c r="I72" s="8" t="n">
        <f aca="false">ROUNDUP(I33/(INDEX(Assumptions!$C$102:$E$102,$B$3)*$J$3),0)</f>
        <v>4</v>
      </c>
      <c r="J72" s="8" t="n">
        <f aca="false">ROUNDUP(J33/(INDEX(Assumptions!$C$102:$E$102,$B$3)*$J$3),0)</f>
        <v>4</v>
      </c>
      <c r="K72" s="8" t="n">
        <f aca="false">ROUNDUP(K33/(INDEX(Assumptions!$C$102:$E$102,$B$3)*$J$3),0)</f>
        <v>4</v>
      </c>
      <c r="L72" s="8" t="n">
        <f aca="false">ROUNDUP(L33/(INDEX(Assumptions!$C$102:$E$102,$B$3)*$J$3),0)</f>
        <v>4</v>
      </c>
      <c r="M72" s="8" t="n">
        <f aca="false">ROUNDUP(M33/(INDEX(Assumptions!$C$102:$E$102,$B$3)*$J$3),0)</f>
        <v>4</v>
      </c>
      <c r="N72" s="8" t="n">
        <f aca="false">ROUNDUP(N33/(INDEX(Assumptions!$C$102:$E$102,$B$3)*$J$3),0)</f>
        <v>4</v>
      </c>
      <c r="O72" s="37" t="n">
        <f aca="false">MAX(C72:N72)</f>
        <v>4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0.0916666666666667</v>
      </c>
      <c r="D73" s="6" t="n">
        <f aca="false">D72*(1-D11)</f>
        <v>0.183333333333333</v>
      </c>
      <c r="E73" s="6" t="n">
        <f aca="false">E72*(1-E11)</f>
        <v>0.275</v>
      </c>
      <c r="F73" s="6" t="n">
        <f aca="false">F72*(1-F11)</f>
        <v>0.733333333333333</v>
      </c>
      <c r="G73" s="6" t="n">
        <f aca="false">G72*(1-G11)</f>
        <v>0.916666666666667</v>
      </c>
      <c r="H73" s="6" t="n">
        <f aca="false">H72*(1-H11)</f>
        <v>1.65</v>
      </c>
      <c r="I73" s="6" t="n">
        <f aca="false">I72*(1-I11)</f>
        <v>2.33333333333333</v>
      </c>
      <c r="J73" s="6" t="n">
        <f aca="false">J72*(1-J11)</f>
        <v>2.46666666666667</v>
      </c>
      <c r="K73" s="6" t="n">
        <f aca="false">K72*(1-K11)</f>
        <v>2.6</v>
      </c>
      <c r="L73" s="6" t="n">
        <f aca="false">L72*(1-L11)</f>
        <v>2.73333333333333</v>
      </c>
      <c r="M73" s="6" t="n">
        <f aca="false">M72*(1-M11)</f>
        <v>2.86666666666667</v>
      </c>
      <c r="N73" s="6" t="n">
        <f aca="false">N72*(1-N11)</f>
        <v>3</v>
      </c>
      <c r="O73" s="39" t="n">
        <f aca="false">MAX(C73:N73)</f>
        <v>3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1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1</v>
      </c>
      <c r="J75" s="8" t="n">
        <f aca="false">IF(J74=0,0,MAX(0,ROUNDUP((J73-J74*INDEX(Assumptions!$C$101:$E$101,$B$3))/INDEX(Assumptions!$C$101:$E$101,$B$3)-0.1,0)))</f>
        <v>1</v>
      </c>
      <c r="K75" s="8" t="n">
        <f aca="false">IF(K74=0,0,MAX(0,ROUNDUP((K73-K74*INDEX(Assumptions!$C$101:$E$101,$B$3))/INDEX(Assumptions!$C$101:$E$101,$B$3)-0.1,0)))</f>
        <v>1</v>
      </c>
      <c r="L75" s="8" t="n">
        <f aca="false">IF(L74=0,0,MAX(0,ROUNDUP((L73-L74*INDEX(Assumptions!$C$101:$E$101,$B$3))/INDEX(Assumptions!$C$101:$E$101,$B$3)-0.1,0)))</f>
        <v>1</v>
      </c>
      <c r="M75" s="8" t="n">
        <f aca="false">IF(M74=0,0,MAX(0,ROUNDUP((M73-M74*INDEX(Assumptions!$C$101:$E$101,$B$3))/INDEX(Assumptions!$C$101:$E$101,$B$3)-0.1,0)))</f>
        <v>1</v>
      </c>
      <c r="N75" s="8" t="n">
        <f aca="false">IF(N74=0,0,MAX(0,ROUNDUP((N73-N74*INDEX(Assumptions!$C$101:$E$101,$B$3))/INDEX(Assumptions!$C$101:$E$101,$B$3)-0.1,0)))</f>
        <v>1</v>
      </c>
      <c r="O75" s="37" t="n">
        <f aca="false">MAX(C75:N75)</f>
        <v>1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2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71000</v>
      </c>
      <c r="D77" s="8" t="n">
        <f aca="false">D74*INDEX(Assumptions!$C$98:$E$98,$B$3)+D75*INDEX(Assumptions!$C$99:$E$99,$B$3)+D76*INDEX(Assumptions!$C$100:$E$100,$B$3)</f>
        <v>71000</v>
      </c>
      <c r="E77" s="8" t="n">
        <f aca="false">E74*INDEX(Assumptions!$C$98:$E$98,$B$3)+E75*INDEX(Assumptions!$C$99:$E$99,$B$3)+E76*INDEX(Assumptions!$C$100:$E$100,$B$3)</f>
        <v>71000</v>
      </c>
      <c r="F77" s="8" t="n">
        <f aca="false">F74*INDEX(Assumptions!$C$98:$E$98,$B$3)+F75*INDEX(Assumptions!$C$99:$E$99,$B$3)+F76*INDEX(Assumptions!$C$100:$E$100,$B$3)</f>
        <v>71000</v>
      </c>
      <c r="G77" s="8" t="n">
        <f aca="false">G74*INDEX(Assumptions!$C$98:$E$98,$B$3)+G75*INDEX(Assumptions!$C$99:$E$99,$B$3)+G76*INDEX(Assumptions!$C$100:$E$100,$B$3)</f>
        <v>71000</v>
      </c>
      <c r="H77" s="8" t="n">
        <f aca="false">H74*INDEX(Assumptions!$C$98:$E$98,$B$3)+H75*INDEX(Assumptions!$C$99:$E$99,$B$3)+H76*INDEX(Assumptions!$C$100:$E$100,$B$3)</f>
        <v>87000</v>
      </c>
      <c r="I77" s="8" t="n">
        <f aca="false">I74*INDEX(Assumptions!$C$98:$E$98,$B$3)+I75*INDEX(Assumptions!$C$99:$E$99,$B$3)+I76*INDEX(Assumptions!$C$100:$E$100,$B$3)</f>
        <v>119000</v>
      </c>
      <c r="J77" s="8" t="n">
        <f aca="false">J74*INDEX(Assumptions!$C$98:$E$98,$B$3)+J75*INDEX(Assumptions!$C$99:$E$99,$B$3)+J76*INDEX(Assumptions!$C$100:$E$100,$B$3)</f>
        <v>119000</v>
      </c>
      <c r="K77" s="8" t="n">
        <f aca="false">K74*INDEX(Assumptions!$C$98:$E$98,$B$3)+K75*INDEX(Assumptions!$C$99:$E$99,$B$3)+K76*INDEX(Assumptions!$C$100:$E$100,$B$3)</f>
        <v>119000</v>
      </c>
      <c r="L77" s="8" t="n">
        <f aca="false">L74*INDEX(Assumptions!$C$98:$E$98,$B$3)+L75*INDEX(Assumptions!$C$99:$E$99,$B$3)+L76*INDEX(Assumptions!$C$100:$E$100,$B$3)</f>
        <v>119000</v>
      </c>
      <c r="M77" s="8" t="n">
        <f aca="false">M74*INDEX(Assumptions!$C$98:$E$98,$B$3)+M75*INDEX(Assumptions!$C$99:$E$99,$B$3)+M76*INDEX(Assumptions!$C$100:$E$100,$B$3)</f>
        <v>119000</v>
      </c>
      <c r="N77" s="8" t="n">
        <f aca="false">N74*INDEX(Assumptions!$C$98:$E$98,$B$3)+N75*INDEX(Assumptions!$C$99:$E$99,$B$3)+N76*INDEX(Assumptions!$C$100:$E$100,$B$3)</f>
        <v>119000</v>
      </c>
      <c r="O77" s="37" t="n">
        <f aca="false">SUM(C77:N77)</f>
        <v>1156000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50000</v>
      </c>
      <c r="G78" s="8" t="n">
        <f aca="false">(IF(5&gt;=INDEX(Assumptions!$C$164:$E$164,$D$3),1,0)+IF(5&gt;=INDEX(Assumptions!$C$166:$E$166,$D$3),INDEX(Assumptions!$C$165:$E$165,$D$3),0))*INDEX(Assumptions!$C$108:$E$108,$D$3)</f>
        <v>50000</v>
      </c>
      <c r="H78" s="8" t="n">
        <f aca="false">(IF(6&gt;=INDEX(Assumptions!$C$164:$E$164,$D$3),1,0)+IF(6&gt;=INDEX(Assumptions!$C$166:$E$166,$D$3),INDEX(Assumptions!$C$165:$E$165,$D$3),0))*INDEX(Assumptions!$C$108:$E$108,$D$3)</f>
        <v>50000</v>
      </c>
      <c r="I78" s="8" t="n">
        <f aca="false">(IF(7&gt;=INDEX(Assumptions!$C$164:$E$164,$D$3),1,0)+IF(7&gt;=INDEX(Assumptions!$C$166:$E$166,$D$3),INDEX(Assumptions!$C$165:$E$165,$D$3),0))*INDEX(Assumptions!$C$108:$E$108,$D$3)</f>
        <v>50000</v>
      </c>
      <c r="J78" s="8" t="n">
        <f aca="false">(IF(8&gt;=INDEX(Assumptions!$C$164:$E$164,$D$3),1,0)+IF(8&gt;=INDEX(Assumptions!$C$166:$E$166,$D$3),INDEX(Assumptions!$C$165:$E$165,$D$3),0))*INDEX(Assumptions!$C$108:$E$108,$D$3)</f>
        <v>50000</v>
      </c>
      <c r="K78" s="8" t="n">
        <f aca="false">(IF(9&gt;=INDEX(Assumptions!$C$164:$E$164,$D$3),1,0)+IF(9&gt;=INDEX(Assumptions!$C$166:$E$166,$D$3),INDEX(Assumptions!$C$165:$E$165,$D$3),0))*INDEX(Assumptions!$C$108:$E$108,$D$3)</f>
        <v>50000</v>
      </c>
      <c r="L78" s="8" t="n">
        <f aca="false">(IF(10&gt;=INDEX(Assumptions!$C$164:$E$164,$D$3),1,0)+IF(10&gt;=INDEX(Assumptions!$C$166:$E$166,$D$3),INDEX(Assumptions!$C$165:$E$165,$D$3),0))*INDEX(Assumptions!$C$108:$E$108,$D$3)</f>
        <v>50000</v>
      </c>
      <c r="M78" s="8" t="n">
        <f aca="false">(IF(11&gt;=INDEX(Assumptions!$C$164:$E$164,$D$3),1,0)+IF(11&gt;=INDEX(Assumptions!$C$166:$E$166,$D$3),INDEX(Assumptions!$C$165:$E$165,$D$3),0))*INDEX(Assumptions!$C$108:$E$108,$D$3)</f>
        <v>50000</v>
      </c>
      <c r="N78" s="8" t="n">
        <f aca="false">(IF(12&gt;=INDEX(Assumptions!$C$164:$E$164,$D$3),1,0)+IF(12&gt;=INDEX(Assumptions!$C$166:$E$166,$D$3),INDEX(Assumptions!$C$165:$E$165,$D$3),0))*INDEX(Assumptions!$C$108:$E$108,$D$3)</f>
        <v>50000</v>
      </c>
      <c r="O78" s="37" t="n">
        <f aca="false">SUM(C78:N78)</f>
        <v>525000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25000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135000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160000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160000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160000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160000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160000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160000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160000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160000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160000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160000</v>
      </c>
      <c r="O79" s="37" t="n">
        <f aca="false">SUM(C79:N79)</f>
        <v>1760000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18000</v>
      </c>
      <c r="G80" s="8" t="n">
        <f aca="false">IF(5&gt;=INDEX(Assumptions!$C$173:$E$173,$D$3),INDEX(Assumptions!$C$185:$E$185,$D$3),0)</f>
        <v>18000</v>
      </c>
      <c r="H80" s="8" t="n">
        <f aca="false">IF(6&gt;=INDEX(Assumptions!$C$173:$E$173,$D$3),INDEX(Assumptions!$C$185:$E$185,$D$3),0)</f>
        <v>18000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162000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65000</v>
      </c>
      <c r="M81" s="8" t="n">
        <f aca="false">IF(11&gt;=INDEX(Assumptions!$C$187:$E$187,$D$3),INDEX(Assumptions!$C$186:$E$186,$B$3),0)</f>
        <v>65000</v>
      </c>
      <c r="N81" s="8" t="n">
        <f aca="false">IF(12&gt;=INDEX(Assumptions!$C$187:$E$187,$D$3),INDEX(Assumptions!$C$186:$E$186,$B$3),0)</f>
        <v>65000</v>
      </c>
      <c r="O81" s="37" t="n">
        <f aca="false">SUM(C81:N81)</f>
        <v>195000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121000</v>
      </c>
      <c r="D82" s="37" t="n">
        <f aca="false">SUM(D77:D81)</f>
        <v>231000</v>
      </c>
      <c r="E82" s="37" t="n">
        <f aca="false">SUM(E77:E81)</f>
        <v>256000</v>
      </c>
      <c r="F82" s="37" t="n">
        <f aca="false">SUM(F77:F81)</f>
        <v>299000</v>
      </c>
      <c r="G82" s="37" t="n">
        <f aca="false">SUM(G77:G81)</f>
        <v>299000</v>
      </c>
      <c r="H82" s="37" t="n">
        <f aca="false">SUM(H77:H81)</f>
        <v>315000</v>
      </c>
      <c r="I82" s="37" t="n">
        <f aca="false">SUM(I77:I81)</f>
        <v>347000</v>
      </c>
      <c r="J82" s="37" t="n">
        <f aca="false">SUM(J77:J81)</f>
        <v>347000</v>
      </c>
      <c r="K82" s="37" t="n">
        <f aca="false">SUM(K77:K81)</f>
        <v>347000</v>
      </c>
      <c r="L82" s="37" t="n">
        <f aca="false">SUM(L77:L81)</f>
        <v>412000</v>
      </c>
      <c r="M82" s="37" t="n">
        <f aca="false">SUM(M77:M81)</f>
        <v>412000</v>
      </c>
      <c r="N82" s="37" t="n">
        <f aca="false">SUM(N77:N81)</f>
        <v>412000</v>
      </c>
      <c r="O82" s="31" t="n">
        <f aca="false">SUM(C82:N82)</f>
        <v>3798000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128000</v>
      </c>
      <c r="G84" s="8" t="n">
        <f aca="false">IF(5&gt;=INDEX(Assumptions!$C$173:$E$173,$D$3),INDEX(Assumptions!$C$174:$E$174,$D$3)*INDEX(Assumptions!$C$175:$E$175,$B$3),INDEX(Assumptions!$C$179:$E$179,$B$3))*$F$4</f>
        <v>128000</v>
      </c>
      <c r="H84" s="8" t="n">
        <f aca="false">IF(6&gt;=INDEX(Assumptions!$C$173:$E$173,$D$3),INDEX(Assumptions!$C$174:$E$174,$D$3)*INDEX(Assumptions!$C$175:$E$175,$B$3),INDEX(Assumptions!$C$179:$E$179,$B$3))*$F$4</f>
        <v>128000</v>
      </c>
      <c r="I84" s="8" t="n">
        <f aca="false">IF(7&gt;=INDEX(Assumptions!$C$173:$E$173,$D$3),INDEX(Assumptions!$C$174:$E$174,$D$3)*INDEX(Assumptions!$C$175:$E$175,$B$3),INDEX(Assumptions!$C$179:$E$179,$B$3))*$F$4</f>
        <v>128000</v>
      </c>
      <c r="J84" s="8" t="n">
        <f aca="false">IF(8&gt;=INDEX(Assumptions!$C$173:$E$173,$D$3),INDEX(Assumptions!$C$174:$E$174,$D$3)*INDEX(Assumptions!$C$175:$E$175,$B$3),INDEX(Assumptions!$C$179:$E$179,$B$3))*$F$4</f>
        <v>128000</v>
      </c>
      <c r="K84" s="8" t="n">
        <f aca="false">IF(9&gt;=INDEX(Assumptions!$C$173:$E$173,$D$3),INDEX(Assumptions!$C$174:$E$174,$D$3)*INDEX(Assumptions!$C$175:$E$175,$B$3),INDEX(Assumptions!$C$179:$E$179,$B$3))*$F$4</f>
        <v>128000</v>
      </c>
      <c r="L84" s="8" t="n">
        <f aca="false">IF(10&gt;=INDEX(Assumptions!$C$173:$E$173,$D$3),INDEX(Assumptions!$C$174:$E$174,$D$3)*INDEX(Assumptions!$C$175:$E$175,$B$3),INDEX(Assumptions!$C$179:$E$179,$B$3))*$F$4</f>
        <v>128000</v>
      </c>
      <c r="M84" s="8" t="n">
        <f aca="false">IF(11&gt;=INDEX(Assumptions!$C$173:$E$173,$D$3),INDEX(Assumptions!$C$174:$E$174,$D$3)*INDEX(Assumptions!$C$175:$E$175,$B$3),INDEX(Assumptions!$C$179:$E$179,$B$3))*$F$4</f>
        <v>128000</v>
      </c>
      <c r="N84" s="8" t="n">
        <f aca="false">IF(12&gt;=INDEX(Assumptions!$C$173:$E$173,$D$3),INDEX(Assumptions!$C$174:$E$174,$D$3)*INDEX(Assumptions!$C$175:$E$175,$B$3),INDEX(Assumptions!$C$179:$E$179,$B$3))*$F$4</f>
        <v>128000</v>
      </c>
      <c r="O84" s="37" t="n">
        <f aca="false">SUM(C84:N84)</f>
        <v>1257000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19200</v>
      </c>
      <c r="G85" s="8" t="n">
        <f aca="false">IF(5&gt;=INDEX(Assumptions!$C$173:$E$173,$D$3),INDEX(Assumptions!$C$174:$E$174,$D$3)*INDEX(Assumptions!$C$181:$E$181,$B$3),INDEX(Assumptions!$C$180:$E$180,$B$3))</f>
        <v>19200</v>
      </c>
      <c r="H85" s="8" t="n">
        <f aca="false">IF(6&gt;=INDEX(Assumptions!$C$173:$E$173,$D$3),INDEX(Assumptions!$C$174:$E$174,$D$3)*INDEX(Assumptions!$C$181:$E$181,$B$3),INDEX(Assumptions!$C$180:$E$180,$B$3))</f>
        <v>19200</v>
      </c>
      <c r="I85" s="8" t="n">
        <f aca="false">IF(7&gt;=INDEX(Assumptions!$C$173:$E$173,$D$3),INDEX(Assumptions!$C$174:$E$174,$D$3)*INDEX(Assumptions!$C$181:$E$181,$B$3),INDEX(Assumptions!$C$180:$E$180,$B$3))</f>
        <v>19200</v>
      </c>
      <c r="J85" s="8" t="n">
        <f aca="false">IF(8&gt;=INDEX(Assumptions!$C$173:$E$173,$D$3),INDEX(Assumptions!$C$174:$E$174,$D$3)*INDEX(Assumptions!$C$181:$E$181,$B$3),INDEX(Assumptions!$C$180:$E$180,$B$3))</f>
        <v>19200</v>
      </c>
      <c r="K85" s="8" t="n">
        <f aca="false">IF(9&gt;=INDEX(Assumptions!$C$173:$E$173,$D$3),INDEX(Assumptions!$C$174:$E$174,$D$3)*INDEX(Assumptions!$C$181:$E$181,$B$3),INDEX(Assumptions!$C$180:$E$180,$B$3))</f>
        <v>19200</v>
      </c>
      <c r="L85" s="8" t="n">
        <f aca="false">IF(10&gt;=INDEX(Assumptions!$C$173:$E$173,$D$3),INDEX(Assumptions!$C$174:$E$174,$D$3)*INDEX(Assumptions!$C$181:$E$181,$B$3),INDEX(Assumptions!$C$180:$E$180,$B$3))</f>
        <v>19200</v>
      </c>
      <c r="M85" s="8" t="n">
        <f aca="false">IF(11&gt;=INDEX(Assumptions!$C$173:$E$173,$D$3),INDEX(Assumptions!$C$174:$E$174,$D$3)*INDEX(Assumptions!$C$181:$E$181,$B$3),INDEX(Assumptions!$C$180:$E$180,$B$3))</f>
        <v>19200</v>
      </c>
      <c r="N85" s="8" t="n">
        <f aca="false">IF(12&gt;=INDEX(Assumptions!$C$173:$E$173,$D$3),INDEX(Assumptions!$C$174:$E$174,$D$3)*INDEX(Assumptions!$C$181:$E$181,$B$3),INDEX(Assumptions!$C$180:$E$180,$B$3))</f>
        <v>19200</v>
      </c>
      <c r="O85" s="37" t="n">
        <f aca="false">SUM(C85:N85)</f>
        <v>202800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30000</v>
      </c>
      <c r="D86" s="8" t="n">
        <f aca="false">INDEX(Assumptions!$C$107:$E$107,$D$3)+IF(2&gt;=INDEX(Assumptions!$C$189:$E$189,$D$3)-1,INDEX(Assumptions!$C$188:$E$188,$D$3),0)</f>
        <v>30000</v>
      </c>
      <c r="E86" s="8" t="n">
        <f aca="false">INDEX(Assumptions!$C$107:$E$107,$D$3)+IF(3&gt;=INDEX(Assumptions!$C$189:$E$189,$D$3)-1,INDEX(Assumptions!$C$188:$E$188,$D$3),0)</f>
        <v>30000</v>
      </c>
      <c r="F86" s="8" t="n">
        <f aca="false">INDEX(Assumptions!$C$107:$E$107,$D$3)+IF(4&gt;=INDEX(Assumptions!$C$189:$E$189,$D$3)-1,INDEX(Assumptions!$C$188:$E$188,$D$3),0)</f>
        <v>30000</v>
      </c>
      <c r="G86" s="8" t="n">
        <f aca="false">INDEX(Assumptions!$C$107:$E$107,$D$3)+IF(5&gt;=INDEX(Assumptions!$C$189:$E$189,$D$3)-1,INDEX(Assumptions!$C$188:$E$188,$D$3),0)</f>
        <v>30000</v>
      </c>
      <c r="H86" s="8" t="n">
        <f aca="false">INDEX(Assumptions!$C$107:$E$107,$D$3)+IF(6&gt;=INDEX(Assumptions!$C$189:$E$189,$D$3)-1,INDEX(Assumptions!$C$188:$E$188,$D$3),0)</f>
        <v>30000</v>
      </c>
      <c r="I86" s="8" t="n">
        <f aca="false">INDEX(Assumptions!$C$107:$E$107,$D$3)+IF(7&gt;=INDEX(Assumptions!$C$189:$E$189,$D$3)-1,INDEX(Assumptions!$C$188:$E$188,$D$3),0)</f>
        <v>38000</v>
      </c>
      <c r="J86" s="8" t="n">
        <f aca="false">INDEX(Assumptions!$C$107:$E$107,$D$3)+IF(8&gt;=INDEX(Assumptions!$C$189:$E$189,$D$3)-1,INDEX(Assumptions!$C$188:$E$188,$D$3),0)</f>
        <v>38000</v>
      </c>
      <c r="K86" s="8" t="n">
        <f aca="false">INDEX(Assumptions!$C$107:$E$107,$D$3)+IF(9&gt;=INDEX(Assumptions!$C$189:$E$189,$D$3)-1,INDEX(Assumptions!$C$188:$E$188,$D$3),0)</f>
        <v>38000</v>
      </c>
      <c r="L86" s="8" t="n">
        <f aca="false">INDEX(Assumptions!$C$107:$E$107,$D$3)+IF(10&gt;=INDEX(Assumptions!$C$189:$E$189,$D$3)-1,INDEX(Assumptions!$C$188:$E$188,$D$3),0)</f>
        <v>38000</v>
      </c>
      <c r="M86" s="8" t="n">
        <f aca="false">INDEX(Assumptions!$C$107:$E$107,$D$3)+IF(11&gt;=INDEX(Assumptions!$C$189:$E$189,$D$3)-1,INDEX(Assumptions!$C$188:$E$188,$D$3),0)</f>
        <v>38000</v>
      </c>
      <c r="N86" s="8" t="n">
        <f aca="false">INDEX(Assumptions!$C$107:$E$107,$D$3)+IF(12&gt;=INDEX(Assumptions!$C$189:$E$189,$D$3)-1,INDEX(Assumptions!$C$188:$E$188,$D$3),0)</f>
        <v>38000</v>
      </c>
      <c r="O86" s="37" t="n">
        <f aca="false">SUM(C86:N86)</f>
        <v>408000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50000</v>
      </c>
      <c r="E87" s="8" t="n">
        <f aca="false">E15</f>
        <v>60000</v>
      </c>
      <c r="F87" s="8" t="n">
        <f aca="false">F15</f>
        <v>70000</v>
      </c>
      <c r="G87" s="8" t="n">
        <f aca="false">G15</f>
        <v>120000</v>
      </c>
      <c r="H87" s="8" t="n">
        <f aca="false">H15</f>
        <v>170000</v>
      </c>
      <c r="I87" s="8" t="n">
        <f aca="false">I15</f>
        <v>200000</v>
      </c>
      <c r="J87" s="8" t="n">
        <f aca="false">J15</f>
        <v>200000</v>
      </c>
      <c r="K87" s="8" t="n">
        <f aca="false">K15</f>
        <v>200000</v>
      </c>
      <c r="L87" s="8" t="n">
        <f aca="false">L15</f>
        <v>200000</v>
      </c>
      <c r="M87" s="8" t="n">
        <f aca="false">M15</f>
        <v>200000</v>
      </c>
      <c r="N87" s="8" t="n">
        <f aca="false">N15</f>
        <v>200000</v>
      </c>
      <c r="O87" s="37" t="n">
        <f aca="false">SUM(C87:N87)</f>
        <v>1685000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19167</v>
      </c>
      <c r="D88" s="8" t="n">
        <f aca="false">INDEX(Assumptions!$C$170:$E$170,$D$3)</f>
        <v>19167</v>
      </c>
      <c r="E88" s="8" t="n">
        <f aca="false">INDEX(Assumptions!$C$170:$E$170,$D$3)</f>
        <v>19167</v>
      </c>
      <c r="F88" s="8" t="n">
        <f aca="false">INDEX(Assumptions!$C$170:$E$170,$D$3)</f>
        <v>19167</v>
      </c>
      <c r="G88" s="8" t="n">
        <f aca="false">INDEX(Assumptions!$C$170:$E$170,$D$3)</f>
        <v>19167</v>
      </c>
      <c r="H88" s="8" t="n">
        <f aca="false">INDEX(Assumptions!$C$170:$E$170,$D$3)</f>
        <v>19167</v>
      </c>
      <c r="I88" s="8" t="n">
        <f aca="false">INDEX(Assumptions!$C$170:$E$170,$D$3)</f>
        <v>19167</v>
      </c>
      <c r="J88" s="8" t="n">
        <f aca="false">INDEX(Assumptions!$C$170:$E$170,$D$3)</f>
        <v>19167</v>
      </c>
      <c r="K88" s="8" t="n">
        <f aca="false">INDEX(Assumptions!$C$170:$E$170,$D$3)</f>
        <v>19167</v>
      </c>
      <c r="L88" s="8" t="n">
        <f aca="false">INDEX(Assumptions!$C$170:$E$170,$D$3)</f>
        <v>19167</v>
      </c>
      <c r="M88" s="8" t="n">
        <f aca="false">INDEX(Assumptions!$C$170:$E$170,$D$3)</f>
        <v>19167</v>
      </c>
      <c r="N88" s="8" t="n">
        <f aca="false">INDEX(Assumptions!$C$170:$E$170,$D$3)</f>
        <v>19167</v>
      </c>
      <c r="O88" s="37" t="n">
        <f aca="false">SUM(C88:N88)</f>
        <v>230004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20000</v>
      </c>
      <c r="D89" s="8" t="n">
        <f aca="false">INDEX(Assumptions!$C$195:$E$195,$D$3)</f>
        <v>20000</v>
      </c>
      <c r="E89" s="8" t="n">
        <f aca="false">INDEX(Assumptions!$C$195:$E$195,$D$3)</f>
        <v>20000</v>
      </c>
      <c r="F89" s="8" t="n">
        <f aca="false">INDEX(Assumptions!$C$195:$E$195,$D$3)</f>
        <v>20000</v>
      </c>
      <c r="G89" s="8" t="n">
        <f aca="false">INDEX(Assumptions!$C$195:$E$195,$D$3)</f>
        <v>20000</v>
      </c>
      <c r="H89" s="8" t="n">
        <f aca="false">INDEX(Assumptions!$C$195:$E$195,$D$3)</f>
        <v>20000</v>
      </c>
      <c r="I89" s="8" t="n">
        <f aca="false">INDEX(Assumptions!$C$195:$E$195,$D$3)</f>
        <v>20000</v>
      </c>
      <c r="J89" s="8" t="n">
        <f aca="false">INDEX(Assumptions!$C$195:$E$195,$D$3)</f>
        <v>20000</v>
      </c>
      <c r="K89" s="8" t="n">
        <f aca="false">INDEX(Assumptions!$C$195:$E$195,$D$3)</f>
        <v>20000</v>
      </c>
      <c r="L89" s="8" t="n">
        <f aca="false">INDEX(Assumptions!$C$195:$E$195,$D$3)</f>
        <v>20000</v>
      </c>
      <c r="M89" s="8" t="n">
        <f aca="false">INDEX(Assumptions!$C$195:$E$195,$D$3)</f>
        <v>20000</v>
      </c>
      <c r="N89" s="8" t="n">
        <f aca="false">INDEX(Assumptions!$C$195:$E$195,$D$3)</f>
        <v>20000</v>
      </c>
      <c r="O89" s="37" t="n">
        <f aca="false">SUM(C89:N89)</f>
        <v>240000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250000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200000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450000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500167</v>
      </c>
      <c r="D91" s="37" t="n">
        <f aca="false">D82+SUM(D84:D90)</f>
        <v>395167</v>
      </c>
      <c r="E91" s="37" t="n">
        <f aca="false">E82+SUM(E84:E90)</f>
        <v>630167</v>
      </c>
      <c r="F91" s="37" t="n">
        <f aca="false">F82+SUM(F84:F90)</f>
        <v>585367</v>
      </c>
      <c r="G91" s="37" t="n">
        <f aca="false">G82+SUM(G84:G90)</f>
        <v>635367</v>
      </c>
      <c r="H91" s="37" t="n">
        <f aca="false">H82+SUM(H84:H90)</f>
        <v>701367</v>
      </c>
      <c r="I91" s="37" t="n">
        <f aca="false">I82+SUM(I84:I90)</f>
        <v>771367</v>
      </c>
      <c r="J91" s="37" t="n">
        <f aca="false">J82+SUM(J84:J90)</f>
        <v>771367</v>
      </c>
      <c r="K91" s="37" t="n">
        <f aca="false">K82+SUM(K84:K90)</f>
        <v>771367</v>
      </c>
      <c r="L91" s="37" t="n">
        <f aca="false">L82+SUM(L84:L90)</f>
        <v>836367</v>
      </c>
      <c r="M91" s="37" t="n">
        <f aca="false">M82+SUM(M84:M90)</f>
        <v>836367</v>
      </c>
      <c r="N91" s="37" t="n">
        <f aca="false">N82+SUM(N84:N90)</f>
        <v>836367</v>
      </c>
      <c r="O91" s="31" t="n">
        <f aca="false">SUM(C91:N91)</f>
        <v>8270804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-360613.870927124</v>
      </c>
      <c r="D92" s="37" t="n">
        <f aca="false">D69-D91</f>
        <v>-138250.07688887</v>
      </c>
      <c r="E92" s="37" t="n">
        <f aca="false">E69-E91</f>
        <v>-220249.772076987</v>
      </c>
      <c r="F92" s="37" t="n">
        <f aca="false">F69-F91</f>
        <v>-7592.29624610161</v>
      </c>
      <c r="G92" s="37" t="n">
        <f aca="false">G69-G91</f>
        <v>313562.953364068</v>
      </c>
      <c r="H92" s="37" t="n">
        <f aca="false">H69-H91</f>
        <v>512109.63262742</v>
      </c>
      <c r="I92" s="37" t="n">
        <f aca="false">I69-I91</f>
        <v>727502.912029027</v>
      </c>
      <c r="J92" s="37" t="n">
        <f aca="false">J69-J91</f>
        <v>393192.512899296</v>
      </c>
      <c r="K92" s="37" t="n">
        <f aca="false">K69-K91</f>
        <v>448227.789613363</v>
      </c>
      <c r="L92" s="37" t="n">
        <f aca="false">L69-L91</f>
        <v>721756.468831617</v>
      </c>
      <c r="M92" s="37" t="n">
        <f aca="false">M69-M91</f>
        <v>549914.053607416</v>
      </c>
      <c r="N92" s="37" t="n">
        <f aca="false">N69-N91</f>
        <v>567087.458630029</v>
      </c>
      <c r="O92" s="31" t="n">
        <f aca="false">SUM(C92:N92)</f>
        <v>3506647.76546315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-2.12181525028233</v>
      </c>
      <c r="D93" s="7" t="n">
        <f aca="false">IFERROR(D92/D57,0)</f>
        <v>-0.439888456119291</v>
      </c>
      <c r="E93" s="7" t="n">
        <f aca="false">IFERROR(E92/E57,0)</f>
        <v>-0.44685829220889</v>
      </c>
      <c r="F93" s="7" t="n">
        <f aca="false">IFERROR(F92/F57,0)</f>
        <v>-0.0108755586455396</v>
      </c>
      <c r="G93" s="7" t="n">
        <f aca="false">IFERROR(G92/G57,0)</f>
        <v>0.300463030067978</v>
      </c>
      <c r="H93" s="7" t="n">
        <f aca="false">IFERROR(H92/H57,0)</f>
        <v>0.370809981496947</v>
      </c>
      <c r="I93" s="7" t="n">
        <f aca="false">IFERROR(I92/I57,0)</f>
        <v>0.429051248213605</v>
      </c>
      <c r="J93" s="7" t="n">
        <f aca="false">IFERROR(J92/J57,0)</f>
        <v>0.295113319323156</v>
      </c>
      <c r="K93" s="7" t="n">
        <f aca="false">IFERROR(K92/K57,0)</f>
        <v>0.321951593970973</v>
      </c>
      <c r="L93" s="7" t="n">
        <f aca="false">IFERROR(L92/L57,0)</f>
        <v>0.408826722563636</v>
      </c>
      <c r="M93" s="7" t="n">
        <f aca="false">IFERROR(M92/M57,0)</f>
        <v>0.348891835261919</v>
      </c>
      <c r="N93" s="7" t="n">
        <f aca="false">IFERROR(N92/N57,0)</f>
        <v>0.355817246905342</v>
      </c>
      <c r="O93" s="7" t="n">
        <f aca="false">IFERROR(O92/O57,0)</f>
        <v>0.26061212551555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-435613.870927124</v>
      </c>
      <c r="D94" s="8" t="n">
        <f aca="false">D92-INDEX(Assumptions!$C$163:$E$163,$B$3)</f>
        <v>-213250.07688887</v>
      </c>
      <c r="E94" s="8" t="n">
        <f aca="false">E92-INDEX(Assumptions!$C$163:$E$163,$B$3)</f>
        <v>-295249.772076987</v>
      </c>
      <c r="F94" s="8" t="n">
        <f aca="false">F92-INDEX(Assumptions!$C$163:$E$163,$B$3)</f>
        <v>-82592.2962461016</v>
      </c>
      <c r="G94" s="8" t="n">
        <f aca="false">G92-INDEX(Assumptions!$C$163:$E$163,$B$3)</f>
        <v>238562.953364068</v>
      </c>
      <c r="H94" s="8" t="n">
        <f aca="false">H92-INDEX(Assumptions!$C$163:$E$163,$B$3)</f>
        <v>437109.63262742</v>
      </c>
      <c r="I94" s="8" t="n">
        <f aca="false">I92-INDEX(Assumptions!$C$163:$E$163,$B$3)</f>
        <v>652502.912029027</v>
      </c>
      <c r="J94" s="8" t="n">
        <f aca="false">J92-INDEX(Assumptions!$C$163:$E$163,$B$3)</f>
        <v>318192.512899296</v>
      </c>
      <c r="K94" s="8" t="n">
        <f aca="false">K92-INDEX(Assumptions!$C$163:$E$163,$B$3)</f>
        <v>373227.789613363</v>
      </c>
      <c r="L94" s="8" t="n">
        <f aca="false">L92-INDEX(Assumptions!$C$163:$E$163,$B$3)</f>
        <v>646756.468831617</v>
      </c>
      <c r="M94" s="8" t="n">
        <f aca="false">M92-INDEX(Assumptions!$C$163:$E$163,$B$3)</f>
        <v>474914.053607416</v>
      </c>
      <c r="N94" s="8" t="n">
        <f aca="false">N92-INDEX(Assumptions!$C$163:$E$163,$B$3)</f>
        <v>492087.458630029</v>
      </c>
      <c r="O94" s="37" t="n">
        <f aca="false">SUM(C94:N94)</f>
        <v>2606647.76546315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1280000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1280000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240000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240000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384000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384000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250000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250000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550000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550000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250000</v>
      </c>
      <c r="D101" s="37" t="n">
        <f aca="false">SUM(D96:D100)</f>
        <v>0</v>
      </c>
      <c r="E101" s="37" t="n">
        <f aca="false">SUM(E96:E100)</f>
        <v>1904000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550000</v>
      </c>
      <c r="I101" s="37" t="n">
        <f aca="false">SUM(I96:I100)</f>
        <v>0</v>
      </c>
      <c r="J101" s="37" t="n">
        <f aca="false">SUM(J96:J100)</f>
        <v>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2704000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0</v>
      </c>
      <c r="D102" s="8" t="n">
        <f aca="false">((D58+IF(INDEX(Assumptions!$C$87:$E$87,$B$3)&gt;=2,C58,0)+IF(INDEX(Assumptions!$C$87:$E$87,$B$3)&gt;=3,0,0))/INDEX(Assumptions!$C$87:$E$87,$B$3))-D58</f>
        <v>0</v>
      </c>
      <c r="E102" s="8" t="n">
        <f aca="false">((E58+IF(INDEX(Assumptions!$C$87:$E$87,$B$3)&gt;=2,D58,0)+IF(INDEX(Assumptions!$C$87:$E$87,$B$3)&gt;=3,C58,0))/INDEX(Assumptions!$C$87:$E$87,$B$3))-E58</f>
        <v>0</v>
      </c>
      <c r="F102" s="8" t="n">
        <f aca="false">((F58+IF(INDEX(Assumptions!$C$87:$E$87,$B$3)&gt;=2,E58,0)+IF(INDEX(Assumptions!$C$87:$E$87,$B$3)&gt;=3,D58,0))/INDEX(Assumptions!$C$87:$E$87,$B$3))-F58</f>
        <v>0</v>
      </c>
      <c r="G102" s="8" t="n">
        <f aca="false">((G58+IF(INDEX(Assumptions!$C$87:$E$87,$B$3)&gt;=2,F58,0)+IF(INDEX(Assumptions!$C$87:$E$87,$B$3)&gt;=3,E58,0))/INDEX(Assumptions!$C$87:$E$87,$B$3))-G58</f>
        <v>0</v>
      </c>
      <c r="H102" s="8" t="n">
        <f aca="false">((H58+IF(INDEX(Assumptions!$C$87:$E$87,$B$3)&gt;=2,G58,0)+IF(INDEX(Assumptions!$C$87:$E$87,$B$3)&gt;=3,F58,0))/INDEX(Assumptions!$C$87:$E$87,$B$3))-H58</f>
        <v>0</v>
      </c>
      <c r="I102" s="8" t="n">
        <f aca="false">((I58+IF(INDEX(Assumptions!$C$87:$E$87,$B$3)&gt;=2,H58,0)+IF(INDEX(Assumptions!$C$87:$E$87,$B$3)&gt;=3,G58,0))/INDEX(Assumptions!$C$87:$E$87,$B$3))-I58</f>
        <v>0</v>
      </c>
      <c r="J102" s="8" t="n">
        <f aca="false">((J58+IF(INDEX(Assumptions!$C$87:$E$87,$B$3)&gt;=2,I58,0)+IF(INDEX(Assumptions!$C$87:$E$87,$B$3)&gt;=3,H58,0))/INDEX(Assumptions!$C$87:$E$87,$B$3))-J58</f>
        <v>0</v>
      </c>
      <c r="K102" s="8" t="n">
        <f aca="false">((K58+IF(INDEX(Assumptions!$C$87:$E$87,$B$3)&gt;=2,J58,0)+IF(INDEX(Assumptions!$C$87:$E$87,$B$3)&gt;=3,I58,0))/INDEX(Assumptions!$C$87:$E$87,$B$3))-K58</f>
        <v>0</v>
      </c>
      <c r="L102" s="8" t="n">
        <f aca="false">((L58+IF(INDEX(Assumptions!$C$87:$E$87,$B$3)&gt;=2,K58,0)+IF(INDEX(Assumptions!$C$87:$E$87,$B$3)&gt;=3,J58,0))/INDEX(Assumptions!$C$87:$E$87,$B$3))-L58</f>
        <v>0</v>
      </c>
      <c r="M102" s="8" t="n">
        <f aca="false">((M58+IF(INDEX(Assumptions!$C$87:$E$87,$B$3)&gt;=2,L58,0)+IF(INDEX(Assumptions!$C$87:$E$87,$B$3)&gt;=3,K58,0))/INDEX(Assumptions!$C$87:$E$87,$B$3))-M58</f>
        <v>0</v>
      </c>
      <c r="N102" s="8" t="n">
        <f aca="false">((N58+IF(INDEX(Assumptions!$C$87:$E$87,$B$3)&gt;=2,M58,0)+IF(INDEX(Assumptions!$C$87:$E$87,$B$3)&gt;=3,L58,0))/INDEX(Assumptions!$C$87:$E$87,$B$3))-N58</f>
        <v>0</v>
      </c>
      <c r="O102" s="37" t="n">
        <f aca="false">SUM(C102:N102)</f>
        <v>0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-610613.870927124</v>
      </c>
      <c r="D103" s="37" t="n">
        <f aca="false">D92+D102-D101</f>
        <v>-138250.07688887</v>
      </c>
      <c r="E103" s="37" t="n">
        <f aca="false">E92+E102-E101</f>
        <v>-2124249.77207699</v>
      </c>
      <c r="F103" s="37" t="n">
        <f aca="false">F92+F102-F101</f>
        <v>-7592.29624610161</v>
      </c>
      <c r="G103" s="37" t="n">
        <f aca="false">G92+G102-G101</f>
        <v>313562.953364068</v>
      </c>
      <c r="H103" s="37" t="n">
        <f aca="false">H92+H102-H101</f>
        <v>-37890.3673725801</v>
      </c>
      <c r="I103" s="37" t="n">
        <f aca="false">I92+I102-I101</f>
        <v>727502.912029027</v>
      </c>
      <c r="J103" s="37" t="n">
        <f aca="false">J92+J102-J101</f>
        <v>393192.512899296</v>
      </c>
      <c r="K103" s="37" t="n">
        <f aca="false">K92+K102-K101</f>
        <v>448227.789613363</v>
      </c>
      <c r="L103" s="37" t="n">
        <f aca="false">L92+L102-L101</f>
        <v>721756.468831617</v>
      </c>
      <c r="M103" s="37" t="n">
        <f aca="false">M92+M102-M101</f>
        <v>549914.053607416</v>
      </c>
      <c r="N103" s="37" t="n">
        <f aca="false">N92+N102-N101</f>
        <v>567087.458630029</v>
      </c>
      <c r="O103" s="31" t="n">
        <f aca="false">SUM(C103:N103)</f>
        <v>802647.765463153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-610613.870927124</v>
      </c>
      <c r="D104" s="37" t="n">
        <f aca="false">C104+D103</f>
        <v>-748863.947815994</v>
      </c>
      <c r="E104" s="37" t="n">
        <f aca="false">D104+E103</f>
        <v>-2873113.71989298</v>
      </c>
      <c r="F104" s="37" t="n">
        <f aca="false">E104+F103</f>
        <v>-2880706.01613908</v>
      </c>
      <c r="G104" s="37" t="n">
        <f aca="false">F104+G103</f>
        <v>-2567143.06277501</v>
      </c>
      <c r="H104" s="37" t="n">
        <f aca="false">G104+H103</f>
        <v>-2605033.43014759</v>
      </c>
      <c r="I104" s="37" t="n">
        <f aca="false">H104+I103</f>
        <v>-1877530.51811857</v>
      </c>
      <c r="J104" s="37" t="n">
        <f aca="false">I104+J103</f>
        <v>-1484338.00521927</v>
      </c>
      <c r="K104" s="37" t="n">
        <f aca="false">J104+K103</f>
        <v>-1036110.21560591</v>
      </c>
      <c r="L104" s="37" t="n">
        <f aca="false">K104+L103</f>
        <v>-314353.746774291</v>
      </c>
      <c r="M104" s="37" t="n">
        <f aca="false">L104+M103</f>
        <v>235560.306833125</v>
      </c>
      <c r="N104" s="37" t="n">
        <f aca="false">M104+N103</f>
        <v>802647.765463154</v>
      </c>
      <c r="O104" s="31" t="n">
        <f aca="false">N104</f>
        <v>802647.765463154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610613.870927124</v>
      </c>
      <c r="D105" s="37" t="n">
        <f aca="false">-MIN(0,MIN($C$104:D104))</f>
        <v>748863.947815994</v>
      </c>
      <c r="E105" s="37" t="n">
        <f aca="false">-MIN(0,MIN($C$104:E104))</f>
        <v>2873113.71989298</v>
      </c>
      <c r="F105" s="37" t="n">
        <f aca="false">-MIN(0,MIN($C$104:F104))</f>
        <v>2880706.01613908</v>
      </c>
      <c r="G105" s="37" t="n">
        <f aca="false">-MIN(0,MIN($C$104:G104))</f>
        <v>2880706.01613908</v>
      </c>
      <c r="H105" s="37" t="n">
        <f aca="false">-MIN(0,MIN($C$104:H104))</f>
        <v>2880706.01613908</v>
      </c>
      <c r="I105" s="37" t="n">
        <f aca="false">-MIN(0,MIN($C$104:I104))</f>
        <v>2880706.01613908</v>
      </c>
      <c r="J105" s="37" t="n">
        <f aca="false">-MIN(0,MIN($C$104:J104))</f>
        <v>2880706.01613908</v>
      </c>
      <c r="K105" s="37" t="n">
        <f aca="false">-MIN(0,MIN($C$104:K104))</f>
        <v>2880706.01613908</v>
      </c>
      <c r="L105" s="37" t="n">
        <f aca="false">-MIN(0,MIN($C$104:L104))</f>
        <v>2880706.01613908</v>
      </c>
      <c r="M105" s="37" t="n">
        <f aca="false">-MIN(0,MIN($C$104:M104))</f>
        <v>2880706.01613908</v>
      </c>
      <c r="N105" s="37" t="n">
        <f aca="false">-MIN(0,MIN($C$104:N104))</f>
        <v>2880706.01613908</v>
      </c>
      <c r="O105" s="31" t="n">
        <f aca="false">MAX(C105:N105)</f>
        <v>2880706.01613908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1</v>
      </c>
      <c r="H106" s="8" t="n">
        <f aca="false">IF(H92&gt;=0,1,0)</f>
        <v>1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13455428.2864859</v>
      </c>
    </row>
    <row r="110" customFormat="false" ht="15" hidden="false" customHeight="false" outlineLevel="0" collapsed="false">
      <c r="A110" s="3" t="s">
        <v>28</v>
      </c>
      <c r="B110" s="31" t="n">
        <f aca="false">O92</f>
        <v>3506647.76546315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0.26061212551555</v>
      </c>
    </row>
    <row r="112" customFormat="false" ht="15" hidden="false" customHeight="false" outlineLevel="0" collapsed="false">
      <c r="A112" s="3" t="s">
        <v>30</v>
      </c>
      <c r="B112" s="31" t="n">
        <f aca="false">O94</f>
        <v>2606647.76546315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2704000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2880706.01613908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5000000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2119293.98386092</v>
      </c>
    </row>
    <row r="117" customFormat="false" ht="15" hidden="false" customHeight="false" outlineLevel="0" collapsed="false">
      <c r="A117" s="3" t="s">
        <v>35</v>
      </c>
      <c r="B117" s="32" t="n">
        <f aca="false">O31</f>
        <v>123.229923104723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13.7443871841204</v>
      </c>
    </row>
    <row r="119" customFormat="false" ht="15" hidden="false" customHeight="false" outlineLevel="0" collapsed="false">
      <c r="A119" s="3" t="s">
        <v>37</v>
      </c>
      <c r="B119" s="31" t="n">
        <f aca="false">O37</f>
        <v>202.5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0.9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7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0.25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4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68504.5547756493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836367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503600.586737455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4.85758084776037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58.2909701731245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16976.6269101408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0.200324197539662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0.444693198711574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23.9529504580762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1838757.98106906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5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802647.765463154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1211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f aca="false">Assumptions!$C$4</f>
        <v>2</v>
      </c>
      <c r="C3" s="13" t="s">
        <v>1088</v>
      </c>
      <c r="D3" s="34" t="n">
        <f aca="false">Assumptions!$C$4</f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-229883.204915576</v>
      </c>
      <c r="D92" s="37" t="n">
        <f aca="false">D69-D91</f>
        <v>-199321.791038066</v>
      </c>
      <c r="E92" s="37" t="n">
        <f aca="false">E69-E91</f>
        <v>-283501.537732209</v>
      </c>
      <c r="F92" s="37" t="n">
        <f aca="false">F69-F91</f>
        <v>-67760.8663476415</v>
      </c>
      <c r="G92" s="37" t="n">
        <f aca="false">G69-G91</f>
        <v>-24985.5833511413</v>
      </c>
      <c r="H92" s="37" t="n">
        <f aca="false">H69-H91</f>
        <v>-52840.2441432459</v>
      </c>
      <c r="I92" s="37" t="n">
        <f aca="false">I69-I91</f>
        <v>304457.362840912</v>
      </c>
      <c r="J92" s="37" t="n">
        <f aca="false">J69-J91</f>
        <v>343050.504617652</v>
      </c>
      <c r="K92" s="37" t="n">
        <f aca="false">K69-K91</f>
        <v>94312.6257893313</v>
      </c>
      <c r="L92" s="37" t="n">
        <f aca="false">L69-L91</f>
        <v>207129.924410484</v>
      </c>
      <c r="M92" s="37" t="n">
        <f aca="false">M69-M91</f>
        <v>233907.092985795</v>
      </c>
      <c r="N92" s="37" t="n">
        <f aca="false">N69-N91</f>
        <v>226901.227051843</v>
      </c>
      <c r="O92" s="31" t="n">
        <f aca="false">SUM(C92:N92)</f>
        <v>551465.510168139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-2.8050003678375</v>
      </c>
      <c r="D93" s="7" t="n">
        <f aca="false">IFERROR(D92/D57,0)</f>
        <v>-1.32882780382482</v>
      </c>
      <c r="E93" s="7" t="n">
        <f aca="false">IFERROR(E92/E57,0)</f>
        <v>-1.05741077511732</v>
      </c>
      <c r="F93" s="7" t="n">
        <f aca="false">IFERROR(F92/F57,0)</f>
        <v>-0.183249711690377</v>
      </c>
      <c r="G93" s="7" t="n">
        <f aca="false">IFERROR(G92/G57,0)</f>
        <v>-0.0541192939551171</v>
      </c>
      <c r="H93" s="7" t="n">
        <f aca="false">IFERROR(H92/H57,0)</f>
        <v>-0.117887107151984</v>
      </c>
      <c r="I93" s="7" t="n">
        <f aca="false">IFERROR(I92/I57,0)</f>
        <v>0.322539224792692</v>
      </c>
      <c r="J93" s="7" t="n">
        <f aca="false">IFERROR(J92/J57,0)</f>
        <v>0.345829893030294</v>
      </c>
      <c r="K93" s="7" t="n">
        <f aca="false">IFERROR(K92/K57,0)</f>
        <v>0.12792003925584</v>
      </c>
      <c r="L93" s="7" t="n">
        <f aca="false">IFERROR(L92/L57,0)</f>
        <v>0.238368949384997</v>
      </c>
      <c r="M93" s="7" t="n">
        <f aca="false">IFERROR(M92/M57,0)</f>
        <v>0.259750482165384</v>
      </c>
      <c r="N93" s="7" t="n">
        <f aca="false">IFERROR(N92/N57,0)</f>
        <v>0.254379166733019</v>
      </c>
      <c r="O93" s="7" t="n">
        <f aca="false">IFERROR(O92/O57,0)</f>
        <v>0.07751449621183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-304883.204915576</v>
      </c>
      <c r="D94" s="8" t="n">
        <f aca="false">D92-INDEX(Assumptions!$C$163:$E$163,$B$3)</f>
        <v>-274321.791038066</v>
      </c>
      <c r="E94" s="8" t="n">
        <f aca="false">E92-INDEX(Assumptions!$C$163:$E$163,$B$3)</f>
        <v>-358501.537732209</v>
      </c>
      <c r="F94" s="8" t="n">
        <f aca="false">F92-INDEX(Assumptions!$C$163:$E$163,$B$3)</f>
        <v>-142760.866347641</v>
      </c>
      <c r="G94" s="8" t="n">
        <f aca="false">G92-INDEX(Assumptions!$C$163:$E$163,$B$3)</f>
        <v>-99985.5833511413</v>
      </c>
      <c r="H94" s="8" t="n">
        <f aca="false">H92-INDEX(Assumptions!$C$163:$E$163,$B$3)</f>
        <v>-127840.244143246</v>
      </c>
      <c r="I94" s="8" t="n">
        <f aca="false">I92-INDEX(Assumptions!$C$163:$E$163,$B$3)</f>
        <v>229457.362840912</v>
      </c>
      <c r="J94" s="8" t="n">
        <f aca="false">J92-INDEX(Assumptions!$C$163:$E$163,$B$3)</f>
        <v>268050.504617652</v>
      </c>
      <c r="K94" s="8" t="n">
        <f aca="false">K92-INDEX(Assumptions!$C$163:$E$163,$B$3)</f>
        <v>19312.6257893313</v>
      </c>
      <c r="L94" s="8" t="n">
        <f aca="false">L92-INDEX(Assumptions!$C$163:$E$163,$B$3)</f>
        <v>132129.924410484</v>
      </c>
      <c r="M94" s="8" t="n">
        <f aca="false">M92-INDEX(Assumptions!$C$163:$E$163,$B$3)</f>
        <v>158907.092985795</v>
      </c>
      <c r="N94" s="8" t="n">
        <f aca="false">N92-INDEX(Assumptions!$C$163:$E$163,$B$3)</f>
        <v>151901.227051843</v>
      </c>
      <c r="O94" s="37" t="n">
        <f aca="false">SUM(C94:N94)</f>
        <v>-348534.489831861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-405618.376441</v>
      </c>
      <c r="D103" s="37" t="n">
        <f aca="false">D92+D102-D101</f>
        <v>-222399.787334676</v>
      </c>
      <c r="E103" s="37" t="n">
        <f aca="false">E92+E102-E101</f>
        <v>-313958.159634751</v>
      </c>
      <c r="F103" s="37" t="n">
        <f aca="false">F92+F102-F101</f>
        <v>-99510.9071315398</v>
      </c>
      <c r="G103" s="37" t="n">
        <f aca="false">G92+G102-G101</f>
        <v>-67567.6850460565</v>
      </c>
      <c r="H103" s="37" t="n">
        <f aca="false">H92+H102-H101</f>
        <v>-1505168.60360357</v>
      </c>
      <c r="I103" s="37" t="n">
        <f aca="false">I92+I102-I101</f>
        <v>74091.1807616272</v>
      </c>
      <c r="J103" s="37" t="n">
        <f aca="false">J92+J102-J101</f>
        <v>-18565.5111935092</v>
      </c>
      <c r="K103" s="37" t="n">
        <f aca="false">K92+K102-K101</f>
        <v>230105.705621523</v>
      </c>
      <c r="L103" s="37" t="n">
        <f aca="false">L92+L102-L101</f>
        <v>147763.786700973</v>
      </c>
      <c r="M103" s="37" t="n">
        <f aca="false">M92+M102-M101</f>
        <v>227492.519578069</v>
      </c>
      <c r="N103" s="37" t="n">
        <f aca="false">N92+N102-N101</f>
        <v>240375.076704607</v>
      </c>
      <c r="O103" s="31" t="n">
        <f aca="false">SUM(C103:N103)</f>
        <v>-1712960.7610183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-405618.376441</v>
      </c>
      <c r="D104" s="37" t="n">
        <f aca="false">C104+D103</f>
        <v>-628018.163775676</v>
      </c>
      <c r="E104" s="37" t="n">
        <f aca="false">D104+E103</f>
        <v>-941976.323410427</v>
      </c>
      <c r="F104" s="37" t="n">
        <f aca="false">E104+F103</f>
        <v>-1041487.23054197</v>
      </c>
      <c r="G104" s="37" t="n">
        <f aca="false">F104+G103</f>
        <v>-1109054.91558802</v>
      </c>
      <c r="H104" s="37" t="n">
        <f aca="false">G104+H103</f>
        <v>-2614223.51919159</v>
      </c>
      <c r="I104" s="37" t="n">
        <f aca="false">H104+I103</f>
        <v>-2540132.33842996</v>
      </c>
      <c r="J104" s="37" t="n">
        <f aca="false">I104+J103</f>
        <v>-2558697.84962347</v>
      </c>
      <c r="K104" s="37" t="n">
        <f aca="false">J104+K103</f>
        <v>-2328592.14400195</v>
      </c>
      <c r="L104" s="37" t="n">
        <f aca="false">K104+L103</f>
        <v>-2180828.35730098</v>
      </c>
      <c r="M104" s="37" t="n">
        <f aca="false">L104+M103</f>
        <v>-1953335.83772291</v>
      </c>
      <c r="N104" s="37" t="n">
        <f aca="false">M104+N103</f>
        <v>-1712960.7610183</v>
      </c>
      <c r="O104" s="31" t="n">
        <f aca="false">N104</f>
        <v>-1712960.7610183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405618.376441</v>
      </c>
      <c r="D105" s="37" t="n">
        <f aca="false">-MIN(0,MIN($C$104:D104))</f>
        <v>628018.163775676</v>
      </c>
      <c r="E105" s="37" t="n">
        <f aca="false">-MIN(0,MIN($C$104:E104))</f>
        <v>941976.323410427</v>
      </c>
      <c r="F105" s="37" t="n">
        <f aca="false">-MIN(0,MIN($C$104:F104))</f>
        <v>1041487.23054197</v>
      </c>
      <c r="G105" s="37" t="n">
        <f aca="false">-MIN(0,MIN($C$104:G104))</f>
        <v>1109054.91558802</v>
      </c>
      <c r="H105" s="37" t="n">
        <f aca="false">-MIN(0,MIN($C$104:H104))</f>
        <v>2614223.51919159</v>
      </c>
      <c r="I105" s="37" t="n">
        <f aca="false">-MIN(0,MIN($C$104:I104))</f>
        <v>2614223.51919159</v>
      </c>
      <c r="J105" s="37" t="n">
        <f aca="false">-MIN(0,MIN($C$104:J104))</f>
        <v>2614223.51919159</v>
      </c>
      <c r="K105" s="37" t="n">
        <f aca="false">-MIN(0,MIN($C$104:K104))</f>
        <v>2614223.51919159</v>
      </c>
      <c r="L105" s="37" t="n">
        <f aca="false">-MIN(0,MIN($C$104:L104))</f>
        <v>2614223.51919159</v>
      </c>
      <c r="M105" s="37" t="n">
        <f aca="false">-MIN(0,MIN($C$104:M104))</f>
        <v>2614223.51919159</v>
      </c>
      <c r="N105" s="37" t="n">
        <f aca="false">-MIN(0,MIN($C$104:N104))</f>
        <v>2614223.51919159</v>
      </c>
      <c r="O105" s="31" t="n">
        <f aca="false">MAX(C105:N105)</f>
        <v>2614223.51919159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551465.510168139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0.07751449621183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-348534.489831861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2614223.51919159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385776.480808409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5.47965738818625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65.755888658235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667938.244448122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-1712960.7610183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1212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1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0.933333333333333</v>
      </c>
      <c r="D11" s="7" t="n">
        <f aca="false">IF(2&lt;=6,1-(1-INDEX(Assumptions!$C$157:$E$157,$D$3))*2/6,INDEX(Assumptions!$C$157:$E$157,$D$3)-(INDEX(Assumptions!$C$157:$E$157,$D$3)-INDEX(Assumptions!$C$158:$E$158,$D$3))*(2-6)/6)</f>
        <v>0.866666666666667</v>
      </c>
      <c r="E11" s="7" t="n">
        <f aca="false">IF(3&lt;=6,1-(1-INDEX(Assumptions!$C$157:$E$157,$D$3))*3/6,INDEX(Assumptions!$C$157:$E$157,$D$3)-(INDEX(Assumptions!$C$157:$E$157,$D$3)-INDEX(Assumptions!$C$158:$E$158,$D$3))*(3-6)/6)</f>
        <v>0.8</v>
      </c>
      <c r="F11" s="7" t="n">
        <f aca="false">IF(4&lt;=6,1-(1-INDEX(Assumptions!$C$157:$E$157,$D$3))*4/6,INDEX(Assumptions!$C$157:$E$157,$D$3)-(INDEX(Assumptions!$C$157:$E$157,$D$3)-INDEX(Assumptions!$C$158:$E$158,$D$3))*(4-6)/6)</f>
        <v>0.733333333333333</v>
      </c>
      <c r="G11" s="7" t="n">
        <f aca="false">IF(5&lt;=6,1-(1-INDEX(Assumptions!$C$157:$E$157,$D$3))*5/6,INDEX(Assumptions!$C$157:$E$157,$D$3)-(INDEX(Assumptions!$C$157:$E$157,$D$3)-INDEX(Assumptions!$C$158:$E$158,$D$3))*(5-6)/6)</f>
        <v>0.666666666666667</v>
      </c>
      <c r="H11" s="7" t="n">
        <f aca="false">IF(6&lt;=6,1-(1-INDEX(Assumptions!$C$157:$E$157,$D$3))*6/6,INDEX(Assumptions!$C$157:$E$157,$D$3)-(INDEX(Assumptions!$C$157:$E$157,$D$3)-INDEX(Assumptions!$C$158:$E$158,$D$3))*(6-6)/6)</f>
        <v>0.6</v>
      </c>
      <c r="I11" s="7" t="n">
        <f aca="false">IF(7&lt;=6,1-(1-INDEX(Assumptions!$C$157:$E$157,$D$3))*7/6,INDEX(Assumptions!$C$157:$E$157,$D$3)-(INDEX(Assumptions!$C$157:$E$157,$D$3)-INDEX(Assumptions!$C$158:$E$158,$D$3))*(7-6)/6)</f>
        <v>0.566666666666667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0.533333333333333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0.5</v>
      </c>
      <c r="L11" s="7" t="n">
        <f aca="false">IF(10&lt;=6,1-(1-INDEX(Assumptions!$C$157:$E$157,$D$3))*10/6,INDEX(Assumptions!$C$157:$E$157,$D$3)-(INDEX(Assumptions!$C$157:$E$157,$D$3)-INDEX(Assumptions!$C$158:$E$158,$D$3))*(10-6)/6)</f>
        <v>0.466666666666667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0.433333333333333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0.4</v>
      </c>
      <c r="O11" s="36" t="n">
        <f aca="false">N11</f>
        <v>0.4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3.08333333333333</v>
      </c>
      <c r="E14" s="27" t="n">
        <f aca="false">E13+(INDEX(Assumptions!$C$25:$E$25,$D$3)-E13)*MIN(1,(3-1)/6)</f>
        <v>3.66666666666667</v>
      </c>
      <c r="F14" s="27" t="n">
        <f aca="false">F13+(INDEX(Assumptions!$C$25:$E$25,$D$3)-F13)*MIN(1,(4-1)/6)</f>
        <v>4.25</v>
      </c>
      <c r="G14" s="27" t="n">
        <f aca="false">G13+(INDEX(Assumptions!$C$25:$E$25,$D$3)-G13)*MIN(1,(5-1)/6)</f>
        <v>4.83333333333333</v>
      </c>
      <c r="H14" s="27" t="n">
        <f aca="false">H13+(INDEX(Assumptions!$C$25:$E$25,$D$3)-H13)*MIN(1,(6-1)/6)</f>
        <v>5.41666666666667</v>
      </c>
      <c r="I14" s="27" t="n">
        <f aca="false">I13+(INDEX(Assumptions!$C$25:$E$25,$D$3)-I13)*MIN(1,(7-1)/6)</f>
        <v>6</v>
      </c>
      <c r="J14" s="27" t="n">
        <f aca="false">J13+(INDEX(Assumptions!$C$25:$E$25,$D$3)-J13)*MIN(1,(8-1)/6)</f>
        <v>6</v>
      </c>
      <c r="K14" s="27" t="n">
        <f aca="false">K13+(INDEX(Assumptions!$C$25:$E$25,$D$3)-K13)*MIN(1,(9-1)/6)</f>
        <v>6</v>
      </c>
      <c r="L14" s="27" t="n">
        <f aca="false">L13+(INDEX(Assumptions!$C$25:$E$25,$D$3)-L13)*MIN(1,(10-1)/6)</f>
        <v>6</v>
      </c>
      <c r="M14" s="27" t="n">
        <f aca="false">M13+(INDEX(Assumptions!$C$25:$E$25,$D$3)-M13)*MIN(1,(11-1)/6)</f>
        <v>6</v>
      </c>
      <c r="N14" s="27" t="n">
        <f aca="false">N13+(INDEX(Assumptions!$C$25:$E$25,$D$3)-N13)*MIN(1,(12-1)/6)</f>
        <v>6</v>
      </c>
      <c r="O14" s="35" t="n">
        <f aca="false">SUM(C14:N14)</f>
        <v>59.75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10000</v>
      </c>
      <c r="D15" s="8" t="n">
        <f aca="false">INDEX(Assumptions!$C$122:$E$122,$D$3)*$J$4</f>
        <v>25000</v>
      </c>
      <c r="E15" s="8" t="n">
        <f aca="false">INDEX(Assumptions!$C$123:$E$123,$D$3)*$J$4</f>
        <v>30000</v>
      </c>
      <c r="F15" s="8" t="n">
        <f aca="false">INDEX(Assumptions!$C$124:$E$124,$D$3)*$J$4</f>
        <v>35000</v>
      </c>
      <c r="G15" s="8" t="n">
        <f aca="false">INDEX(Assumptions!$C$125:$E$125,$D$3)*$J$4</f>
        <v>40000</v>
      </c>
      <c r="H15" s="8" t="n">
        <f aca="false">INDEX(Assumptions!$C$126:$E$126,$D$3)*$J$4</f>
        <v>40000</v>
      </c>
      <c r="I15" s="8" t="n">
        <f aca="false">INDEX(Assumptions!$C$127:$E$127,$D$3)*$J$4</f>
        <v>40000</v>
      </c>
      <c r="J15" s="8" t="n">
        <f aca="false">INDEX(Assumptions!$C$128:$E$128,$D$3)*$J$4</f>
        <v>40000</v>
      </c>
      <c r="K15" s="8" t="n">
        <f aca="false">INDEX(Assumptions!$C$129:$E$129,$D$3)*$J$4</f>
        <v>40000</v>
      </c>
      <c r="L15" s="8" t="n">
        <f aca="false">INDEX(Assumptions!$C$130:$E$130,$D$3)*$J$4</f>
        <v>40000</v>
      </c>
      <c r="M15" s="8" t="n">
        <f aca="false">INDEX(Assumptions!$C$131:$E$131,$D$3)*$J$4</f>
        <v>40000</v>
      </c>
      <c r="N15" s="8" t="n">
        <f aca="false">INDEX(Assumptions!$C$132:$E$132,$D$3)*$J$4</f>
        <v>40000</v>
      </c>
      <c r="O15" s="37" t="n">
        <f aca="false">SUM(C15:N15)</f>
        <v>420000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0.769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0.94225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0.6</v>
      </c>
      <c r="D18" s="27" t="n">
        <f aca="false">D15*INDEX(Assumptions!$C$119:$E$119,$B$3)/D16</f>
        <v>1.5</v>
      </c>
      <c r="E18" s="27" t="n">
        <f aca="false">E15*INDEX(Assumptions!$C$119:$E$119,$B$3)/E16</f>
        <v>1.8</v>
      </c>
      <c r="F18" s="27" t="n">
        <f aca="false">F15*INDEX(Assumptions!$C$119:$E$119,$B$3)/F16</f>
        <v>2.1</v>
      </c>
      <c r="G18" s="27" t="n">
        <f aca="false">G15*INDEX(Assumptions!$C$119:$E$119,$B$3)/G16</f>
        <v>2.4</v>
      </c>
      <c r="H18" s="27" t="n">
        <f aca="false">H15*INDEX(Assumptions!$C$119:$E$119,$B$3)/H16</f>
        <v>2.4</v>
      </c>
      <c r="I18" s="27" t="n">
        <f aca="false">I15*INDEX(Assumptions!$C$119:$E$119,$B$3)/I16</f>
        <v>2.4</v>
      </c>
      <c r="J18" s="27" t="n">
        <f aca="false">J15*INDEX(Assumptions!$C$119:$E$119,$B$3)/J16</f>
        <v>2.4</v>
      </c>
      <c r="K18" s="27" t="n">
        <f aca="false">K15*INDEX(Assumptions!$C$119:$E$119,$B$3)/K16</f>
        <v>2.4</v>
      </c>
      <c r="L18" s="27" t="n">
        <f aca="false">L15*INDEX(Assumptions!$C$119:$E$119,$B$3)/L16</f>
        <v>2.4</v>
      </c>
      <c r="M18" s="27" t="n">
        <f aca="false">M15*INDEX(Assumptions!$C$119:$E$119,$B$3)/M16</f>
        <v>2.4</v>
      </c>
      <c r="N18" s="27" t="n">
        <f aca="false">N15*INDEX(Assumptions!$C$119:$E$119,$B$3)/N16</f>
        <v>2.4</v>
      </c>
      <c r="O18" s="35" t="n">
        <f aca="false">SUM(C18:N18)</f>
        <v>25.2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0.98432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1.57645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1.75844666666667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3.04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3.9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4.56666666666667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6.24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6.48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6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5.28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5.04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4.8</v>
      </c>
      <c r="O19" s="38" t="n">
        <f aca="false">SUM(C19:N19)</f>
        <v>49.6658833333333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8</v>
      </c>
      <c r="J20" s="8" t="n">
        <f aca="false">IF(8&gt;=INDEX(Assumptions!$C$173:$E$173,$D$3),INDEX(Assumptions!$C$176:$E$176,$D$3),INDEX(Assumptions!$C$171:$E$171,$B$3))</f>
        <v>8</v>
      </c>
      <c r="K20" s="8" t="n">
        <f aca="false">IF(9&gt;=INDEX(Assumptions!$C$173:$E$173,$D$3),INDEX(Assumptions!$C$176:$E$176,$D$3),INDEX(Assumptions!$C$171:$E$171,$B$3))</f>
        <v>8</v>
      </c>
      <c r="L20" s="8" t="n">
        <f aca="false">IF(10&gt;=INDEX(Assumptions!$C$173:$E$173,$D$3),INDEX(Assumptions!$C$176:$E$176,$D$3),INDEX(Assumptions!$C$171:$E$171,$B$3))</f>
        <v>8</v>
      </c>
      <c r="M20" s="8" t="n">
        <f aca="false">IF(11&gt;=INDEX(Assumptions!$C$173:$E$173,$D$3),INDEX(Assumptions!$C$176:$E$176,$D$3),INDEX(Assumptions!$C$171:$E$171,$B$3))</f>
        <v>8</v>
      </c>
      <c r="N20" s="8" t="n">
        <f aca="false">IF(12&gt;=INDEX(Assumptions!$C$173:$E$173,$D$3),INDEX(Assumptions!$C$176:$E$176,$D$3),INDEX(Assumptions!$C$171:$E$171,$B$3))</f>
        <v>8</v>
      </c>
      <c r="O20" s="37" t="n">
        <f aca="false">N20</f>
        <v>8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</v>
      </c>
      <c r="J21" s="6" t="n">
        <f aca="false">IF(8&gt;=INDEX(Assumptions!$C$173:$E$173,$D$3),INDEX(Assumptions!$C$177:$E$177,$D$3),INDEX(Assumptions!$C$172:$E$172,$D$3))</f>
        <v>2</v>
      </c>
      <c r="K21" s="6" t="n">
        <f aca="false">IF(9&gt;=INDEX(Assumptions!$C$173:$E$173,$D$3),INDEX(Assumptions!$C$177:$E$177,$D$3),INDEX(Assumptions!$C$172:$E$172,$D$3))</f>
        <v>2</v>
      </c>
      <c r="L21" s="6" t="n">
        <f aca="false">IF(10&gt;=INDEX(Assumptions!$C$173:$E$173,$D$3),INDEX(Assumptions!$C$177:$E$177,$D$3),INDEX(Assumptions!$C$172:$E$172,$D$3))</f>
        <v>2</v>
      </c>
      <c r="M21" s="6" t="n">
        <f aca="false">IF(11&gt;=INDEX(Assumptions!$C$173:$E$173,$D$3),INDEX(Assumptions!$C$177:$E$177,$D$3),INDEX(Assumptions!$C$172:$E$172,$D$3))</f>
        <v>2</v>
      </c>
      <c r="N21" s="6" t="n">
        <f aca="false">IF(12&gt;=INDEX(Assumptions!$C$173:$E$173,$D$3),INDEX(Assumptions!$C$177:$E$177,$D$3),INDEX(Assumptions!$C$172:$E$172,$D$3))</f>
        <v>2</v>
      </c>
      <c r="O21" s="39" t="n">
        <f aca="false">N21</f>
        <v>2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14.4</v>
      </c>
      <c r="J22" s="6" t="n">
        <f aca="false">J20*J21*INDEX(Assumptions!$C$178:$E$178,$B$3)</f>
        <v>14.4</v>
      </c>
      <c r="K22" s="6" t="n">
        <f aca="false">K20*K21*INDEX(Assumptions!$C$178:$E$178,$B$3)</f>
        <v>14.4</v>
      </c>
      <c r="L22" s="6" t="n">
        <f aca="false">L20*L21*INDEX(Assumptions!$C$178:$E$178,$B$3)</f>
        <v>14.4</v>
      </c>
      <c r="M22" s="6" t="n">
        <f aca="false">M20*M21*INDEX(Assumptions!$C$178:$E$178,$B$3)</f>
        <v>14.4</v>
      </c>
      <c r="N22" s="6" t="n">
        <f aca="false">N20*N21*INDEX(Assumptions!$C$178:$E$178,$B$3)</f>
        <v>14.4</v>
      </c>
      <c r="O22" s="39" t="n">
        <f aca="false">N22</f>
        <v>14.4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</v>
      </c>
      <c r="M23" s="7" t="n">
        <f aca="false">IF(11&gt;=INDEX(Assumptions!$C$189:$E$189,$D$3),INDEX(Assumptions!$C$74:$E$74,$B$3),0)</f>
        <v>0</v>
      </c>
      <c r="N23" s="7" t="n">
        <f aca="false">IF(12&gt;=INDEX(Assumptions!$C$189:$E$189,$D$3),INDEX(Assumptions!$C$74:$E$74,$B$3),0)</f>
        <v>0</v>
      </c>
      <c r="O23" s="36" t="n">
        <f aca="false">N23</f>
        <v>0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0.590592</v>
      </c>
      <c r="E24" s="6" t="n">
        <f aca="false">D27+C27+D30+C30+1.25*D28</f>
        <v>1.6545804</v>
      </c>
      <c r="F24" s="6" t="n">
        <f aca="false">E27+D27+E30+D30+1.25*E28</f>
        <v>2.3082304</v>
      </c>
      <c r="G24" s="6" t="n">
        <f aca="false">F27+E27+F30+E30+1.25*F28</f>
        <v>3.2792556</v>
      </c>
      <c r="H24" s="6" t="n">
        <f aca="false">G27+F27+G30+F30+1.25*G28</f>
        <v>4.7398136</v>
      </c>
      <c r="I24" s="6" t="n">
        <f aca="false">H27+G27+H30+G30+1.25*H28</f>
        <v>5.9128</v>
      </c>
      <c r="J24" s="6" t="n">
        <f aca="false">I27+H27+I30+H30+1.25*I28</f>
        <v>7.5</v>
      </c>
      <c r="K24" s="6" t="n">
        <f aca="false">J27+I27+J30+I30+1.25*J28</f>
        <v>8.71789641434263</v>
      </c>
      <c r="L24" s="6" t="n">
        <f aca="false">K27+J27+K30+J30+1.25*K28</f>
        <v>8.08536855167523</v>
      </c>
      <c r="M24" s="6" t="n">
        <f aca="false">L27+K27+L30+K30+1.25*L28</f>
        <v>7.43426157183004</v>
      </c>
      <c r="N24" s="6" t="n">
        <f aca="false">M27+L27+M30+L30+1.25*M28</f>
        <v>7.43238943449743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0.98432</v>
      </c>
      <c r="D25" s="6" t="n">
        <f aca="false">D19*(INDEX(Assumptions!$C$26:$E$26,$B$3)*(1-D23)+INDEX(Assumptions!$C$26:$E$26,$B$3)*D23*1.25+(1-INDEX(Assumptions!$C$26:$E$26,$B$3)))+C29*INDEX(Assumptions!$C$89:$E$89,$B$3)</f>
        <v>1.6945684</v>
      </c>
      <c r="E25" s="6" t="n">
        <f aca="false">E19*(INDEX(Assumptions!$C$26:$E$26,$B$3)*(1-E23)+INDEX(Assumptions!$C$26:$E$26,$B$3)*E23*1.25+(1-INDEX(Assumptions!$C$26:$E$26,$B$3)))+D29*INDEX(Assumptions!$C$89:$E$89,$B$3)</f>
        <v>1.94762066666667</v>
      </c>
      <c r="F25" s="6" t="n">
        <f aca="false">F19*(INDEX(Assumptions!$C$26:$E$26,$B$3)*(1-F23)+INDEX(Assumptions!$C$26:$E$26,$B$3)*F23*1.25+(1-INDEX(Assumptions!$C$26:$E$26,$B$3)))+E29*INDEX(Assumptions!$C$89:$E$89,$B$3)</f>
        <v>3.2510136</v>
      </c>
      <c r="G25" s="6" t="n">
        <f aca="false">G19*(INDEX(Assumptions!$C$26:$E$26,$B$3)*(1-G23)+INDEX(Assumptions!$C$26:$E$26,$B$3)*G23*1.25+(1-INDEX(Assumptions!$C$26:$E$26,$B$3)))+F29*INDEX(Assumptions!$C$89:$E$89,$B$3)</f>
        <v>4.2648</v>
      </c>
      <c r="H25" s="6" t="n">
        <f aca="false">H19*(INDEX(Assumptions!$C$26:$E$26,$B$3)*(1-H23)+INDEX(Assumptions!$C$26:$E$26,$B$3)*H23*1.25+(1-INDEX(Assumptions!$C$26:$E$26,$B$3)))+G29*INDEX(Assumptions!$C$89:$E$89,$B$3)</f>
        <v>5.03466666666667</v>
      </c>
      <c r="I25" s="6" t="n">
        <f aca="false">I19*(INDEX(Assumptions!$C$26:$E$26,$B$3)*(1-I23)+INDEX(Assumptions!$C$26:$E$26,$B$3)*I23*1.25+(1-INDEX(Assumptions!$C$26:$E$26,$B$3)))+H29*INDEX(Assumptions!$C$89:$E$89,$B$3)</f>
        <v>6.788</v>
      </c>
      <c r="J25" s="6" t="n">
        <f aca="false">J19*(INDEX(Assumptions!$C$26:$E$26,$B$3)*(1-J23)+INDEX(Assumptions!$C$26:$E$26,$B$3)*J23*1.25+(1-INDEX(Assumptions!$C$26:$E$26,$B$3)))+I29*INDEX(Assumptions!$C$89:$E$89,$B$3)</f>
        <v>7.2288</v>
      </c>
      <c r="K25" s="6" t="n">
        <f aca="false">K19*(INDEX(Assumptions!$C$26:$E$26,$B$3)*(1-K23)+INDEX(Assumptions!$C$26:$E$26,$B$3)*K23*1.25+(1-INDEX(Assumptions!$C$26:$E$26,$B$3)))+J29*INDEX(Assumptions!$C$89:$E$89,$B$3)</f>
        <v>6.74223107569721</v>
      </c>
      <c r="L25" s="6" t="n">
        <f aca="false">L19*(INDEX(Assumptions!$C$26:$E$26,$B$3)*(1-L23)+INDEX(Assumptions!$C$26:$E$26,$B$3)*L23*1.25+(1-INDEX(Assumptions!$C$26:$E$26,$B$3)))+K29*INDEX(Assumptions!$C$89:$E$89,$B$3)</f>
        <v>5.88678943449743</v>
      </c>
      <c r="M25" s="6" t="n">
        <f aca="false">M19*(INDEX(Assumptions!$C$26:$E$26,$B$3)*(1-M23)+INDEX(Assumptions!$C$26:$E$26,$B$3)*M23*1.25+(1-INDEX(Assumptions!$C$26:$E$26,$B$3)))+L29*INDEX(Assumptions!$C$89:$E$89,$B$3)</f>
        <v>5.6736</v>
      </c>
      <c r="N25" s="6" t="n">
        <f aca="false">N19*(INDEX(Assumptions!$C$26:$E$26,$B$3)*(1-N23)+INDEX(Assumptions!$C$26:$E$26,$B$3)*N23*1.25+(1-INDEX(Assumptions!$C$26:$E$26,$B$3)))+M29*INDEX(Assumptions!$C$89:$E$89,$B$3)</f>
        <v>5.4048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1</v>
      </c>
      <c r="I26" s="7" t="n">
        <f aca="false">IF(I25&lt;=0,1,MAX(0,MIN(1,(I22-I24)/I25)))</f>
        <v>1</v>
      </c>
      <c r="J26" s="7" t="n">
        <f aca="false">IF(J25&lt;=0,1,MAX(0,MIN(1,(J22-J24)/J25)))</f>
        <v>0.954515272244356</v>
      </c>
      <c r="K26" s="7" t="n">
        <f aca="false">IF(K25&lt;=0,1,MAX(0,MIN(1,(K22-K24)/K25)))</f>
        <v>0.842763103468652</v>
      </c>
      <c r="L26" s="7" t="n">
        <f aca="false">IF(L25&lt;=0,1,MAX(0,MIN(1,(L22-L24)/L25)))</f>
        <v>1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0.842763103468652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0.590592</v>
      </c>
      <c r="D27" s="35" t="n">
        <f aca="false">D19*INDEX(Assumptions!$C$26:$E$26,$B$3)*(1-D23)*D26</f>
        <v>0.94587</v>
      </c>
      <c r="E27" s="35" t="n">
        <f aca="false">E19*INDEX(Assumptions!$C$26:$E$26,$B$3)*(1-E23)*E26</f>
        <v>1.055068</v>
      </c>
      <c r="F27" s="35" t="n">
        <f aca="false">F19*INDEX(Assumptions!$C$26:$E$26,$B$3)*(1-F23)*F26</f>
        <v>1.824</v>
      </c>
      <c r="G27" s="35" t="n">
        <f aca="false">G19*INDEX(Assumptions!$C$26:$E$26,$B$3)*(1-G23)*G26</f>
        <v>2.34</v>
      </c>
      <c r="H27" s="35" t="n">
        <f aca="false">H19*INDEX(Assumptions!$C$26:$E$26,$B$3)*(1-H23)*H26</f>
        <v>2.74</v>
      </c>
      <c r="I27" s="35" t="n">
        <f aca="false">I19*INDEX(Assumptions!$C$26:$E$26,$B$3)*(1-I23)*I26</f>
        <v>3.744</v>
      </c>
      <c r="J27" s="35" t="n">
        <f aca="false">J19*INDEX(Assumptions!$C$26:$E$26,$B$3)*(1-J23)*J26</f>
        <v>3.71115537848606</v>
      </c>
      <c r="K27" s="35" t="n">
        <f aca="false">K19*INDEX(Assumptions!$C$26:$E$26,$B$3)*(1-K23)*K26</f>
        <v>3.03394717248715</v>
      </c>
      <c r="L27" s="35" t="n">
        <f aca="false">L19*INDEX(Assumptions!$C$26:$E$26,$B$3)*(1-L23)*L26</f>
        <v>3.168</v>
      </c>
      <c r="M27" s="35" t="n">
        <f aca="false">M19*INDEX(Assumptions!$C$26:$E$26,$B$3)*(1-M23)*M26</f>
        <v>3.024</v>
      </c>
      <c r="N27" s="35" t="n">
        <f aca="false">N19*INDEX(Assumptions!$C$26:$E$26,$B$3)*(1-N23)*N26</f>
        <v>2.88</v>
      </c>
      <c r="O27" s="38" t="n">
        <f aca="false">SUM(C27:N27)</f>
        <v>29.0566325509732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0</v>
      </c>
      <c r="M28" s="27" t="n">
        <f aca="false">M19*INDEX(Assumptions!$C$26:$E$26,$B$3)*M23*M26</f>
        <v>0</v>
      </c>
      <c r="N28" s="27" t="n">
        <f aca="false">N19*INDEX(Assumptions!$C$26:$E$26,$B$3)*N23*N26</f>
        <v>0</v>
      </c>
      <c r="O28" s="35" t="n">
        <f aca="false">SUM(C28:N28)</f>
        <v>0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0.393728</v>
      </c>
      <c r="D29" s="27" t="n">
        <f aca="false">D19*(1-INDEX(Assumptions!$C$26:$E$26,$B$3))*D26</f>
        <v>0.63058</v>
      </c>
      <c r="E29" s="27" t="n">
        <f aca="false">E19*(1-INDEX(Assumptions!$C$26:$E$26,$B$3))*E26</f>
        <v>0.703378666666667</v>
      </c>
      <c r="F29" s="27" t="n">
        <f aca="false">F19*(1-INDEX(Assumptions!$C$26:$E$26,$B$3))*F26</f>
        <v>1.216</v>
      </c>
      <c r="G29" s="27" t="n">
        <f aca="false">G19*(1-INDEX(Assumptions!$C$26:$E$26,$B$3))*G26</f>
        <v>1.56</v>
      </c>
      <c r="H29" s="27" t="n">
        <f aca="false">H19*(1-INDEX(Assumptions!$C$26:$E$26,$B$3))*H26</f>
        <v>1.82666666666667</v>
      </c>
      <c r="I29" s="27" t="n">
        <f aca="false">I19*(1-INDEX(Assumptions!$C$26:$E$26,$B$3))*I26</f>
        <v>2.496</v>
      </c>
      <c r="J29" s="27" t="n">
        <f aca="false">J19*(1-INDEX(Assumptions!$C$26:$E$26,$B$3))*J26</f>
        <v>2.47410358565737</v>
      </c>
      <c r="K29" s="27" t="n">
        <f aca="false">K19*(1-INDEX(Assumptions!$C$26:$E$26,$B$3))*K26</f>
        <v>2.02263144832477</v>
      </c>
      <c r="L29" s="27" t="n">
        <f aca="false">L19*(1-INDEX(Assumptions!$C$26:$E$26,$B$3))*L26</f>
        <v>2.112</v>
      </c>
      <c r="M29" s="27" t="n">
        <f aca="false">M19*(1-INDEX(Assumptions!$C$26:$E$26,$B$3))*M26</f>
        <v>2.016</v>
      </c>
      <c r="N29" s="27" t="n">
        <f aca="false">N19*(1-INDEX(Assumptions!$C$26:$E$26,$B$3))*N26</f>
        <v>1.92</v>
      </c>
      <c r="O29" s="35" t="n">
        <f aca="false">SUM(C29:N29)</f>
        <v>19.3710883673155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0.1181184</v>
      </c>
      <c r="E30" s="27" t="n">
        <f aca="false">D29*INDEX(Assumptions!$C$89:$E$89,$B$3)*E26</f>
        <v>0.189174</v>
      </c>
      <c r="F30" s="27" t="n">
        <f aca="false">E29*INDEX(Assumptions!$C$89:$E$89,$B$3)*F26</f>
        <v>0.2110136</v>
      </c>
      <c r="G30" s="27" t="n">
        <f aca="false">F29*INDEX(Assumptions!$C$89:$E$89,$B$3)*G26</f>
        <v>0.3648</v>
      </c>
      <c r="H30" s="27" t="n">
        <f aca="false">G29*INDEX(Assumptions!$C$89:$E$89,$B$3)*H26</f>
        <v>0.468</v>
      </c>
      <c r="I30" s="27" t="n">
        <f aca="false">H29*INDEX(Assumptions!$C$89:$E$89,$B$3)*I26</f>
        <v>0.548</v>
      </c>
      <c r="J30" s="27" t="n">
        <f aca="false">I29*INDEX(Assumptions!$C$89:$E$89,$B$3)*J26</f>
        <v>0.714741035856574</v>
      </c>
      <c r="K30" s="27" t="n">
        <f aca="false">J29*INDEX(Assumptions!$C$89:$E$89,$B$3)*K26</f>
        <v>0.625524964845458</v>
      </c>
      <c r="L30" s="27" t="n">
        <f aca="false">K29*INDEX(Assumptions!$C$89:$E$89,$B$3)*L26</f>
        <v>0.60678943449743</v>
      </c>
      <c r="M30" s="27" t="n">
        <f aca="false">L29*INDEX(Assumptions!$C$89:$E$89,$B$3)*M26</f>
        <v>0.6336</v>
      </c>
      <c r="N30" s="27" t="n">
        <f aca="false">M29*INDEX(Assumptions!$C$89:$E$89,$B$3)*N26</f>
        <v>0.6048</v>
      </c>
      <c r="O30" s="35" t="n">
        <f aca="false">SUM(C30:N30)</f>
        <v>5.08456143519946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0.98432</v>
      </c>
      <c r="D31" s="35" t="n">
        <f aca="false">D27+D28+D29</f>
        <v>1.57645</v>
      </c>
      <c r="E31" s="35" t="n">
        <f aca="false">E27+E28+E29</f>
        <v>1.75844666666667</v>
      </c>
      <c r="F31" s="35" t="n">
        <f aca="false">F27+F28+F29</f>
        <v>3.04</v>
      </c>
      <c r="G31" s="35" t="n">
        <f aca="false">G27+G28+G29</f>
        <v>3.9</v>
      </c>
      <c r="H31" s="35" t="n">
        <f aca="false">H27+H28+H29</f>
        <v>4.56666666666667</v>
      </c>
      <c r="I31" s="35" t="n">
        <f aca="false">I27+I28+I29</f>
        <v>6.24</v>
      </c>
      <c r="J31" s="35" t="n">
        <f aca="false">J27+J28+J29</f>
        <v>6.18525896414343</v>
      </c>
      <c r="K31" s="35" t="n">
        <f aca="false">K27+K28+K29</f>
        <v>5.05657862081191</v>
      </c>
      <c r="L31" s="35" t="n">
        <f aca="false">L27+L28+L29</f>
        <v>5.28</v>
      </c>
      <c r="M31" s="35" t="n">
        <f aca="false">M27+M28+M29</f>
        <v>5.04</v>
      </c>
      <c r="N31" s="35" t="n">
        <f aca="false">N27+N28+N29</f>
        <v>4.8</v>
      </c>
      <c r="O31" s="38" t="n">
        <f aca="false">SUM(C31:N31)</f>
        <v>48.4277209182887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0.24608</v>
      </c>
      <c r="D32" s="27" t="n">
        <f aca="false">D31*INDEX(Assumptions!$C$74:$E$74,$B$3)</f>
        <v>0.3941125</v>
      </c>
      <c r="E32" s="27" t="n">
        <f aca="false">E31*INDEX(Assumptions!$C$74:$E$74,$B$3)</f>
        <v>0.439611666666667</v>
      </c>
      <c r="F32" s="27" t="n">
        <f aca="false">F31*INDEX(Assumptions!$C$74:$E$74,$B$3)</f>
        <v>0.76</v>
      </c>
      <c r="G32" s="27" t="n">
        <f aca="false">G31*INDEX(Assumptions!$C$74:$E$74,$B$3)</f>
        <v>0.975</v>
      </c>
      <c r="H32" s="27" t="n">
        <f aca="false">H31*INDEX(Assumptions!$C$74:$E$74,$B$3)</f>
        <v>1.14166666666667</v>
      </c>
      <c r="I32" s="27" t="n">
        <f aca="false">I31*INDEX(Assumptions!$C$74:$E$74,$B$3)</f>
        <v>1.56</v>
      </c>
      <c r="J32" s="27" t="n">
        <f aca="false">J31*INDEX(Assumptions!$C$74:$E$74,$B$3)</f>
        <v>1.54631474103586</v>
      </c>
      <c r="K32" s="27" t="n">
        <f aca="false">K31*INDEX(Assumptions!$C$74:$E$74,$B$3)</f>
        <v>1.26414465520298</v>
      </c>
      <c r="L32" s="27" t="n">
        <f aca="false">L31*INDEX(Assumptions!$C$74:$E$74,$B$3)</f>
        <v>1.32</v>
      </c>
      <c r="M32" s="27" t="n">
        <f aca="false">M31*INDEX(Assumptions!$C$74:$E$74,$B$3)</f>
        <v>1.26</v>
      </c>
      <c r="N32" s="27" t="n">
        <f aca="false">N31*INDEX(Assumptions!$C$74:$E$74,$B$3)</f>
        <v>1.2</v>
      </c>
      <c r="O32" s="35" t="n">
        <f aca="false">SUM(C32:N32)</f>
        <v>12.1069302295722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0.98432</v>
      </c>
      <c r="D33" s="6" t="n">
        <f aca="false">D24+D27+D30+D29+1.25*D28</f>
        <v>2.2851604</v>
      </c>
      <c r="E33" s="6" t="n">
        <f aca="false">E24+E27+E30+E29+1.25*E28</f>
        <v>3.60220106666667</v>
      </c>
      <c r="F33" s="6" t="n">
        <f aca="false">F24+F27+F30+F29+1.25*F28</f>
        <v>5.559244</v>
      </c>
      <c r="G33" s="6" t="n">
        <f aca="false">G24+G27+G30+G29+1.25*G28</f>
        <v>7.5440556</v>
      </c>
      <c r="H33" s="6" t="n">
        <f aca="false">H24+H27+H30+H29+1.25*H28</f>
        <v>9.77448026666667</v>
      </c>
      <c r="I33" s="6" t="n">
        <f aca="false">I24+I27+I30+I29+1.25*I28</f>
        <v>12.7008</v>
      </c>
      <c r="J33" s="6" t="n">
        <f aca="false">J24+J27+J30+J29+1.25*J28</f>
        <v>14.4</v>
      </c>
      <c r="K33" s="6" t="n">
        <f aca="false">K24+K27+K30+K29+1.25*K28</f>
        <v>14.4</v>
      </c>
      <c r="L33" s="6" t="n">
        <f aca="false">L24+L27+L30+L29+1.25*L28</f>
        <v>13.9721579861727</v>
      </c>
      <c r="M33" s="6" t="n">
        <f aca="false">M24+M27+M30+M29+1.25*M28</f>
        <v>13.10786157183</v>
      </c>
      <c r="N33" s="6" t="n">
        <f aca="false">N24+N27+N30+N29+1.25*N28</f>
        <v>12.8371894344974</v>
      </c>
      <c r="O33" s="39" t="n">
        <f aca="false">AVERAGE(C33:N33)</f>
        <v>9.26395586048612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0.06152</v>
      </c>
      <c r="D34" s="36" t="n">
        <f aca="false">D33/(D20*D21)</f>
        <v>0.142822525</v>
      </c>
      <c r="E34" s="36" t="n">
        <f aca="false">E33/(E20*E21)</f>
        <v>0.225137566666667</v>
      </c>
      <c r="F34" s="36" t="n">
        <f aca="false">F33/(F20*F21)</f>
        <v>0.34745275</v>
      </c>
      <c r="G34" s="36" t="n">
        <f aca="false">G33/(G20*G21)</f>
        <v>0.471503475</v>
      </c>
      <c r="H34" s="36" t="n">
        <f aca="false">H33/(H20*H21)</f>
        <v>0.610905016666667</v>
      </c>
      <c r="I34" s="36" t="n">
        <f aca="false">I33/(I20*I21)</f>
        <v>0.7938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0.873259874135792</v>
      </c>
      <c r="M34" s="36" t="n">
        <f aca="false">M33/(M20*M21)</f>
        <v>0.819241348239377</v>
      </c>
      <c r="N34" s="36" t="n">
        <f aca="false">N33/(N20*N21)</f>
        <v>0.80232433965609</v>
      </c>
      <c r="O34" s="30" t="n">
        <f aca="false">N34</f>
        <v>0.80232433965609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0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0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2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1.7</v>
      </c>
      <c r="F37" s="6" t="n">
        <f aca="false">IF(4&gt;=3,INDEX(Assumptions!$C$192:$E$192,$D$3)*INDEX(Assumptions!$C$193:$E$193,$B$3)*MIN(1,(4-2)/6),0)*$F$3</f>
        <v>3.4</v>
      </c>
      <c r="G37" s="6" t="n">
        <f aca="false">IF(5&gt;=3,INDEX(Assumptions!$C$192:$E$192,$D$3)*INDEX(Assumptions!$C$193:$E$193,$B$3)*MIN(1,(5-2)/6),0)*$F$3</f>
        <v>5.1</v>
      </c>
      <c r="H37" s="6" t="n">
        <f aca="false">IF(6&gt;=3,INDEX(Assumptions!$C$192:$E$192,$D$3)*INDEX(Assumptions!$C$193:$E$193,$B$3)*MIN(1,(6-2)/6),0)*$F$3</f>
        <v>6.8</v>
      </c>
      <c r="I37" s="6" t="n">
        <f aca="false">IF(7&gt;=3,INDEX(Assumptions!$C$192:$E$192,$D$3)*INDEX(Assumptions!$C$193:$E$193,$B$3)*MIN(1,(7-2)/6),0)*$F$3</f>
        <v>8.5</v>
      </c>
      <c r="J37" s="6" t="n">
        <f aca="false">IF(8&gt;=3,INDEX(Assumptions!$C$192:$E$192,$D$3)*INDEX(Assumptions!$C$193:$E$193,$B$3)*MIN(1,(8-2)/6),0)*$F$3</f>
        <v>10.2</v>
      </c>
      <c r="K37" s="6" t="n">
        <f aca="false">IF(9&gt;=3,INDEX(Assumptions!$C$192:$E$192,$D$3)*INDEX(Assumptions!$C$193:$E$193,$B$3)*MIN(1,(9-2)/6),0)*$F$3</f>
        <v>10.2</v>
      </c>
      <c r="L37" s="6" t="n">
        <f aca="false">IF(10&gt;=3,INDEX(Assumptions!$C$192:$E$192,$D$3)*INDEX(Assumptions!$C$193:$E$193,$B$3)*MIN(1,(10-2)/6),0)*$F$3</f>
        <v>10.2</v>
      </c>
      <c r="M37" s="6" t="n">
        <f aca="false">IF(11&gt;=3,INDEX(Assumptions!$C$192:$E$192,$D$3)*INDEX(Assumptions!$C$193:$E$193,$B$3)*MIN(1,(11-2)/6),0)*$F$3</f>
        <v>10.2</v>
      </c>
      <c r="N37" s="6" t="n">
        <f aca="false">IF(12&gt;=3,INDEX(Assumptions!$C$192:$E$192,$D$3)*INDEX(Assumptions!$C$193:$E$193,$B$3)*MIN(1,(12-2)/6),0)*$F$3</f>
        <v>10.2</v>
      </c>
      <c r="O37" s="39" t="n">
        <f aca="false">SUM(C37:N37)</f>
        <v>76.5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4.66666666666667</v>
      </c>
      <c r="D38" s="6" t="n">
        <f aca="false">INDEX(Assumptions!$C$194:$E$194,$D$3)*D10*MIN(1,2/3)*$F$3</f>
        <v>8</v>
      </c>
      <c r="E38" s="6" t="n">
        <f aca="false">INDEX(Assumptions!$C$194:$E$194,$D$3)*E10*MIN(1,3/3)*$F$3</f>
        <v>12</v>
      </c>
      <c r="F38" s="6" t="n">
        <f aca="false">INDEX(Assumptions!$C$194:$E$194,$D$3)*F10*MIN(1,4/3)*$F$3</f>
        <v>13</v>
      </c>
      <c r="G38" s="6" t="n">
        <f aca="false">INDEX(Assumptions!$C$194:$E$194,$D$3)*G10*MIN(1,5/3)*$F$3</f>
        <v>9</v>
      </c>
      <c r="H38" s="6" t="n">
        <f aca="false">INDEX(Assumptions!$C$194:$E$194,$D$3)*H10*MIN(1,6/3)*$F$3</f>
        <v>8</v>
      </c>
      <c r="I38" s="6" t="n">
        <f aca="false">INDEX(Assumptions!$C$194:$E$194,$D$3)*I10*MIN(1,7/3)*$F$3</f>
        <v>7</v>
      </c>
      <c r="J38" s="6" t="n">
        <f aca="false">INDEX(Assumptions!$C$194:$E$194,$D$3)*J10*MIN(1,8/3)*$F$3</f>
        <v>6</v>
      </c>
      <c r="K38" s="6" t="n">
        <f aca="false">INDEX(Assumptions!$C$194:$E$194,$D$3)*K10*MIN(1,9/3)*$F$3</f>
        <v>6</v>
      </c>
      <c r="L38" s="6" t="n">
        <f aca="false">INDEX(Assumptions!$C$194:$E$194,$D$3)*L10*MIN(1,10/3)*$F$3</f>
        <v>8</v>
      </c>
      <c r="M38" s="6" t="n">
        <f aca="false">INDEX(Assumptions!$C$194:$E$194,$D$3)*M10*MIN(1,11/3)*$F$3</f>
        <v>11</v>
      </c>
      <c r="N38" s="6" t="n">
        <f aca="false">INDEX(Assumptions!$C$194:$E$194,$D$3)*N10*MIN(1,12/3)*$F$3</f>
        <v>14</v>
      </c>
      <c r="O38" s="39" t="n">
        <f aca="false">SUM(C38:N38)</f>
        <v>106.666666666667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0.923377110694184</v>
      </c>
      <c r="D39" s="6" t="n">
        <f aca="false">D19*INDEX(Assumptions!$C$31:$E$31,$B$3)/(INDEX(Assumptions!$C$56:$E$56,$B$3)*INDEX(Assumptions!$C$57:$E$57,$B$3)*INDEX(Assumptions!$C$58:$E$58,$B$3))</f>
        <v>1.47884615384615</v>
      </c>
      <c r="E39" s="6" t="n">
        <f aca="false">E19*INDEX(Assumptions!$C$31:$E$31,$B$3)/(INDEX(Assumptions!$C$56:$E$56,$B$3)*INDEX(Assumptions!$C$57:$E$57,$B$3)*INDEX(Assumptions!$C$58:$E$58,$B$3))</f>
        <v>1.64957473420888</v>
      </c>
      <c r="F39" s="6" t="n">
        <f aca="false">F19*INDEX(Assumptions!$C$31:$E$31,$B$3)/(INDEX(Assumptions!$C$56:$E$56,$B$3)*INDEX(Assumptions!$C$57:$E$57,$B$3)*INDEX(Assumptions!$C$58:$E$58,$B$3))</f>
        <v>2.85178236397749</v>
      </c>
      <c r="G39" s="6" t="n">
        <f aca="false">G19*INDEX(Assumptions!$C$31:$E$31,$B$3)/(INDEX(Assumptions!$C$56:$E$56,$B$3)*INDEX(Assumptions!$C$57:$E$57,$B$3)*INDEX(Assumptions!$C$58:$E$58,$B$3))</f>
        <v>3.65853658536585</v>
      </c>
      <c r="H39" s="6" t="n">
        <f aca="false">H19*INDEX(Assumptions!$C$31:$E$31,$B$3)/(INDEX(Assumptions!$C$56:$E$56,$B$3)*INDEX(Assumptions!$C$57:$E$57,$B$3)*INDEX(Assumptions!$C$58:$E$58,$B$3))</f>
        <v>4.28392745465916</v>
      </c>
      <c r="I39" s="6" t="n">
        <f aca="false">I19*INDEX(Assumptions!$C$31:$E$31,$B$3)/(INDEX(Assumptions!$C$56:$E$56,$B$3)*INDEX(Assumptions!$C$57:$E$57,$B$3)*INDEX(Assumptions!$C$58:$E$58,$B$3))</f>
        <v>5.85365853658537</v>
      </c>
      <c r="J39" s="6" t="n">
        <f aca="false">J19*INDEX(Assumptions!$C$31:$E$31,$B$3)/(INDEX(Assumptions!$C$56:$E$56,$B$3)*INDEX(Assumptions!$C$57:$E$57,$B$3)*INDEX(Assumptions!$C$58:$E$58,$B$3))</f>
        <v>6.07879924953096</v>
      </c>
      <c r="K39" s="6" t="n">
        <f aca="false">K19*INDEX(Assumptions!$C$31:$E$31,$B$3)/(INDEX(Assumptions!$C$56:$E$56,$B$3)*INDEX(Assumptions!$C$57:$E$57,$B$3)*INDEX(Assumptions!$C$58:$E$58,$B$3))</f>
        <v>5.62851782363978</v>
      </c>
      <c r="L39" s="6" t="n">
        <f aca="false">L19*INDEX(Assumptions!$C$31:$E$31,$B$3)/(INDEX(Assumptions!$C$56:$E$56,$B$3)*INDEX(Assumptions!$C$57:$E$57,$B$3)*INDEX(Assumptions!$C$58:$E$58,$B$3))</f>
        <v>4.953095684803</v>
      </c>
      <c r="M39" s="6" t="n">
        <f aca="false">M19*INDEX(Assumptions!$C$31:$E$31,$B$3)/(INDEX(Assumptions!$C$56:$E$56,$B$3)*INDEX(Assumptions!$C$57:$E$57,$B$3)*INDEX(Assumptions!$C$58:$E$58,$B$3))</f>
        <v>4.72795497185741</v>
      </c>
      <c r="N39" s="6" t="n">
        <f aca="false">N19*INDEX(Assumptions!$C$31:$E$31,$B$3)/(INDEX(Assumptions!$C$56:$E$56,$B$3)*INDEX(Assumptions!$C$57:$E$57,$B$3)*INDEX(Assumptions!$C$58:$E$58,$B$3))</f>
        <v>4.50281425891182</v>
      </c>
      <c r="O39" s="39" t="n">
        <f aca="false">SUM(C39:N39)</f>
        <v>46.5908849280801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</v>
      </c>
      <c r="L40" s="27" t="n">
        <f aca="false">IF(10&gt;=INDEX(Assumptions!$C$191:$E$191,$D$3),MAX(INDEX(Assumptions!$C$86:$E$86,$D$3),0.5),0)</f>
        <v>0</v>
      </c>
      <c r="M40" s="27" t="n">
        <f aca="false">IF(11&gt;=INDEX(Assumptions!$C$191:$E$191,$D$3),MAX(INDEX(Assumptions!$C$86:$E$86,$D$3),0.5),0)</f>
        <v>0</v>
      </c>
      <c r="N40" s="27" t="n">
        <f aca="false">IF(12&gt;=INDEX(Assumptions!$C$191:$E$191,$D$3),MAX(INDEX(Assumptions!$C$86:$E$86,$D$3),0.5),0)</f>
        <v>0</v>
      </c>
      <c r="O40" s="35" t="n">
        <f aca="false">SUM(C40:N40)</f>
        <v>0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0</v>
      </c>
      <c r="L41" s="6" t="n">
        <f aca="false">L40*INDEX(Assumptions!$C$82:$E$82,$B$3)*$F$3</f>
        <v>0</v>
      </c>
      <c r="M41" s="6" t="n">
        <f aca="false">M40*INDEX(Assumptions!$C$82:$E$82,$B$3)*$F$3</f>
        <v>0</v>
      </c>
      <c r="N41" s="6" t="n">
        <f aca="false">N40*INDEX(Assumptions!$C$82:$E$82,$B$3)*$F$3</f>
        <v>0</v>
      </c>
      <c r="O41" s="39" t="n">
        <f aca="false">SUM(C41:N41)</f>
        <v>0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0.119</v>
      </c>
      <c r="F42" s="27" t="n">
        <f aca="false">F37*0.7*INDEX(Assumptions!$C$73:$E$73,$B$3)</f>
        <v>0.238</v>
      </c>
      <c r="G42" s="27" t="n">
        <f aca="false">G37*0.7*INDEX(Assumptions!$C$73:$E$73,$B$3)</f>
        <v>0.357</v>
      </c>
      <c r="H42" s="27" t="n">
        <f aca="false">H37*0.7*INDEX(Assumptions!$C$73:$E$73,$B$3)</f>
        <v>0.476</v>
      </c>
      <c r="I42" s="27" t="n">
        <f aca="false">I37*0.7*INDEX(Assumptions!$C$73:$E$73,$B$3)</f>
        <v>0.595</v>
      </c>
      <c r="J42" s="27" t="n">
        <f aca="false">J37*0.7*INDEX(Assumptions!$C$73:$E$73,$B$3)</f>
        <v>0.714</v>
      </c>
      <c r="K42" s="27" t="n">
        <f aca="false">K37*0.7*INDEX(Assumptions!$C$73:$E$73,$B$3)</f>
        <v>0.714</v>
      </c>
      <c r="L42" s="27" t="n">
        <f aca="false">L37*0.7*INDEX(Assumptions!$C$73:$E$73,$B$3)</f>
        <v>0.714</v>
      </c>
      <c r="M42" s="27" t="n">
        <f aca="false">M37*0.7*INDEX(Assumptions!$C$73:$E$73,$B$3)</f>
        <v>0.714</v>
      </c>
      <c r="N42" s="27" t="n">
        <f aca="false">N37*0.7*INDEX(Assumptions!$C$73:$E$73,$B$3)</f>
        <v>0.714</v>
      </c>
      <c r="O42" s="35" t="n">
        <f aca="false">SUM(C42:N42)</f>
        <v>5.355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30030.1016949153</v>
      </c>
      <c r="D47" s="8" t="n">
        <f aca="false">D27*D44/(1+INDEX(Assumptions!$C$15:$E$15,$B$3)*$H$4)</f>
        <v>48095.0847457627</v>
      </c>
      <c r="E47" s="8" t="n">
        <f aca="false">E27*E44/(1+INDEX(Assumptions!$C$15:$E$15,$B$3)*$H$4)</f>
        <v>53647.5254237288</v>
      </c>
      <c r="F47" s="8" t="n">
        <f aca="false">F27*F44/(1+INDEX(Assumptions!$C$15:$E$15,$B$3)*$H$4)</f>
        <v>92745.7627118644</v>
      </c>
      <c r="G47" s="8" t="n">
        <f aca="false">G27*G44/(1+INDEX(Assumptions!$C$15:$E$15,$B$3)*$H$4)</f>
        <v>118983.050847458</v>
      </c>
      <c r="H47" s="8" t="n">
        <f aca="false">H27*H44/(1+INDEX(Assumptions!$C$15:$E$15,$B$3)*$H$4)</f>
        <v>139322.033898305</v>
      </c>
      <c r="I47" s="8" t="n">
        <f aca="false">I27*I44/(1+INDEX(Assumptions!$C$15:$E$15,$B$3)*$H$4)</f>
        <v>253830.508474576</v>
      </c>
      <c r="J47" s="8" t="n">
        <f aca="false">J27*J44/(1+INDEX(Assumptions!$C$15:$E$15,$B$3)*$H$4)</f>
        <v>251603.754473631</v>
      </c>
      <c r="K47" s="8" t="n">
        <f aca="false">K27*K44/(1+INDEX(Assumptions!$C$15:$E$15,$B$3)*$H$4)</f>
        <v>205691.333727942</v>
      </c>
      <c r="L47" s="8" t="n">
        <f aca="false">L27*L44/(1+INDEX(Assumptions!$C$15:$E$15,$B$3)*$H$4)</f>
        <v>214779.661016949</v>
      </c>
      <c r="M47" s="8" t="n">
        <f aca="false">M27*M44/(1+INDEX(Assumptions!$C$15:$E$15,$B$3)*$H$4)</f>
        <v>205016.949152542</v>
      </c>
      <c r="N47" s="8" t="n">
        <f aca="false">N27*N44/(1+INDEX(Assumptions!$C$15:$E$15,$B$3)*$H$4)</f>
        <v>195254.237288136</v>
      </c>
      <c r="O47" s="37" t="n">
        <f aca="false">SUM(C47:N47)</f>
        <v>1809000.00345581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0</v>
      </c>
      <c r="M48" s="8" t="n">
        <f aca="false">M28*M44/(1+INDEX(Assumptions!$C$15:$E$15,$B$3)*$H$4)</f>
        <v>0</v>
      </c>
      <c r="N48" s="8" t="n">
        <f aca="false">N28*N44/(1+INDEX(Assumptions!$C$15:$E$15,$B$3)*$H$4)</f>
        <v>0</v>
      </c>
      <c r="O48" s="37" t="n">
        <f aca="false">SUM(C48:N48)</f>
        <v>0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2012.01681355932</v>
      </c>
      <c r="E49" s="8" t="n">
        <f aca="false">E30*MAX(0,E44-INDEX(Assumptions!$C$18:$E$18,$B$3)*$H$3)/(1+INDEX(Assumptions!$C$15:$E$15,$B$3)*$H$4)</f>
        <v>3222.3706779661</v>
      </c>
      <c r="F49" s="8" t="n">
        <f aca="false">F30*MAX(0,F44-INDEX(Assumptions!$C$18:$E$18,$B$3)*$H$3)/(1+INDEX(Assumptions!$C$15:$E$15,$B$3)*$H$4)</f>
        <v>3594.38420338983</v>
      </c>
      <c r="G49" s="8" t="n">
        <f aca="false">G30*MAX(0,G44-INDEX(Assumptions!$C$18:$E$18,$B$3)*$H$3)/(1+INDEX(Assumptions!$C$15:$E$15,$B$3)*$H$4)</f>
        <v>6213.96610169492</v>
      </c>
      <c r="H49" s="8" t="n">
        <f aca="false">H30*MAX(0,H44-INDEX(Assumptions!$C$18:$E$18,$B$3)*$H$3)/(1+INDEX(Assumptions!$C$15:$E$15,$B$3)*$H$4)</f>
        <v>7971.86440677966</v>
      </c>
      <c r="I49" s="8" t="n">
        <f aca="false">I30*MAX(0,I44-INDEX(Assumptions!$C$18:$E$18,$B$3)*$H$3)/(1+INDEX(Assumptions!$C$15:$E$15,$B$3)*$H$4)</f>
        <v>18622.7118644068</v>
      </c>
      <c r="J49" s="8" t="n">
        <f aca="false">J30*MAX(0,J44-INDEX(Assumptions!$C$18:$E$18,$B$3)*$H$3)/(1+INDEX(Assumptions!$C$15:$E$15,$B$3)*$H$4)</f>
        <v>24289.0809642785</v>
      </c>
      <c r="K49" s="8" t="n">
        <f aca="false">K30*MAX(0,K44-INDEX(Assumptions!$C$18:$E$18,$B$3)*$H$3)/(1+INDEX(Assumptions!$C$15:$E$15,$B$3)*$H$4)</f>
        <v>21257.2466866973</v>
      </c>
      <c r="L49" s="8" t="n">
        <f aca="false">L30*MAX(0,L44-INDEX(Assumptions!$C$18:$E$18,$B$3)*$H$3)/(1+INDEX(Assumptions!$C$15:$E$15,$B$3)*$H$4)</f>
        <v>20620.5562062262</v>
      </c>
      <c r="M49" s="8" t="n">
        <f aca="false">M30*MAX(0,M44-INDEX(Assumptions!$C$18:$E$18,$B$3)*$H$3)/(1+INDEX(Assumptions!$C$15:$E$15,$B$3)*$H$4)</f>
        <v>21531.6610169492</v>
      </c>
      <c r="N49" s="8" t="n">
        <f aca="false">N30*MAX(0,N44-INDEX(Assumptions!$C$18:$E$18,$B$3)*$H$3)/(1+INDEX(Assumptions!$C$15:$E$15,$B$3)*$H$4)</f>
        <v>20552.9491525424</v>
      </c>
      <c r="O49" s="37" t="n">
        <f aca="false">SUM(C49:N49)</f>
        <v>149888.80809449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13313.3450847458</v>
      </c>
      <c r="D50" s="8" t="n">
        <f aca="false">D29*INDEX(Assumptions!$C$18:$E$18,$B$3)*$H$3/(1+INDEX(Assumptions!$C$15:$E$15,$B$3)*$H$4)</f>
        <v>21322.1542372881</v>
      </c>
      <c r="E50" s="8" t="n">
        <f aca="false">E29*INDEX(Assumptions!$C$18:$E$18,$B$3)*$H$3/(1+INDEX(Assumptions!$C$15:$E$15,$B$3)*$H$4)</f>
        <v>23783.7362711864</v>
      </c>
      <c r="F50" s="8" t="n">
        <f aca="false">F29*INDEX(Assumptions!$C$18:$E$18,$B$3)*$H$3/(1+INDEX(Assumptions!$C$15:$E$15,$B$3)*$H$4)</f>
        <v>41117.2881355932</v>
      </c>
      <c r="G50" s="8" t="n">
        <f aca="false">G29*INDEX(Assumptions!$C$18:$E$18,$B$3)*$H$3/(1+INDEX(Assumptions!$C$15:$E$15,$B$3)*$H$4)</f>
        <v>52749.1525423729</v>
      </c>
      <c r="H50" s="8" t="n">
        <f aca="false">H29*INDEX(Assumptions!$C$18:$E$18,$B$3)*$H$3/(1+INDEX(Assumptions!$C$15:$E$15,$B$3)*$H$4)</f>
        <v>61766.1016949153</v>
      </c>
      <c r="I50" s="8" t="n">
        <f aca="false">I29*INDEX(Assumptions!$C$18:$E$18,$B$3)*$H$3/(1+INDEX(Assumptions!$C$15:$E$15,$B$3)*$H$4)</f>
        <v>84398.6440677966</v>
      </c>
      <c r="J50" s="8" t="n">
        <f aca="false">J29*INDEX(Assumptions!$C$18:$E$18,$B$3)*$H$3/(1+INDEX(Assumptions!$C$15:$E$15,$B$3)*$H$4)</f>
        <v>83658.2483624823</v>
      </c>
      <c r="K50" s="8" t="n">
        <f aca="false">K29*INDEX(Assumptions!$C$18:$E$18,$B$3)*$H$3/(1+INDEX(Assumptions!$C$15:$E$15,$B$3)*$H$4)</f>
        <v>68392.3684645408</v>
      </c>
      <c r="L50" s="8" t="n">
        <f aca="false">L29*INDEX(Assumptions!$C$18:$E$18,$B$3)*$H$3/(1+INDEX(Assumptions!$C$15:$E$15,$B$3)*$H$4)</f>
        <v>71414.2372881356</v>
      </c>
      <c r="M50" s="8" t="n">
        <f aca="false">M29*INDEX(Assumptions!$C$18:$E$18,$B$3)*$H$3/(1+INDEX(Assumptions!$C$15:$E$15,$B$3)*$H$4)</f>
        <v>68168.1355932204</v>
      </c>
      <c r="N50" s="8" t="n">
        <f aca="false">N29*INDEX(Assumptions!$C$18:$E$18,$B$3)*$H$3/(1+INDEX(Assumptions!$C$15:$E$15,$B$3)*$H$4)</f>
        <v>64922.0338983051</v>
      </c>
      <c r="O50" s="37" t="n">
        <f aca="false">SUM(C50:N50)</f>
        <v>655005.445640583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698.406919986008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1118.54233279009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1247.67486226667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2156.9784589945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2767.17631252584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3240.1979044106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4427.48210004134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4597.76987311985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4257.19432696283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3746.33100772729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3576.04323464877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3405.75546157026</v>
      </c>
      <c r="O51" s="37" t="n">
        <f aca="false">SUM(C51:N51)</f>
        <v>35239.552795044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14406.7796610169</v>
      </c>
      <c r="F52" s="8" t="n">
        <f aca="false">F37*INDEX(Assumptions!$C$21:$E$21,$B$3)*$H$3/(1+INDEX(Assumptions!$C$15:$E$15,$B$3)*$H$4)</f>
        <v>28813.5593220339</v>
      </c>
      <c r="G52" s="8" t="n">
        <f aca="false">G37*INDEX(Assumptions!$C$21:$E$21,$B$3)*$H$3/(1+INDEX(Assumptions!$C$15:$E$15,$B$3)*$H$4)</f>
        <v>43220.3389830509</v>
      </c>
      <c r="H52" s="8" t="n">
        <f aca="false">H37*INDEX(Assumptions!$C$21:$E$21,$B$3)*$H$3/(1+INDEX(Assumptions!$C$15:$E$15,$B$3)*$H$4)</f>
        <v>57627.1186440678</v>
      </c>
      <c r="I52" s="8" t="n">
        <f aca="false">I37*INDEX(Assumptions!$C$21:$E$21,$B$3)*$H$3/(1+INDEX(Assumptions!$C$15:$E$15,$B$3)*$H$4)</f>
        <v>72033.8983050848</v>
      </c>
      <c r="J52" s="8" t="n">
        <f aca="false">J37*INDEX(Assumptions!$C$21:$E$21,$B$3)*$H$3/(1+INDEX(Assumptions!$C$15:$E$15,$B$3)*$H$4)</f>
        <v>86440.6779661017</v>
      </c>
      <c r="K52" s="8" t="n">
        <f aca="false">K37*INDEX(Assumptions!$C$21:$E$21,$B$3)*$H$3/(1+INDEX(Assumptions!$C$15:$E$15,$B$3)*$H$4)</f>
        <v>86440.6779661017</v>
      </c>
      <c r="L52" s="8" t="n">
        <f aca="false">L37*INDEX(Assumptions!$C$21:$E$21,$B$3)*$H$3/(1+INDEX(Assumptions!$C$15:$E$15,$B$3)*$H$4)</f>
        <v>86440.6779661017</v>
      </c>
      <c r="M52" s="8" t="n">
        <f aca="false">M37*INDEX(Assumptions!$C$21:$E$21,$B$3)*$H$3/(1+INDEX(Assumptions!$C$15:$E$15,$B$3)*$H$4)</f>
        <v>86440.6779661017</v>
      </c>
      <c r="N52" s="8" t="n">
        <f aca="false">N37*INDEX(Assumptions!$C$21:$E$21,$B$3)*$H$3/(1+INDEX(Assumptions!$C$15:$E$15,$B$3)*$H$4)</f>
        <v>86440.6779661017</v>
      </c>
      <c r="O52" s="37" t="n">
        <f aca="false">SUM(C52:N52)</f>
        <v>648305.084745763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19770.0564971751</v>
      </c>
      <c r="D53" s="8" t="n">
        <f aca="false">D38*INDEX(Assumptions!$C$22:$E$22,$B$3)*$H$3/(1+INDEX(Assumptions!$C$15:$E$15,$B$3)*$H$4)</f>
        <v>33891.5254237288</v>
      </c>
      <c r="E53" s="8" t="n">
        <f aca="false">E38*INDEX(Assumptions!$C$22:$E$22,$B$3)*$H$3/(1+INDEX(Assumptions!$C$15:$E$15,$B$3)*$H$4)</f>
        <v>50837.2881355932</v>
      </c>
      <c r="F53" s="8" t="n">
        <f aca="false">F38*INDEX(Assumptions!$C$22:$E$22,$B$3)*$H$3/(1+INDEX(Assumptions!$C$15:$E$15,$B$3)*$H$4)</f>
        <v>55073.7288135593</v>
      </c>
      <c r="G53" s="8" t="n">
        <f aca="false">G38*INDEX(Assumptions!$C$22:$E$22,$B$3)*$H$3/(1+INDEX(Assumptions!$C$15:$E$15,$B$3)*$H$4)</f>
        <v>38127.9661016949</v>
      </c>
      <c r="H53" s="8" t="n">
        <f aca="false">H38*INDEX(Assumptions!$C$22:$E$22,$B$3)*$H$3/(1+INDEX(Assumptions!$C$15:$E$15,$B$3)*$H$4)</f>
        <v>33891.5254237288</v>
      </c>
      <c r="I53" s="8" t="n">
        <f aca="false">I38*INDEX(Assumptions!$C$22:$E$22,$B$3)*$H$3/(1+INDEX(Assumptions!$C$15:$E$15,$B$3)*$H$4)</f>
        <v>29655.0847457627</v>
      </c>
      <c r="J53" s="8" t="n">
        <f aca="false">J38*INDEX(Assumptions!$C$22:$E$22,$B$3)*$H$3/(1+INDEX(Assumptions!$C$15:$E$15,$B$3)*$H$4)</f>
        <v>25418.6440677966</v>
      </c>
      <c r="K53" s="8" t="n">
        <f aca="false">K38*INDEX(Assumptions!$C$22:$E$22,$B$3)*$H$3/(1+INDEX(Assumptions!$C$15:$E$15,$B$3)*$H$4)</f>
        <v>25418.6440677966</v>
      </c>
      <c r="L53" s="8" t="n">
        <f aca="false">L38*INDEX(Assumptions!$C$22:$E$22,$B$3)*$H$3/(1+INDEX(Assumptions!$C$15:$E$15,$B$3)*$H$4)</f>
        <v>33891.5254237288</v>
      </c>
      <c r="M53" s="8" t="n">
        <f aca="false">M38*INDEX(Assumptions!$C$22:$E$22,$B$3)*$H$3/(1+INDEX(Assumptions!$C$15:$E$15,$B$3)*$H$4)</f>
        <v>46600.8474576271</v>
      </c>
      <c r="N53" s="8" t="n">
        <f aca="false">N38*INDEX(Assumptions!$C$22:$E$22,$B$3)*$H$3/(1+INDEX(Assumptions!$C$15:$E$15,$B$3)*$H$4)</f>
        <v>59310.1694915254</v>
      </c>
      <c r="O53" s="37" t="n">
        <f aca="false">SUM(C53:N53)</f>
        <v>451887.005649718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0</v>
      </c>
      <c r="L54" s="8" t="n">
        <f aca="false">L41*INDEX(Assumptions!$C$83:$E$83,$B$3)/(1+INDEX(Assumptions!$C$15:$E$15,$B$3)*$H$4)</f>
        <v>0</v>
      </c>
      <c r="M54" s="8" t="n">
        <f aca="false">M41*INDEX(Assumptions!$C$83:$E$83,$B$3)/(1+INDEX(Assumptions!$C$15:$E$15,$B$3)*$H$4)</f>
        <v>0</v>
      </c>
      <c r="N54" s="8" t="n">
        <f aca="false">N41*INDEX(Assumptions!$C$83:$E$83,$B$3)/(1+INDEX(Assumptions!$C$15:$E$15,$B$3)*$H$4)</f>
        <v>0</v>
      </c>
      <c r="O54" s="37" t="n">
        <f aca="false">SUM(C54:N54)</f>
        <v>0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1008.37372881356</v>
      </c>
      <c r="F55" s="8" t="n">
        <f aca="false">F42*INDEX(Assumptions!$C$23:$E$23,$B$3)/(1+INDEX(Assumptions!$C$15:$E$15,$B$3)*$H$4)</f>
        <v>2016.74745762712</v>
      </c>
      <c r="G55" s="8" t="n">
        <f aca="false">G42*INDEX(Assumptions!$C$23:$E$23,$B$3)/(1+INDEX(Assumptions!$C$15:$E$15,$B$3)*$H$4)</f>
        <v>3025.12118644068</v>
      </c>
      <c r="H55" s="8" t="n">
        <f aca="false">H42*INDEX(Assumptions!$C$23:$E$23,$B$3)/(1+INDEX(Assumptions!$C$15:$E$15,$B$3)*$H$4)</f>
        <v>4033.49491525424</v>
      </c>
      <c r="I55" s="8" t="n">
        <f aca="false">I42*INDEX(Assumptions!$C$23:$E$23,$B$3)/(1+INDEX(Assumptions!$C$15:$E$15,$B$3)*$H$4)</f>
        <v>5041.8686440678</v>
      </c>
      <c r="J55" s="8" t="n">
        <f aca="false">J42*INDEX(Assumptions!$C$23:$E$23,$B$3)/(1+INDEX(Assumptions!$C$15:$E$15,$B$3)*$H$4)</f>
        <v>6050.24237288136</v>
      </c>
      <c r="K55" s="8" t="n">
        <f aca="false">K42*INDEX(Assumptions!$C$23:$E$23,$B$3)/(1+INDEX(Assumptions!$C$15:$E$15,$B$3)*$H$4)</f>
        <v>6050.24237288136</v>
      </c>
      <c r="L55" s="8" t="n">
        <f aca="false">L42*INDEX(Assumptions!$C$23:$E$23,$B$3)/(1+INDEX(Assumptions!$C$15:$E$15,$B$3)*$H$4)</f>
        <v>6050.24237288136</v>
      </c>
      <c r="M55" s="8" t="n">
        <f aca="false">M42*INDEX(Assumptions!$C$23:$E$23,$B$3)/(1+INDEX(Assumptions!$C$15:$E$15,$B$3)*$H$4)</f>
        <v>6050.24237288136</v>
      </c>
      <c r="N55" s="8" t="n">
        <f aca="false">N42*INDEX(Assumptions!$C$23:$E$23,$B$3)/(1+INDEX(Assumptions!$C$15:$E$15,$B$3)*$H$4)</f>
        <v>6050.24237288136</v>
      </c>
      <c r="O55" s="37" t="n">
        <f aca="false">SUM(C55:N55)</f>
        <v>45376.8177966102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3594.24</v>
      </c>
      <c r="J56" s="8" t="n">
        <f aca="false">(J27+J28)*(1-J45)*INDEX(Assumptions!$C$90:$E$90,$B$3)</f>
        <v>3562.70916334661</v>
      </c>
      <c r="K56" s="8" t="n">
        <f aca="false">(K27+K28)*(1-K45)*INDEX(Assumptions!$C$90:$E$90,$B$3)</f>
        <v>2912.58928558766</v>
      </c>
      <c r="L56" s="8" t="n">
        <f aca="false">(L27+L28)*(1-L45)*INDEX(Assumptions!$C$90:$E$90,$B$3)</f>
        <v>3041.28</v>
      </c>
      <c r="M56" s="8" t="n">
        <f aca="false">(M27+M28)*(1-M45)*INDEX(Assumptions!$C$90:$E$90,$B$3)</f>
        <v>2903.04</v>
      </c>
      <c r="N56" s="8" t="n">
        <f aca="false">(N27+N28)*(1-N45)*INDEX(Assumptions!$C$90:$E$90,$B$3)</f>
        <v>2764.8</v>
      </c>
      <c r="O56" s="37" t="n">
        <f aca="false">SUM(C56:N56)</f>
        <v>18778.6584489343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63811.9101968222</v>
      </c>
      <c r="D57" s="37" t="n">
        <f aca="false">SUM(D47:D56)</f>
        <v>106439.323553129</v>
      </c>
      <c r="E57" s="37" t="n">
        <f aca="false">SUM(E47:E56)</f>
        <v>148153.748760572</v>
      </c>
      <c r="F57" s="37" t="n">
        <f aca="false">SUM(F47:F56)</f>
        <v>225518.449103062</v>
      </c>
      <c r="G57" s="37" t="n">
        <f aca="false">SUM(G47:G56)</f>
        <v>265086.772075238</v>
      </c>
      <c r="H57" s="37" t="n">
        <f aca="false">SUM(H47:H56)</f>
        <v>307852.336887461</v>
      </c>
      <c r="I57" s="37" t="n">
        <f aca="false">SUM(I47:I56)</f>
        <v>471604.438201736</v>
      </c>
      <c r="J57" s="37" t="n">
        <f aca="false">SUM(J47:J56)</f>
        <v>485621.127243638</v>
      </c>
      <c r="K57" s="37" t="n">
        <f aca="false">SUM(K47:K56)</f>
        <v>420420.296898511</v>
      </c>
      <c r="L57" s="37" t="n">
        <f aca="false">SUM(L47:L56)</f>
        <v>439984.51128175</v>
      </c>
      <c r="M57" s="37" t="n">
        <f aca="false">SUM(M47:M56)</f>
        <v>440287.596793971</v>
      </c>
      <c r="N57" s="37" t="n">
        <f aca="false">SUM(N47:N56)</f>
        <v>438700.865631062</v>
      </c>
      <c r="O57" s="31" t="n">
        <f aca="false">SUM(C57:N57)</f>
        <v>3813481.37662695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43343.446779661</v>
      </c>
      <c r="D58" s="8" t="n">
        <f aca="false">D47+D48+D49+D50</f>
        <v>71429.2557966102</v>
      </c>
      <c r="E58" s="8" t="n">
        <f aca="false">E47+E48+E49+E50</f>
        <v>80653.6323728814</v>
      </c>
      <c r="F58" s="8" t="n">
        <f aca="false">F47+F48+F49+F50</f>
        <v>137457.435050847</v>
      </c>
      <c r="G58" s="8" t="n">
        <f aca="false">G47+G48+G49+G50</f>
        <v>177946.169491525</v>
      </c>
      <c r="H58" s="8" t="n">
        <f aca="false">H47+H48+H49+H50</f>
        <v>209060</v>
      </c>
      <c r="I58" s="8" t="n">
        <f aca="false">I47+I48+I49+I50</f>
        <v>356851.86440678</v>
      </c>
      <c r="J58" s="8" t="n">
        <f aca="false">J47+J48+J49+J50</f>
        <v>359551.083800392</v>
      </c>
      <c r="K58" s="8" t="n">
        <f aca="false">K47+K48+K49+K50</f>
        <v>295340.94887918</v>
      </c>
      <c r="L58" s="8" t="n">
        <f aca="false">L47+L48+L49+L50</f>
        <v>306814.454511311</v>
      </c>
      <c r="M58" s="8" t="n">
        <f aca="false">M47+M48+M49+M50</f>
        <v>294716.745762712</v>
      </c>
      <c r="N58" s="8" t="n">
        <f aca="false">N47+N48+N49+N50</f>
        <v>280729.220338983</v>
      </c>
      <c r="O58" s="37" t="n">
        <f aca="false">SUM(C58:N58)</f>
        <v>2613894.25719088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3543.552</v>
      </c>
      <c r="D60" s="8" t="n">
        <f aca="false">((D27+D30)*INDEX(Assumptions!$C$91:$E$91,$B$3)+D28*INDEX(Assumptions!$C$93:$E$93,$B$3))*$N$3</f>
        <v>6383.9304</v>
      </c>
      <c r="E60" s="8" t="n">
        <f aca="false">((E27+E30)*INDEX(Assumptions!$C$91:$E$91,$B$3)+E28*INDEX(Assumptions!$C$93:$E$93,$B$3))*$N$3</f>
        <v>7465.452</v>
      </c>
      <c r="F60" s="8" t="n">
        <f aca="false">((F27+F30)*INDEX(Assumptions!$C$91:$E$91,$B$3)+F28*INDEX(Assumptions!$C$93:$E$93,$B$3))*$N$3</f>
        <v>12210.0816</v>
      </c>
      <c r="G60" s="8" t="n">
        <f aca="false">((G27+G30)*INDEX(Assumptions!$C$91:$E$91,$B$3)+G28*INDEX(Assumptions!$C$93:$E$93,$B$3))*$N$3</f>
        <v>16228.8</v>
      </c>
      <c r="H60" s="8" t="n">
        <f aca="false">((H27+H30)*INDEX(Assumptions!$C$91:$E$91,$B$3)+H28*INDEX(Assumptions!$C$93:$E$93,$B$3))*$N$3</f>
        <v>19248</v>
      </c>
      <c r="I60" s="8" t="n">
        <f aca="false">((I27+I30)*INDEX(Assumptions!$C$91:$E$91,$B$3)+I28*INDEX(Assumptions!$C$93:$E$93,$B$3))*$N$3</f>
        <v>25752</v>
      </c>
      <c r="J60" s="8" t="n">
        <f aca="false">((J27+J30)*INDEX(Assumptions!$C$91:$E$91,$B$3)+J28*INDEX(Assumptions!$C$93:$E$93,$B$3))*$N$3</f>
        <v>26555.3784860558</v>
      </c>
      <c r="K60" s="8" t="n">
        <f aca="false">((K27+K30)*INDEX(Assumptions!$C$91:$E$91,$B$3)+K28*INDEX(Assumptions!$C$93:$E$93,$B$3))*$N$3</f>
        <v>21956.8328239956</v>
      </c>
      <c r="L60" s="8" t="n">
        <f aca="false">((L27+L30)*INDEX(Assumptions!$C$91:$E$91,$B$3)+L28*INDEX(Assumptions!$C$93:$E$93,$B$3))*$N$3</f>
        <v>22648.7366069846</v>
      </c>
      <c r="M60" s="8" t="n">
        <f aca="false">((M27+M30)*INDEX(Assumptions!$C$91:$E$91,$B$3)+M28*INDEX(Assumptions!$C$93:$E$93,$B$3))*$N$3</f>
        <v>21945.6</v>
      </c>
      <c r="N60" s="8" t="n">
        <f aca="false">((N27+N30)*INDEX(Assumptions!$C$91:$E$91,$B$3)+N28*INDEX(Assumptions!$C$93:$E$93,$B$3))*$N$3</f>
        <v>20908.8</v>
      </c>
      <c r="O60" s="37" t="n">
        <f aca="false">SUM(C60:N60)</f>
        <v>204847.163917036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7087.104</v>
      </c>
      <c r="D61" s="8" t="n">
        <f aca="false">(D27+D28)*D45*INDEX(Assumptions!$C$14:$E$14,$B$3)*$N$3</f>
        <v>11350.44</v>
      </c>
      <c r="E61" s="8" t="n">
        <f aca="false">(E27+E28)*E45*INDEX(Assumptions!$C$14:$E$14,$B$3)*$N$3</f>
        <v>12660.816</v>
      </c>
      <c r="F61" s="8" t="n">
        <f aca="false">(F27+F28)*F45*INDEX(Assumptions!$C$14:$E$14,$B$3)*$N$3</f>
        <v>21888</v>
      </c>
      <c r="G61" s="8" t="n">
        <f aca="false">(G27+G28)*G45*INDEX(Assumptions!$C$14:$E$14,$B$3)*$N$3</f>
        <v>28080</v>
      </c>
      <c r="H61" s="8" t="n">
        <f aca="false">(H27+H28)*H45*INDEX(Assumptions!$C$14:$E$14,$B$3)*$N$3</f>
        <v>32880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113946.36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787.456</v>
      </c>
      <c r="D62" s="8" t="n">
        <f aca="false">D29*INDEX(Assumptions!$C$92:$E$92,$B$3)*$N$3</f>
        <v>1261.16</v>
      </c>
      <c r="E62" s="8" t="n">
        <f aca="false">E29*INDEX(Assumptions!$C$92:$E$92,$B$3)*$N$3</f>
        <v>1406.75733333333</v>
      </c>
      <c r="F62" s="8" t="n">
        <f aca="false">F29*INDEX(Assumptions!$C$92:$E$92,$B$3)*$N$3</f>
        <v>2432</v>
      </c>
      <c r="G62" s="8" t="n">
        <f aca="false">G29*INDEX(Assumptions!$C$92:$E$92,$B$3)*$N$3</f>
        <v>3120</v>
      </c>
      <c r="H62" s="8" t="n">
        <f aca="false">H29*INDEX(Assumptions!$C$92:$E$92,$B$3)*$N$3</f>
        <v>3653.33333333333</v>
      </c>
      <c r="I62" s="8" t="n">
        <f aca="false">I29*INDEX(Assumptions!$C$92:$E$92,$B$3)*$N$3</f>
        <v>4992</v>
      </c>
      <c r="J62" s="8" t="n">
        <f aca="false">J29*INDEX(Assumptions!$C$92:$E$92,$B$3)*$N$3</f>
        <v>4948.20717131474</v>
      </c>
      <c r="K62" s="8" t="n">
        <f aca="false">K29*INDEX(Assumptions!$C$92:$E$92,$B$3)*$N$3</f>
        <v>4045.26289664953</v>
      </c>
      <c r="L62" s="8" t="n">
        <f aca="false">L29*INDEX(Assumptions!$C$92:$E$92,$B$3)*$N$3</f>
        <v>4224</v>
      </c>
      <c r="M62" s="8" t="n">
        <f aca="false">M29*INDEX(Assumptions!$C$92:$E$92,$B$3)*$N$3</f>
        <v>4032</v>
      </c>
      <c r="N62" s="8" t="n">
        <f aca="false">N29*INDEX(Assumptions!$C$92:$E$92,$B$3)*$N$3</f>
        <v>3840</v>
      </c>
      <c r="O62" s="37" t="n">
        <f aca="false">SUM(C62:N62)</f>
        <v>38742.1767346309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2097.51094434021</v>
      </c>
      <c r="D63" s="8" t="n">
        <f aca="false">(D37*INDEX(Assumptions!$C$94:$E$94,$B$3)+D38*INDEX(Assumptions!$C$95:$E$95,$B$3)+D39*INDEX(Assumptions!$C$96:$E$96,$B$3))*$N$3</f>
        <v>3569.71153846154</v>
      </c>
      <c r="E63" s="8" t="n">
        <f aca="false">(E37*INDEX(Assumptions!$C$94:$E$94,$B$3)+E38*INDEX(Assumptions!$C$95:$E$95,$B$3)+E39*INDEX(Assumptions!$C$96:$E$96,$B$3))*$N$3</f>
        <v>6912.39368355222</v>
      </c>
      <c r="F63" s="8" t="n">
        <f aca="false">(F37*INDEX(Assumptions!$C$94:$E$94,$B$3)+F38*INDEX(Assumptions!$C$95:$E$95,$B$3)+F39*INDEX(Assumptions!$C$96:$E$96,$B$3))*$N$3</f>
        <v>9312.94559099437</v>
      </c>
      <c r="G63" s="8" t="n">
        <f aca="false">(G37*INDEX(Assumptions!$C$94:$E$94,$B$3)+G38*INDEX(Assumptions!$C$95:$E$95,$B$3)+G39*INDEX(Assumptions!$C$96:$E$96,$B$3))*$N$3</f>
        <v>9614.63414634146</v>
      </c>
      <c r="H63" s="8" t="n">
        <f aca="false">(H37*INDEX(Assumptions!$C$94:$E$94,$B$3)+H38*INDEX(Assumptions!$C$95:$E$95,$B$3)+H39*INDEX(Assumptions!$C$96:$E$96,$B$3))*$N$3</f>
        <v>11070.9818636648</v>
      </c>
      <c r="I63" s="8" t="n">
        <f aca="false">(I37*INDEX(Assumptions!$C$94:$E$94,$B$3)+I38*INDEX(Assumptions!$C$95:$E$95,$B$3)+I39*INDEX(Assumptions!$C$96:$E$96,$B$3))*$N$3</f>
        <v>12763.4146341463</v>
      </c>
      <c r="J63" s="8" t="n">
        <f aca="false">(J37*INDEX(Assumptions!$C$94:$E$94,$B$3)+J38*INDEX(Assumptions!$C$95:$E$95,$B$3)+J39*INDEX(Assumptions!$C$96:$E$96,$B$3))*$N$3</f>
        <v>14119.6998123827</v>
      </c>
      <c r="K63" s="8" t="n">
        <f aca="false">(K37*INDEX(Assumptions!$C$94:$E$94,$B$3)+K38*INDEX(Assumptions!$C$95:$E$95,$B$3)+K39*INDEX(Assumptions!$C$96:$E$96,$B$3))*$N$3</f>
        <v>14007.1294559099</v>
      </c>
      <c r="L63" s="8" t="n">
        <f aca="false">(L37*INDEX(Assumptions!$C$94:$E$94,$B$3)+L38*INDEX(Assumptions!$C$95:$E$95,$B$3)+L39*INDEX(Assumptions!$C$96:$E$96,$B$3))*$N$3</f>
        <v>14638.2739212008</v>
      </c>
      <c r="M63" s="8" t="n">
        <f aca="false">(M37*INDEX(Assumptions!$C$94:$E$94,$B$3)+M38*INDEX(Assumptions!$C$95:$E$95,$B$3)+M39*INDEX(Assumptions!$C$96:$E$96,$B$3))*$N$3</f>
        <v>15781.9887429644</v>
      </c>
      <c r="N63" s="8" t="n">
        <f aca="false">(N37*INDEX(Assumptions!$C$94:$E$94,$B$3)+N38*INDEX(Assumptions!$C$95:$E$95,$B$3)+N39*INDEX(Assumptions!$C$96:$E$96,$B$3))*$N$3</f>
        <v>16925.703564728</v>
      </c>
      <c r="O63" s="37" t="n">
        <f aca="false">SUM(C63:N63)</f>
        <v>130814.387898687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0</v>
      </c>
      <c r="L64" s="8" t="n">
        <f aca="false">L40*INDEX(Assumptions!$C$84:$E$84,$B$3)</f>
        <v>0</v>
      </c>
      <c r="M64" s="8" t="n">
        <f aca="false">M40*INDEX(Assumptions!$C$84:$E$84,$B$3)</f>
        <v>0</v>
      </c>
      <c r="N64" s="8" t="n">
        <f aca="false">N40*INDEX(Assumptions!$C$84:$E$84,$B$3)</f>
        <v>0</v>
      </c>
      <c r="O64" s="37" t="n">
        <f aca="false">SUM(C64:N64)</f>
        <v>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238</v>
      </c>
      <c r="F65" s="8" t="n">
        <f aca="false">F42*INDEX(Assumptions!$C$97:$E$97,$B$3)</f>
        <v>476</v>
      </c>
      <c r="G65" s="8" t="n">
        <f aca="false">G42*INDEX(Assumptions!$C$97:$E$97,$B$3)</f>
        <v>714</v>
      </c>
      <c r="H65" s="8" t="n">
        <f aca="false">H42*INDEX(Assumptions!$C$97:$E$97,$B$3)</f>
        <v>952</v>
      </c>
      <c r="I65" s="8" t="n">
        <f aca="false">I42*INDEX(Assumptions!$C$97:$E$97,$B$3)</f>
        <v>1190</v>
      </c>
      <c r="J65" s="8" t="n">
        <f aca="false">J42*INDEX(Assumptions!$C$97:$E$97,$B$3)</f>
        <v>1428</v>
      </c>
      <c r="K65" s="8" t="n">
        <f aca="false">K42*INDEX(Assumptions!$C$97:$E$97,$B$3)</f>
        <v>1428</v>
      </c>
      <c r="L65" s="8" t="n">
        <f aca="false">L42*INDEX(Assumptions!$C$97:$E$97,$B$3)</f>
        <v>1428</v>
      </c>
      <c r="M65" s="8" t="n">
        <f aca="false">M42*INDEX(Assumptions!$C$97:$E$97,$B$3)</f>
        <v>1428</v>
      </c>
      <c r="N65" s="8" t="n">
        <f aca="false">N42*INDEX(Assumptions!$C$97:$E$97,$B$3)</f>
        <v>1428</v>
      </c>
      <c r="O65" s="37" t="n">
        <f aca="false">SUM(C65:N65)</f>
        <v>10710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2126.082680645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3546.67968305385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4670.79182524949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7311.65943263227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8841.36622097561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10306.9341505441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16756.023741561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17157.8456547427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14608.4071923672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15244.6489519079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15069.0160843377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14809.7588288931</v>
      </c>
      <c r="O66" s="37" t="n">
        <f aca="false">SUM(C66:N66)</f>
        <v>130449.21444691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590.592</v>
      </c>
      <c r="D67" s="8" t="n">
        <f aca="false">D31*INDEX(Assumptions!$C$198:$E$198,$B$3)*INDEX(Assumptions!$C$69:$E$69,$B$3)</f>
        <v>945.87</v>
      </c>
      <c r="E67" s="8" t="n">
        <f aca="false">E31*INDEX(Assumptions!$C$198:$E$198,$B$3)*INDEX(Assumptions!$C$69:$E$69,$B$3)</f>
        <v>1055.068</v>
      </c>
      <c r="F67" s="8" t="n">
        <f aca="false">F31*INDEX(Assumptions!$C$198:$E$198,$B$3)*INDEX(Assumptions!$C$69:$E$69,$B$3)</f>
        <v>1824</v>
      </c>
      <c r="G67" s="8" t="n">
        <f aca="false">G31*INDEX(Assumptions!$C$198:$E$198,$B$3)*INDEX(Assumptions!$C$69:$E$69,$B$3)</f>
        <v>2340</v>
      </c>
      <c r="H67" s="8" t="n">
        <f aca="false">H31*INDEX(Assumptions!$C$198:$E$198,$B$3)*INDEX(Assumptions!$C$69:$E$69,$B$3)</f>
        <v>2740</v>
      </c>
      <c r="I67" s="8" t="n">
        <f aca="false">I31*INDEX(Assumptions!$C$198:$E$198,$B$3)*INDEX(Assumptions!$C$69:$E$69,$B$3)</f>
        <v>3744</v>
      </c>
      <c r="J67" s="8" t="n">
        <f aca="false">J31*INDEX(Assumptions!$C$198:$E$198,$B$3)*INDEX(Assumptions!$C$69:$E$69,$B$3)</f>
        <v>3711.15537848606</v>
      </c>
      <c r="K67" s="8" t="n">
        <f aca="false">K31*INDEX(Assumptions!$C$198:$E$198,$B$3)*INDEX(Assumptions!$C$69:$E$69,$B$3)</f>
        <v>3033.94717248715</v>
      </c>
      <c r="L67" s="8" t="n">
        <f aca="false">L31*INDEX(Assumptions!$C$198:$E$198,$B$3)*INDEX(Assumptions!$C$69:$E$69,$B$3)</f>
        <v>3168</v>
      </c>
      <c r="M67" s="8" t="n">
        <f aca="false">M31*INDEX(Assumptions!$C$198:$E$198,$B$3)*INDEX(Assumptions!$C$69:$E$69,$B$3)</f>
        <v>3024</v>
      </c>
      <c r="N67" s="8" t="n">
        <f aca="false">N31*INDEX(Assumptions!$C$198:$E$198,$B$3)*INDEX(Assumptions!$C$69:$E$69,$B$3)</f>
        <v>2880</v>
      </c>
      <c r="O67" s="37" t="n">
        <f aca="false">SUM(C67:N67)</f>
        <v>29056.6325509732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16232.2976249852</v>
      </c>
      <c r="D68" s="37" t="n">
        <f aca="false">SUM(D60:D67)</f>
        <v>27057.7916215154</v>
      </c>
      <c r="E68" s="37" t="n">
        <f aca="false">SUM(E60:E67)</f>
        <v>34409.278842135</v>
      </c>
      <c r="F68" s="37" t="n">
        <f aca="false">SUM(F60:F67)</f>
        <v>55454.6866236267</v>
      </c>
      <c r="G68" s="37" t="n">
        <f aca="false">SUM(G60:G67)</f>
        <v>68938.8003673171</v>
      </c>
      <c r="H68" s="37" t="n">
        <f aca="false">SUM(H60:H67)</f>
        <v>80851.2493475422</v>
      </c>
      <c r="I68" s="37" t="n">
        <f aca="false">SUM(I60:I67)</f>
        <v>65197.4383757073</v>
      </c>
      <c r="J68" s="37" t="n">
        <f aca="false">SUM(J60:J67)</f>
        <v>67920.286502982</v>
      </c>
      <c r="K68" s="37" t="n">
        <f aca="false">SUM(K60:K67)</f>
        <v>59079.5795414094</v>
      </c>
      <c r="L68" s="37" t="n">
        <f aca="false">SUM(L60:L67)</f>
        <v>61351.6594800932</v>
      </c>
      <c r="M68" s="37" t="n">
        <f aca="false">SUM(M60:M67)</f>
        <v>61280.6048273021</v>
      </c>
      <c r="N68" s="37" t="n">
        <f aca="false">SUM(N60:N67)</f>
        <v>60792.262393621</v>
      </c>
      <c r="O68" s="31" t="n">
        <f aca="false">SUM(C68:N68)</f>
        <v>658565.935548237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47579.612571837</v>
      </c>
      <c r="D69" s="37" t="n">
        <f aca="false">D57-D68</f>
        <v>79381.5319316137</v>
      </c>
      <c r="E69" s="37" t="n">
        <f aca="false">E57-E68</f>
        <v>113744.469918437</v>
      </c>
      <c r="F69" s="37" t="n">
        <f aca="false">F57-F68</f>
        <v>170063.762479436</v>
      </c>
      <c r="G69" s="37" t="n">
        <f aca="false">G57-G68</f>
        <v>196147.971707921</v>
      </c>
      <c r="H69" s="37" t="n">
        <f aca="false">H57-H68</f>
        <v>227001.087539919</v>
      </c>
      <c r="I69" s="37" t="n">
        <f aca="false">I57-I68</f>
        <v>406406.999826029</v>
      </c>
      <c r="J69" s="37" t="n">
        <f aca="false">J57-J68</f>
        <v>417700.840740656</v>
      </c>
      <c r="K69" s="37" t="n">
        <f aca="false">K57-K68</f>
        <v>361340.717357101</v>
      </c>
      <c r="L69" s="37" t="n">
        <f aca="false">L57-L68</f>
        <v>378632.851801657</v>
      </c>
      <c r="M69" s="37" t="n">
        <f aca="false">M57-M68</f>
        <v>379006.991966669</v>
      </c>
      <c r="N69" s="37" t="n">
        <f aca="false">N57-N68</f>
        <v>377908.603237441</v>
      </c>
      <c r="O69" s="31" t="n">
        <f aca="false">SUM(C69:N69)</f>
        <v>3154915.44107872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0.745622759530029</v>
      </c>
      <c r="D70" s="7" t="n">
        <f aca="false">IFERROR(D69/D57,0)</f>
        <v>0.745791398157378</v>
      </c>
      <c r="E70" s="7" t="n">
        <f aca="false">IFERROR(E69/E57,0)</f>
        <v>0.7677461479713</v>
      </c>
      <c r="F70" s="7" t="n">
        <f aca="false">IFERROR(F69/F57,0)</f>
        <v>0.754101330316068</v>
      </c>
      <c r="G70" s="7" t="n">
        <f aca="false">IFERROR(G69/G57,0)</f>
        <v>0.739938738445423</v>
      </c>
      <c r="H70" s="7" t="n">
        <f aca="false">IFERROR(H69/H57,0)</f>
        <v>0.737370032123231</v>
      </c>
      <c r="I70" s="7" t="n">
        <f aca="false">IFERROR(I69/I57,0)</f>
        <v>0.86175397622569</v>
      </c>
      <c r="J70" s="7" t="n">
        <f aca="false">IFERROR(J69/J57,0)</f>
        <v>0.860137290796028</v>
      </c>
      <c r="K70" s="7" t="n">
        <f aca="false">IFERROR(K69/K57,0)</f>
        <v>0.859474958803735</v>
      </c>
      <c r="L70" s="7" t="n">
        <f aca="false">IFERROR(L69/L57,0)</f>
        <v>0.860559501739356</v>
      </c>
      <c r="M70" s="7" t="n">
        <f aca="false">IFERROR(M69/M57,0)</f>
        <v>0.860816872259116</v>
      </c>
      <c r="N70" s="7" t="n">
        <f aca="false">IFERROR(N69/N57,0)</f>
        <v>0.86142661855437</v>
      </c>
      <c r="O70" s="13" t="n">
        <f aca="false">IFERROR(O69/O57,0)</f>
        <v>0.827305847201818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1</v>
      </c>
      <c r="H72" s="8" t="n">
        <f aca="false">ROUNDUP(H33/(INDEX(Assumptions!$C$102:$E$102,$B$3)*$J$3),0)</f>
        <v>1</v>
      </c>
      <c r="I72" s="8" t="n">
        <f aca="false">ROUNDUP(I33/(INDEX(Assumptions!$C$102:$E$102,$B$3)*$J$3),0)</f>
        <v>2</v>
      </c>
      <c r="J72" s="8" t="n">
        <f aca="false">ROUNDUP(J33/(INDEX(Assumptions!$C$102:$E$102,$B$3)*$J$3),0)</f>
        <v>2</v>
      </c>
      <c r="K72" s="8" t="n">
        <f aca="false">ROUNDUP(K33/(INDEX(Assumptions!$C$102:$E$102,$B$3)*$J$3),0)</f>
        <v>2</v>
      </c>
      <c r="L72" s="8" t="n">
        <f aca="false">ROUNDUP(L33/(INDEX(Assumptions!$C$102:$E$102,$B$3)*$J$3),0)</f>
        <v>2</v>
      </c>
      <c r="M72" s="8" t="n">
        <f aca="false">ROUNDUP(M33/(INDEX(Assumptions!$C$102:$E$102,$B$3)*$J$3),0)</f>
        <v>2</v>
      </c>
      <c r="N72" s="8" t="n">
        <f aca="false">ROUNDUP(N33/(INDEX(Assumptions!$C$102:$E$102,$B$3)*$J$3),0)</f>
        <v>2</v>
      </c>
      <c r="O72" s="37" t="n">
        <f aca="false">MAX(C72:N72)</f>
        <v>2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0.0666666666666667</v>
      </c>
      <c r="D73" s="6" t="n">
        <f aca="false">D72*(1-D11)</f>
        <v>0.133333333333333</v>
      </c>
      <c r="E73" s="6" t="n">
        <f aca="false">E72*(1-E11)</f>
        <v>0.2</v>
      </c>
      <c r="F73" s="6" t="n">
        <f aca="false">F72*(1-F11)</f>
        <v>0.266666666666667</v>
      </c>
      <c r="G73" s="6" t="n">
        <f aca="false">G72*(1-G11)</f>
        <v>0.333333333333333</v>
      </c>
      <c r="H73" s="6" t="n">
        <f aca="false">H72*(1-H11)</f>
        <v>0.4</v>
      </c>
      <c r="I73" s="6" t="n">
        <f aca="false">I72*(1-I11)</f>
        <v>0.866666666666667</v>
      </c>
      <c r="J73" s="6" t="n">
        <f aca="false">J72*(1-J11)</f>
        <v>0.933333333333333</v>
      </c>
      <c r="K73" s="6" t="n">
        <f aca="false">K72*(1-K11)</f>
        <v>1</v>
      </c>
      <c r="L73" s="6" t="n">
        <f aca="false">L72*(1-L11)</f>
        <v>1.06666666666667</v>
      </c>
      <c r="M73" s="6" t="n">
        <f aca="false">M72*(1-M11)</f>
        <v>1.13333333333333</v>
      </c>
      <c r="N73" s="6" t="n">
        <f aca="false">N72*(1-N11)</f>
        <v>1.2</v>
      </c>
      <c r="O73" s="39" t="n">
        <f aca="false">MAX(C73:N73)</f>
        <v>1.2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0</v>
      </c>
      <c r="E74" s="6" t="n">
        <f aca="false">IF(3&gt;=INDEX(Assumptions!$C$161:$E$161,$D$3),INDEX(Assumptions!$C$162:$E$162,$D$3),0)</f>
        <v>0.5</v>
      </c>
      <c r="F74" s="6" t="n">
        <f aca="false">IF(4&gt;=INDEX(Assumptions!$C$161:$E$161,$D$3),INDEX(Assumptions!$C$162:$E$162,$D$3),0)</f>
        <v>0.5</v>
      </c>
      <c r="G74" s="6" t="n">
        <f aca="false">IF(5&gt;=INDEX(Assumptions!$C$161:$E$161,$D$3),INDEX(Assumptions!$C$162:$E$162,$D$3),0)</f>
        <v>0.5</v>
      </c>
      <c r="H74" s="6" t="n">
        <f aca="false">IF(6&gt;=INDEX(Assumptions!$C$161:$E$161,$D$3),INDEX(Assumptions!$C$162:$E$162,$D$3),0)</f>
        <v>0.5</v>
      </c>
      <c r="I74" s="6" t="n">
        <f aca="false">IF(7&gt;=INDEX(Assumptions!$C$161:$E$161,$D$3),INDEX(Assumptions!$C$162:$E$162,$D$3),0)</f>
        <v>0.5</v>
      </c>
      <c r="J74" s="6" t="n">
        <f aca="false">IF(8&gt;=INDEX(Assumptions!$C$161:$E$161,$D$3),INDEX(Assumptions!$C$162:$E$162,$D$3),0)</f>
        <v>0.5</v>
      </c>
      <c r="K74" s="6" t="n">
        <f aca="false">IF(9&gt;=INDEX(Assumptions!$C$161:$E$161,$D$3),INDEX(Assumptions!$C$162:$E$162,$D$3),0)</f>
        <v>0.5</v>
      </c>
      <c r="L74" s="6" t="n">
        <f aca="false">IF(10&gt;=INDEX(Assumptions!$C$161:$E$161,$D$3),INDEX(Assumptions!$C$162:$E$162,$D$3),0)</f>
        <v>0.5</v>
      </c>
      <c r="M74" s="6" t="n">
        <f aca="false">IF(11&gt;=INDEX(Assumptions!$C$161:$E$161,$D$3),INDEX(Assumptions!$C$162:$E$162,$D$3),0)</f>
        <v>0.5</v>
      </c>
      <c r="N74" s="6" t="n">
        <f aca="false">IF(12&gt;=INDEX(Assumptions!$C$161:$E$161,$D$3),INDEX(Assumptions!$C$162:$E$162,$D$3),0)</f>
        <v>0.5</v>
      </c>
      <c r="O74" s="39" t="n">
        <f aca="false">N74</f>
        <v>0.5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1</v>
      </c>
      <c r="J76" s="8" t="n">
        <f aca="false">ROUNDUP(J72/2,0)</f>
        <v>1</v>
      </c>
      <c r="K76" s="8" t="n">
        <f aca="false">ROUNDUP(K72/2,0)</f>
        <v>1</v>
      </c>
      <c r="L76" s="8" t="n">
        <f aca="false">ROUNDUP(L72/2,0)</f>
        <v>1</v>
      </c>
      <c r="M76" s="8" t="n">
        <f aca="false">ROUNDUP(M72/2,0)</f>
        <v>1</v>
      </c>
      <c r="N76" s="8" t="n">
        <f aca="false">ROUNDUP(N72/2,0)</f>
        <v>1</v>
      </c>
      <c r="O76" s="37" t="n">
        <f aca="false">MAX(C76:N76)</f>
        <v>1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18000</v>
      </c>
      <c r="E77" s="8" t="n">
        <f aca="false">E74*INDEX(Assumptions!$C$98:$E$98,$B$3)+E75*INDEX(Assumptions!$C$99:$E$99,$B$3)+E76*INDEX(Assumptions!$C$100:$E$100,$B$3)</f>
        <v>48000</v>
      </c>
      <c r="F77" s="8" t="n">
        <f aca="false">F74*INDEX(Assumptions!$C$98:$E$98,$B$3)+F75*INDEX(Assumptions!$C$99:$E$99,$B$3)+F76*INDEX(Assumptions!$C$100:$E$100,$B$3)</f>
        <v>48000</v>
      </c>
      <c r="G77" s="8" t="n">
        <f aca="false">G74*INDEX(Assumptions!$C$98:$E$98,$B$3)+G75*INDEX(Assumptions!$C$99:$E$99,$B$3)+G76*INDEX(Assumptions!$C$100:$E$100,$B$3)</f>
        <v>48000</v>
      </c>
      <c r="H77" s="8" t="n">
        <f aca="false">H74*INDEX(Assumptions!$C$98:$E$98,$B$3)+H75*INDEX(Assumptions!$C$99:$E$99,$B$3)+H76*INDEX(Assumptions!$C$100:$E$100,$B$3)</f>
        <v>48000</v>
      </c>
      <c r="I77" s="8" t="n">
        <f aca="false">I74*INDEX(Assumptions!$C$98:$E$98,$B$3)+I75*INDEX(Assumptions!$C$99:$E$99,$B$3)+I76*INDEX(Assumptions!$C$100:$E$100,$B$3)</f>
        <v>48000</v>
      </c>
      <c r="J77" s="8" t="n">
        <f aca="false">J74*INDEX(Assumptions!$C$98:$E$98,$B$3)+J75*INDEX(Assumptions!$C$99:$E$99,$B$3)+J76*INDEX(Assumptions!$C$100:$E$100,$B$3)</f>
        <v>48000</v>
      </c>
      <c r="K77" s="8" t="n">
        <f aca="false">K74*INDEX(Assumptions!$C$98:$E$98,$B$3)+K75*INDEX(Assumptions!$C$99:$E$99,$B$3)+K76*INDEX(Assumptions!$C$100:$E$100,$B$3)</f>
        <v>48000</v>
      </c>
      <c r="L77" s="8" t="n">
        <f aca="false">L74*INDEX(Assumptions!$C$98:$E$98,$B$3)+L75*INDEX(Assumptions!$C$99:$E$99,$B$3)+L76*INDEX(Assumptions!$C$100:$E$100,$B$3)</f>
        <v>48000</v>
      </c>
      <c r="M77" s="8" t="n">
        <f aca="false">M74*INDEX(Assumptions!$C$98:$E$98,$B$3)+M75*INDEX(Assumptions!$C$99:$E$99,$B$3)+M76*INDEX(Assumptions!$C$100:$E$100,$B$3)</f>
        <v>48000</v>
      </c>
      <c r="N77" s="8" t="n">
        <f aca="false">N74*INDEX(Assumptions!$C$98:$E$98,$B$3)+N75*INDEX(Assumptions!$C$99:$E$99,$B$3)+N76*INDEX(Assumptions!$C$100:$E$100,$B$3)</f>
        <v>48000</v>
      </c>
      <c r="O77" s="37" t="n">
        <f aca="false">SUM(C77:N77)</f>
        <v>516000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0</v>
      </c>
      <c r="D78" s="8" t="n">
        <f aca="false">(IF(2&gt;=INDEX(Assumptions!$C$164:$E$164,$D$3),1,0)+IF(2&gt;=INDEX(Assumptions!$C$166:$E$166,$D$3),INDEX(Assumptions!$C$165:$E$165,$D$3),0))*INDEX(Assumptions!$C$108:$E$108,$D$3)</f>
        <v>0</v>
      </c>
      <c r="E78" s="8" t="n">
        <f aca="false">(IF(3&gt;=INDEX(Assumptions!$C$164:$E$164,$D$3),1,0)+IF(3&gt;=INDEX(Assumptions!$C$166:$E$166,$D$3),INDEX(Assumptions!$C$165:$E$165,$D$3),0))*INDEX(Assumptions!$C$108:$E$108,$D$3)</f>
        <v>20000</v>
      </c>
      <c r="F78" s="8" t="n">
        <f aca="false">(IF(4&gt;=INDEX(Assumptions!$C$164:$E$164,$D$3),1,0)+IF(4&gt;=INDEX(Assumptions!$C$166:$E$166,$D$3),INDEX(Assumptions!$C$165:$E$165,$D$3),0))*INDEX(Assumptions!$C$108:$E$108,$D$3)</f>
        <v>20000</v>
      </c>
      <c r="G78" s="8" t="n">
        <f aca="false">(IF(5&gt;=INDEX(Assumptions!$C$164:$E$164,$D$3),1,0)+IF(5&gt;=INDEX(Assumptions!$C$166:$E$166,$D$3),INDEX(Assumptions!$C$165:$E$165,$D$3),0))*INDEX(Assumptions!$C$108:$E$108,$D$3)</f>
        <v>20000</v>
      </c>
      <c r="H78" s="8" t="n">
        <f aca="false">(IF(6&gt;=INDEX(Assumptions!$C$164:$E$164,$D$3),1,0)+IF(6&gt;=INDEX(Assumptions!$C$166:$E$166,$D$3),INDEX(Assumptions!$C$165:$E$165,$D$3),0))*INDEX(Assumptions!$C$108:$E$108,$D$3)</f>
        <v>20000</v>
      </c>
      <c r="I78" s="8" t="n">
        <f aca="false">(IF(7&gt;=INDEX(Assumptions!$C$164:$E$164,$D$3),1,0)+IF(7&gt;=INDEX(Assumptions!$C$166:$E$166,$D$3),INDEX(Assumptions!$C$165:$E$165,$D$3),0))*INDEX(Assumptions!$C$108:$E$108,$D$3)</f>
        <v>20000</v>
      </c>
      <c r="J78" s="8" t="n">
        <f aca="false">(IF(8&gt;=INDEX(Assumptions!$C$164:$E$164,$D$3),1,0)+IF(8&gt;=INDEX(Assumptions!$C$166:$E$166,$D$3),INDEX(Assumptions!$C$165:$E$165,$D$3),0))*INDEX(Assumptions!$C$108:$E$108,$D$3)</f>
        <v>20000</v>
      </c>
      <c r="K78" s="8" t="n">
        <f aca="false">(IF(9&gt;=INDEX(Assumptions!$C$164:$E$164,$D$3),1,0)+IF(9&gt;=INDEX(Assumptions!$C$166:$E$166,$D$3),INDEX(Assumptions!$C$165:$E$165,$D$3),0))*INDEX(Assumptions!$C$108:$E$108,$D$3)</f>
        <v>20000</v>
      </c>
      <c r="L78" s="8" t="n">
        <f aca="false">(IF(10&gt;=INDEX(Assumptions!$C$164:$E$164,$D$3),1,0)+IF(10&gt;=INDEX(Assumptions!$C$166:$E$166,$D$3),INDEX(Assumptions!$C$165:$E$165,$D$3),0))*INDEX(Assumptions!$C$108:$E$108,$D$3)</f>
        <v>20000</v>
      </c>
      <c r="M78" s="8" t="n">
        <f aca="false">(IF(11&gt;=INDEX(Assumptions!$C$164:$E$164,$D$3),1,0)+IF(11&gt;=INDEX(Assumptions!$C$166:$E$166,$D$3),INDEX(Assumptions!$C$165:$E$165,$D$3),0))*INDEX(Assumptions!$C$108:$E$108,$D$3)</f>
        <v>20000</v>
      </c>
      <c r="N78" s="8" t="n">
        <f aca="false">(IF(12&gt;=INDEX(Assumptions!$C$164:$E$164,$D$3),1,0)+IF(12&gt;=INDEX(Assumptions!$C$166:$E$166,$D$3),INDEX(Assumptions!$C$165:$E$165,$D$3),0))*INDEX(Assumptions!$C$108:$E$108,$D$3)</f>
        <v>20000</v>
      </c>
      <c r="O78" s="37" t="n">
        <f aca="false">SUM(C78:N78)</f>
        <v>200000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12000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12000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12000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12000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12000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12000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12000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12000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12000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12000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12000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12000</v>
      </c>
      <c r="O79" s="37" t="n">
        <f aca="false">SUM(C79:N79)</f>
        <v>144000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0</v>
      </c>
      <c r="J80" s="8" t="n">
        <f aca="false">IF(8&gt;=INDEX(Assumptions!$C$173:$E$173,$D$3),INDEX(Assumptions!$C$185:$E$185,$D$3),0)</f>
        <v>0</v>
      </c>
      <c r="K80" s="8" t="n">
        <f aca="false">IF(9&gt;=INDEX(Assumptions!$C$173:$E$173,$D$3),INDEX(Assumptions!$C$185:$E$185,$D$3),0)</f>
        <v>0</v>
      </c>
      <c r="L80" s="8" t="n">
        <f aca="false">IF(10&gt;=INDEX(Assumptions!$C$173:$E$173,$D$3),INDEX(Assumptions!$C$185:$E$185,$D$3),0)</f>
        <v>0</v>
      </c>
      <c r="M80" s="8" t="n">
        <f aca="false">IF(11&gt;=INDEX(Assumptions!$C$173:$E$173,$D$3),INDEX(Assumptions!$C$185:$E$185,$D$3),0)</f>
        <v>0</v>
      </c>
      <c r="N80" s="8" t="n">
        <f aca="false">IF(12&gt;=INDEX(Assumptions!$C$173:$E$173,$D$3),INDEX(Assumptions!$C$185:$E$185,$D$3),0)</f>
        <v>0</v>
      </c>
      <c r="O80" s="37" t="n">
        <f aca="false">SUM(C80:N80)</f>
        <v>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30000</v>
      </c>
      <c r="D82" s="37" t="n">
        <f aca="false">SUM(D77:D81)</f>
        <v>30000</v>
      </c>
      <c r="E82" s="37" t="n">
        <f aca="false">SUM(E77:E81)</f>
        <v>80000</v>
      </c>
      <c r="F82" s="37" t="n">
        <f aca="false">SUM(F77:F81)</f>
        <v>80000</v>
      </c>
      <c r="G82" s="37" t="n">
        <f aca="false">SUM(G77:G81)</f>
        <v>80000</v>
      </c>
      <c r="H82" s="37" t="n">
        <f aca="false">SUM(H77:H81)</f>
        <v>80000</v>
      </c>
      <c r="I82" s="37" t="n">
        <f aca="false">SUM(I77:I81)</f>
        <v>80000</v>
      </c>
      <c r="J82" s="37" t="n">
        <f aca="false">SUM(J77:J81)</f>
        <v>80000</v>
      </c>
      <c r="K82" s="37" t="n">
        <f aca="false">SUM(K77:K81)</f>
        <v>80000</v>
      </c>
      <c r="L82" s="37" t="n">
        <f aca="false">SUM(L77:L81)</f>
        <v>80000</v>
      </c>
      <c r="M82" s="37" t="n">
        <f aca="false">SUM(M77:M81)</f>
        <v>80000</v>
      </c>
      <c r="N82" s="37" t="n">
        <f aca="false">SUM(N77:N81)</f>
        <v>80000</v>
      </c>
      <c r="O82" s="31" t="n">
        <f aca="false">SUM(C82:N82)</f>
        <v>860000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35000</v>
      </c>
      <c r="J84" s="8" t="n">
        <f aca="false">IF(8&gt;=INDEX(Assumptions!$C$173:$E$173,$D$3),INDEX(Assumptions!$C$174:$E$174,$D$3)*INDEX(Assumptions!$C$175:$E$175,$B$3),INDEX(Assumptions!$C$179:$E$179,$B$3))*$F$4</f>
        <v>35000</v>
      </c>
      <c r="K84" s="8" t="n">
        <f aca="false">IF(9&gt;=INDEX(Assumptions!$C$173:$E$173,$D$3),INDEX(Assumptions!$C$174:$E$174,$D$3)*INDEX(Assumptions!$C$175:$E$175,$B$3),INDEX(Assumptions!$C$179:$E$179,$B$3))*$F$4</f>
        <v>35000</v>
      </c>
      <c r="L84" s="8" t="n">
        <f aca="false">IF(10&gt;=INDEX(Assumptions!$C$173:$E$173,$D$3),INDEX(Assumptions!$C$174:$E$174,$D$3)*INDEX(Assumptions!$C$175:$E$175,$B$3),INDEX(Assumptions!$C$179:$E$179,$B$3))*$F$4</f>
        <v>35000</v>
      </c>
      <c r="M84" s="8" t="n">
        <f aca="false">IF(11&gt;=INDEX(Assumptions!$C$173:$E$173,$D$3),INDEX(Assumptions!$C$174:$E$174,$D$3)*INDEX(Assumptions!$C$175:$E$175,$B$3),INDEX(Assumptions!$C$179:$E$179,$B$3))*$F$4</f>
        <v>35000</v>
      </c>
      <c r="N84" s="8" t="n">
        <f aca="false">IF(12&gt;=INDEX(Assumptions!$C$173:$E$173,$D$3),INDEX(Assumptions!$C$174:$E$174,$D$3)*INDEX(Assumptions!$C$175:$E$175,$B$3),INDEX(Assumptions!$C$179:$E$179,$B$3))*$F$4</f>
        <v>35000</v>
      </c>
      <c r="O84" s="37" t="n">
        <f aca="false">SUM(C84:N84)</f>
        <v>420000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10000</v>
      </c>
      <c r="J85" s="8" t="n">
        <f aca="false">IF(8&gt;=INDEX(Assumptions!$C$173:$E$173,$D$3),INDEX(Assumptions!$C$174:$E$174,$D$3)*INDEX(Assumptions!$C$181:$E$181,$B$3),INDEX(Assumptions!$C$180:$E$180,$B$3))</f>
        <v>10000</v>
      </c>
      <c r="K85" s="8" t="n">
        <f aca="false">IF(9&gt;=INDEX(Assumptions!$C$173:$E$173,$D$3),INDEX(Assumptions!$C$174:$E$174,$D$3)*INDEX(Assumptions!$C$181:$E$181,$B$3),INDEX(Assumptions!$C$180:$E$180,$B$3))</f>
        <v>10000</v>
      </c>
      <c r="L85" s="8" t="n">
        <f aca="false">IF(10&gt;=INDEX(Assumptions!$C$173:$E$173,$D$3),INDEX(Assumptions!$C$174:$E$174,$D$3)*INDEX(Assumptions!$C$181:$E$181,$B$3),INDEX(Assumptions!$C$180:$E$180,$B$3))</f>
        <v>10000</v>
      </c>
      <c r="M85" s="8" t="n">
        <f aca="false">IF(11&gt;=INDEX(Assumptions!$C$173:$E$173,$D$3),INDEX(Assumptions!$C$174:$E$174,$D$3)*INDEX(Assumptions!$C$181:$E$181,$B$3),INDEX(Assumptions!$C$180:$E$180,$B$3))</f>
        <v>10000</v>
      </c>
      <c r="N85" s="8" t="n">
        <f aca="false">IF(12&gt;=INDEX(Assumptions!$C$173:$E$173,$D$3),INDEX(Assumptions!$C$174:$E$174,$D$3)*INDEX(Assumptions!$C$181:$E$181,$B$3),INDEX(Assumptions!$C$180:$E$180,$B$3))</f>
        <v>10000</v>
      </c>
      <c r="O85" s="37" t="n">
        <f aca="false">SUM(C85:N85)</f>
        <v>120000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8000</v>
      </c>
      <c r="D86" s="8" t="n">
        <f aca="false">INDEX(Assumptions!$C$107:$E$107,$D$3)+IF(2&gt;=INDEX(Assumptions!$C$189:$E$189,$D$3)-1,INDEX(Assumptions!$C$188:$E$188,$D$3),0)</f>
        <v>8000</v>
      </c>
      <c r="E86" s="8" t="n">
        <f aca="false">INDEX(Assumptions!$C$107:$E$107,$D$3)+IF(3&gt;=INDEX(Assumptions!$C$189:$E$189,$D$3)-1,INDEX(Assumptions!$C$188:$E$188,$D$3),0)</f>
        <v>8000</v>
      </c>
      <c r="F86" s="8" t="n">
        <f aca="false">INDEX(Assumptions!$C$107:$E$107,$D$3)+IF(4&gt;=INDEX(Assumptions!$C$189:$E$189,$D$3)-1,INDEX(Assumptions!$C$188:$E$188,$D$3),0)</f>
        <v>8000</v>
      </c>
      <c r="G86" s="8" t="n">
        <f aca="false">INDEX(Assumptions!$C$107:$E$107,$D$3)+IF(5&gt;=INDEX(Assumptions!$C$189:$E$189,$D$3)-1,INDEX(Assumptions!$C$188:$E$188,$D$3),0)</f>
        <v>8000</v>
      </c>
      <c r="H86" s="8" t="n">
        <f aca="false">INDEX(Assumptions!$C$107:$E$107,$D$3)+IF(6&gt;=INDEX(Assumptions!$C$189:$E$189,$D$3)-1,INDEX(Assumptions!$C$188:$E$188,$D$3),0)</f>
        <v>8000</v>
      </c>
      <c r="I86" s="8" t="n">
        <f aca="false">INDEX(Assumptions!$C$107:$E$107,$D$3)+IF(7&gt;=INDEX(Assumptions!$C$189:$E$189,$D$3)-1,INDEX(Assumptions!$C$188:$E$188,$D$3),0)</f>
        <v>8000</v>
      </c>
      <c r="J86" s="8" t="n">
        <f aca="false">INDEX(Assumptions!$C$107:$E$107,$D$3)+IF(8&gt;=INDEX(Assumptions!$C$189:$E$189,$D$3)-1,INDEX(Assumptions!$C$188:$E$188,$D$3),0)</f>
        <v>8000</v>
      </c>
      <c r="K86" s="8" t="n">
        <f aca="false">INDEX(Assumptions!$C$107:$E$107,$D$3)+IF(9&gt;=INDEX(Assumptions!$C$189:$E$189,$D$3)-1,INDEX(Assumptions!$C$188:$E$188,$D$3),0)</f>
        <v>8000</v>
      </c>
      <c r="L86" s="8" t="n">
        <f aca="false">INDEX(Assumptions!$C$107:$E$107,$D$3)+IF(10&gt;=INDEX(Assumptions!$C$189:$E$189,$D$3)-1,INDEX(Assumptions!$C$188:$E$188,$D$3),0)</f>
        <v>8000</v>
      </c>
      <c r="M86" s="8" t="n">
        <f aca="false">INDEX(Assumptions!$C$107:$E$107,$D$3)+IF(11&gt;=INDEX(Assumptions!$C$189:$E$189,$D$3)-1,INDEX(Assumptions!$C$188:$E$188,$D$3),0)</f>
        <v>8000</v>
      </c>
      <c r="N86" s="8" t="n">
        <f aca="false">INDEX(Assumptions!$C$107:$E$107,$D$3)+IF(12&gt;=INDEX(Assumptions!$C$189:$E$189,$D$3)-1,INDEX(Assumptions!$C$188:$E$188,$D$3),0)</f>
        <v>8000</v>
      </c>
      <c r="O86" s="37" t="n">
        <f aca="false">SUM(C86:N86)</f>
        <v>96000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10000</v>
      </c>
      <c r="D87" s="8" t="n">
        <f aca="false">D15</f>
        <v>25000</v>
      </c>
      <c r="E87" s="8" t="n">
        <f aca="false">E15</f>
        <v>30000</v>
      </c>
      <c r="F87" s="8" t="n">
        <f aca="false">F15</f>
        <v>35000</v>
      </c>
      <c r="G87" s="8" t="n">
        <f aca="false">G15</f>
        <v>40000</v>
      </c>
      <c r="H87" s="8" t="n">
        <f aca="false">H15</f>
        <v>40000</v>
      </c>
      <c r="I87" s="8" t="n">
        <f aca="false">I15</f>
        <v>40000</v>
      </c>
      <c r="J87" s="8" t="n">
        <f aca="false">J15</f>
        <v>40000</v>
      </c>
      <c r="K87" s="8" t="n">
        <f aca="false">K15</f>
        <v>40000</v>
      </c>
      <c r="L87" s="8" t="n">
        <f aca="false">L15</f>
        <v>40000</v>
      </c>
      <c r="M87" s="8" t="n">
        <f aca="false">M15</f>
        <v>40000</v>
      </c>
      <c r="N87" s="8" t="n">
        <f aca="false">N15</f>
        <v>40000</v>
      </c>
      <c r="O87" s="37" t="n">
        <f aca="false">SUM(C87:N87)</f>
        <v>420000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3333</v>
      </c>
      <c r="D88" s="8" t="n">
        <f aca="false">INDEX(Assumptions!$C$170:$E$170,$D$3)</f>
        <v>3333</v>
      </c>
      <c r="E88" s="8" t="n">
        <f aca="false">INDEX(Assumptions!$C$170:$E$170,$D$3)</f>
        <v>3333</v>
      </c>
      <c r="F88" s="8" t="n">
        <f aca="false">INDEX(Assumptions!$C$170:$E$170,$D$3)</f>
        <v>3333</v>
      </c>
      <c r="G88" s="8" t="n">
        <f aca="false">INDEX(Assumptions!$C$170:$E$170,$D$3)</f>
        <v>3333</v>
      </c>
      <c r="H88" s="8" t="n">
        <f aca="false">INDEX(Assumptions!$C$170:$E$170,$D$3)</f>
        <v>3333</v>
      </c>
      <c r="I88" s="8" t="n">
        <f aca="false">INDEX(Assumptions!$C$170:$E$170,$D$3)</f>
        <v>3333</v>
      </c>
      <c r="J88" s="8" t="n">
        <f aca="false">INDEX(Assumptions!$C$170:$E$170,$D$3)</f>
        <v>3333</v>
      </c>
      <c r="K88" s="8" t="n">
        <f aca="false">INDEX(Assumptions!$C$170:$E$170,$D$3)</f>
        <v>3333</v>
      </c>
      <c r="L88" s="8" t="n">
        <f aca="false">INDEX(Assumptions!$C$170:$E$170,$D$3)</f>
        <v>3333</v>
      </c>
      <c r="M88" s="8" t="n">
        <f aca="false">INDEX(Assumptions!$C$170:$E$170,$D$3)</f>
        <v>3333</v>
      </c>
      <c r="N88" s="8" t="n">
        <f aca="false">INDEX(Assumptions!$C$170:$E$170,$D$3)</f>
        <v>3333</v>
      </c>
      <c r="O88" s="37" t="n">
        <f aca="false">SUM(C88:N88)</f>
        <v>39996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12000</v>
      </c>
      <c r="D89" s="8" t="n">
        <f aca="false">INDEX(Assumptions!$C$195:$E$195,$D$3)</f>
        <v>12000</v>
      </c>
      <c r="E89" s="8" t="n">
        <f aca="false">INDEX(Assumptions!$C$195:$E$195,$D$3)</f>
        <v>12000</v>
      </c>
      <c r="F89" s="8" t="n">
        <f aca="false">INDEX(Assumptions!$C$195:$E$195,$D$3)</f>
        <v>12000</v>
      </c>
      <c r="G89" s="8" t="n">
        <f aca="false">INDEX(Assumptions!$C$195:$E$195,$D$3)</f>
        <v>12000</v>
      </c>
      <c r="H89" s="8" t="n">
        <f aca="false">INDEX(Assumptions!$C$195:$E$195,$D$3)</f>
        <v>12000</v>
      </c>
      <c r="I89" s="8" t="n">
        <f aca="false">INDEX(Assumptions!$C$195:$E$195,$D$3)</f>
        <v>12000</v>
      </c>
      <c r="J89" s="8" t="n">
        <f aca="false">INDEX(Assumptions!$C$195:$E$195,$D$3)</f>
        <v>12000</v>
      </c>
      <c r="K89" s="8" t="n">
        <f aca="false">INDEX(Assumptions!$C$195:$E$195,$D$3)</f>
        <v>12000</v>
      </c>
      <c r="L89" s="8" t="n">
        <f aca="false">INDEX(Assumptions!$C$195:$E$195,$D$3)</f>
        <v>12000</v>
      </c>
      <c r="M89" s="8" t="n">
        <f aca="false">INDEX(Assumptions!$C$195:$E$195,$D$3)</f>
        <v>12000</v>
      </c>
      <c r="N89" s="8" t="n">
        <f aca="false">INDEX(Assumptions!$C$195:$E$195,$D$3)</f>
        <v>12000</v>
      </c>
      <c r="O89" s="37" t="n">
        <f aca="false">SUM(C89:N89)</f>
        <v>144000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50000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100000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158333</v>
      </c>
      <c r="D91" s="37" t="n">
        <f aca="false">D82+SUM(D84:D90)</f>
        <v>123333</v>
      </c>
      <c r="E91" s="37" t="n">
        <f aca="false">E82+SUM(E84:E90)</f>
        <v>228333</v>
      </c>
      <c r="F91" s="37" t="n">
        <f aca="false">F82+SUM(F84:F90)</f>
        <v>183333</v>
      </c>
      <c r="G91" s="37" t="n">
        <f aca="false">G82+SUM(G84:G90)</f>
        <v>188333</v>
      </c>
      <c r="H91" s="37" t="n">
        <f aca="false">H82+SUM(H84:H90)</f>
        <v>188333</v>
      </c>
      <c r="I91" s="37" t="n">
        <f aca="false">I82+SUM(I84:I90)</f>
        <v>188333</v>
      </c>
      <c r="J91" s="37" t="n">
        <f aca="false">J82+SUM(J84:J90)</f>
        <v>188333</v>
      </c>
      <c r="K91" s="37" t="n">
        <f aca="false">K82+SUM(K84:K90)</f>
        <v>188333</v>
      </c>
      <c r="L91" s="37" t="n">
        <f aca="false">L82+SUM(L84:L90)</f>
        <v>188333</v>
      </c>
      <c r="M91" s="37" t="n">
        <f aca="false">M82+SUM(M84:M90)</f>
        <v>188333</v>
      </c>
      <c r="N91" s="37" t="n">
        <f aca="false">N82+SUM(N84:N90)</f>
        <v>188333</v>
      </c>
      <c r="O91" s="31" t="n">
        <f aca="false">SUM(C91:N91)</f>
        <v>2199996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-110753.387428163</v>
      </c>
      <c r="D92" s="37" t="n">
        <f aca="false">D69-D91</f>
        <v>-43951.4680683863</v>
      </c>
      <c r="E92" s="37" t="n">
        <f aca="false">E69-E91</f>
        <v>-114588.530081563</v>
      </c>
      <c r="F92" s="37" t="n">
        <f aca="false">F69-F91</f>
        <v>-13269.2375205643</v>
      </c>
      <c r="G92" s="37" t="n">
        <f aca="false">G69-G91</f>
        <v>7814.97170792063</v>
      </c>
      <c r="H92" s="37" t="n">
        <f aca="false">H69-H91</f>
        <v>38668.0875399192</v>
      </c>
      <c r="I92" s="37" t="n">
        <f aca="false">I69-I91</f>
        <v>218073.999826029</v>
      </c>
      <c r="J92" s="37" t="n">
        <f aca="false">J69-J91</f>
        <v>229367.840740656</v>
      </c>
      <c r="K92" s="37" t="n">
        <f aca="false">K69-K91</f>
        <v>173007.717357101</v>
      </c>
      <c r="L92" s="37" t="n">
        <f aca="false">L69-L91</f>
        <v>190299.851801657</v>
      </c>
      <c r="M92" s="37" t="n">
        <f aca="false">M69-M91</f>
        <v>190673.991966669</v>
      </c>
      <c r="N92" s="37" t="n">
        <f aca="false">N69-N91</f>
        <v>189575.603237441</v>
      </c>
      <c r="O92" s="31" t="n">
        <f aca="false">SUM(C92:N92)</f>
        <v>954919.441078715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-1.73562250505515</v>
      </c>
      <c r="D93" s="7" t="n">
        <f aca="false">IFERROR(D92/D57,0)</f>
        <v>-0.412925097616277</v>
      </c>
      <c r="E93" s="7" t="n">
        <f aca="false">IFERROR(E92/E57,0)</f>
        <v>-0.773443338695044</v>
      </c>
      <c r="F93" s="7" t="n">
        <f aca="false">IFERROR(F92/F57,0)</f>
        <v>-0.0588388115178118</v>
      </c>
      <c r="G93" s="7" t="n">
        <f aca="false">IFERROR(G92/G57,0)</f>
        <v>0.0294808060271773</v>
      </c>
      <c r="H93" s="7" t="n">
        <f aca="false">IFERROR(H92/H57,0)</f>
        <v>0.125605957488816</v>
      </c>
      <c r="I93" s="7" t="n">
        <f aca="false">IFERROR(I92/I57,0)</f>
        <v>0.462408709844975</v>
      </c>
      <c r="J93" s="7" t="n">
        <f aca="false">IFERROR(J92/J57,0)</f>
        <v>0.472318496607709</v>
      </c>
      <c r="K93" s="7" t="n">
        <f aca="false">IFERROR(K92/K57,0)</f>
        <v>0.411511334332332</v>
      </c>
      <c r="L93" s="7" t="n">
        <f aca="false">IFERROR(L92/L57,0)</f>
        <v>0.432514888415688</v>
      </c>
      <c r="M93" s="7" t="n">
        <f aca="false">IFERROR(M92/M57,0)</f>
        <v>0.433066916613354</v>
      </c>
      <c r="N93" s="7" t="n">
        <f aca="false">IFERROR(N92/N57,0)</f>
        <v>0.432129539942303</v>
      </c>
      <c r="O93" s="7" t="n">
        <f aca="false">IFERROR(O92/O57,0)</f>
        <v>0.250406215939973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-185753.387428163</v>
      </c>
      <c r="D94" s="8" t="n">
        <f aca="false">D92-INDEX(Assumptions!$C$163:$E$163,$B$3)</f>
        <v>-118951.468068386</v>
      </c>
      <c r="E94" s="8" t="n">
        <f aca="false">E92-INDEX(Assumptions!$C$163:$E$163,$B$3)</f>
        <v>-189588.530081563</v>
      </c>
      <c r="F94" s="8" t="n">
        <f aca="false">F92-INDEX(Assumptions!$C$163:$E$163,$B$3)</f>
        <v>-88269.2375205643</v>
      </c>
      <c r="G94" s="8" t="n">
        <f aca="false">G92-INDEX(Assumptions!$C$163:$E$163,$B$3)</f>
        <v>-67185.0282920794</v>
      </c>
      <c r="H94" s="8" t="n">
        <f aca="false">H92-INDEX(Assumptions!$C$163:$E$163,$B$3)</f>
        <v>-36331.9124600808</v>
      </c>
      <c r="I94" s="8" t="n">
        <f aca="false">I92-INDEX(Assumptions!$C$163:$E$163,$B$3)</f>
        <v>143073.999826029</v>
      </c>
      <c r="J94" s="8" t="n">
        <f aca="false">J92-INDEX(Assumptions!$C$163:$E$163,$B$3)</f>
        <v>154367.840740656</v>
      </c>
      <c r="K94" s="8" t="n">
        <f aca="false">K92-INDEX(Assumptions!$C$163:$E$163,$B$3)</f>
        <v>98007.7173571012</v>
      </c>
      <c r="L94" s="8" t="n">
        <f aca="false">L92-INDEX(Assumptions!$C$163:$E$163,$B$3)</f>
        <v>115299.851801657</v>
      </c>
      <c r="M94" s="8" t="n">
        <f aca="false">M92-INDEX(Assumptions!$C$163:$E$163,$B$3)</f>
        <v>115673.991966669</v>
      </c>
      <c r="N94" s="8" t="n">
        <f aca="false">N92-INDEX(Assumptions!$C$163:$E$163,$B$3)</f>
        <v>114575.603237441</v>
      </c>
      <c r="O94" s="37" t="n">
        <f aca="false">SUM(C94:N94)</f>
        <v>54919.4410787154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0</v>
      </c>
      <c r="I101" s="37" t="n">
        <f aca="false">SUM(I96:I100)</f>
        <v>0</v>
      </c>
      <c r="J101" s="37" t="n">
        <f aca="false">SUM(J96:J100)</f>
        <v>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50000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-21671.7233898305</v>
      </c>
      <c r="D102" s="8" t="n">
        <f aca="false">((D58+IF(INDEX(Assumptions!$C$87:$E$87,$B$3)&gt;=2,C58,0)+IF(INDEX(Assumptions!$C$87:$E$87,$B$3)&gt;=3,0,0))/INDEX(Assumptions!$C$87:$E$87,$B$3))-D58</f>
        <v>-14042.9045084746</v>
      </c>
      <c r="E102" s="8" t="n">
        <f aca="false">((E58+IF(INDEX(Assumptions!$C$87:$E$87,$B$3)&gt;=2,D58,0)+IF(INDEX(Assumptions!$C$87:$E$87,$B$3)&gt;=3,C58,0))/INDEX(Assumptions!$C$87:$E$87,$B$3))-E58</f>
        <v>-4612.1882881356</v>
      </c>
      <c r="F102" s="8" t="n">
        <f aca="false">((F58+IF(INDEX(Assumptions!$C$87:$E$87,$B$3)&gt;=2,E58,0)+IF(INDEX(Assumptions!$C$87:$E$87,$B$3)&gt;=3,D58,0))/INDEX(Assumptions!$C$87:$E$87,$B$3))-F58</f>
        <v>-28401.9013389831</v>
      </c>
      <c r="G102" s="8" t="n">
        <f aca="false">((G58+IF(INDEX(Assumptions!$C$87:$E$87,$B$3)&gt;=2,F58,0)+IF(INDEX(Assumptions!$C$87:$E$87,$B$3)&gt;=3,E58,0))/INDEX(Assumptions!$C$87:$E$87,$B$3))-G58</f>
        <v>-20244.367220339</v>
      </c>
      <c r="H102" s="8" t="n">
        <f aca="false">((H58+IF(INDEX(Assumptions!$C$87:$E$87,$B$3)&gt;=2,G58,0)+IF(INDEX(Assumptions!$C$87:$E$87,$B$3)&gt;=3,F58,0))/INDEX(Assumptions!$C$87:$E$87,$B$3))-H58</f>
        <v>-15556.9152542373</v>
      </c>
      <c r="I102" s="8" t="n">
        <f aca="false">((I58+IF(INDEX(Assumptions!$C$87:$E$87,$B$3)&gt;=2,H58,0)+IF(INDEX(Assumptions!$C$87:$E$87,$B$3)&gt;=3,G58,0))/INDEX(Assumptions!$C$87:$E$87,$B$3))-I58</f>
        <v>-73895.9322033899</v>
      </c>
      <c r="J102" s="8" t="n">
        <f aca="false">((J58+IF(INDEX(Assumptions!$C$87:$E$87,$B$3)&gt;=2,I58,0)+IF(INDEX(Assumptions!$C$87:$E$87,$B$3)&gt;=3,H58,0))/INDEX(Assumptions!$C$87:$E$87,$B$3))-J58</f>
        <v>-1349.609696806</v>
      </c>
      <c r="K102" s="8" t="n">
        <f aca="false">((K58+IF(INDEX(Assumptions!$C$87:$E$87,$B$3)&gt;=2,J58,0)+IF(INDEX(Assumptions!$C$87:$E$87,$B$3)&gt;=3,I58,0))/INDEX(Assumptions!$C$87:$E$87,$B$3))-K58</f>
        <v>32105.0674606056</v>
      </c>
      <c r="L102" s="8" t="n">
        <f aca="false">((L58+IF(INDEX(Assumptions!$C$87:$E$87,$B$3)&gt;=2,K58,0)+IF(INDEX(Assumptions!$C$87:$E$87,$B$3)&gt;=3,J58,0))/INDEX(Assumptions!$C$87:$E$87,$B$3))-L58</f>
        <v>-5736.75281606533</v>
      </c>
      <c r="M102" s="8" t="n">
        <f aca="false">((M58+IF(INDEX(Assumptions!$C$87:$E$87,$B$3)&gt;=2,L58,0)+IF(INDEX(Assumptions!$C$87:$E$87,$B$3)&gt;=3,K58,0))/INDEX(Assumptions!$C$87:$E$87,$B$3))-M58</f>
        <v>6048.85437429958</v>
      </c>
      <c r="N102" s="8" t="n">
        <f aca="false">((N58+IF(INDEX(Assumptions!$C$87:$E$87,$B$3)&gt;=2,M58,0)+IF(INDEX(Assumptions!$C$87:$E$87,$B$3)&gt;=3,L58,0))/INDEX(Assumptions!$C$87:$E$87,$B$3))-N58</f>
        <v>6993.76271186443</v>
      </c>
      <c r="O102" s="37" t="n">
        <f aca="false">SUM(C102:N102)</f>
        <v>-140364.610169492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-182425.110817994</v>
      </c>
      <c r="D103" s="37" t="n">
        <f aca="false">D92+D102-D101</f>
        <v>-57994.3725768609</v>
      </c>
      <c r="E103" s="37" t="n">
        <f aca="false">E92+E102-E101</f>
        <v>-119200.718369699</v>
      </c>
      <c r="F103" s="37" t="n">
        <f aca="false">F92+F102-F101</f>
        <v>-41671.1388595474</v>
      </c>
      <c r="G103" s="37" t="n">
        <f aca="false">G92+G102-G101</f>
        <v>-12429.3955124184</v>
      </c>
      <c r="H103" s="37" t="n">
        <f aca="false">H92+H102-H101</f>
        <v>23111.1722856819</v>
      </c>
      <c r="I103" s="37" t="n">
        <f aca="false">I92+I102-I101</f>
        <v>144178.067622639</v>
      </c>
      <c r="J103" s="37" t="n">
        <f aca="false">J92+J102-J101</f>
        <v>228018.23104385</v>
      </c>
      <c r="K103" s="37" t="n">
        <f aca="false">K92+K102-K101</f>
        <v>205112.784817707</v>
      </c>
      <c r="L103" s="37" t="n">
        <f aca="false">L92+L102-L101</f>
        <v>184563.098985592</v>
      </c>
      <c r="M103" s="37" t="n">
        <f aca="false">M92+M102-M101</f>
        <v>196722.846340968</v>
      </c>
      <c r="N103" s="37" t="n">
        <f aca="false">N92+N102-N101</f>
        <v>196569.365949305</v>
      </c>
      <c r="O103" s="31" t="n">
        <f aca="false">SUM(C103:N103)</f>
        <v>764554.830909224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-182425.110817994</v>
      </c>
      <c r="D104" s="37" t="n">
        <f aca="false">C104+D103</f>
        <v>-240419.483394854</v>
      </c>
      <c r="E104" s="37" t="n">
        <f aca="false">D104+E103</f>
        <v>-359620.201764553</v>
      </c>
      <c r="F104" s="37" t="n">
        <f aca="false">E104+F103</f>
        <v>-401291.340624101</v>
      </c>
      <c r="G104" s="37" t="n">
        <f aca="false">F104+G103</f>
        <v>-413720.736136519</v>
      </c>
      <c r="H104" s="37" t="n">
        <f aca="false">G104+H103</f>
        <v>-390609.563850837</v>
      </c>
      <c r="I104" s="37" t="n">
        <f aca="false">H104+I103</f>
        <v>-246431.496228198</v>
      </c>
      <c r="J104" s="37" t="n">
        <f aca="false">I104+J103</f>
        <v>-18413.2651843483</v>
      </c>
      <c r="K104" s="37" t="n">
        <f aca="false">J104+K103</f>
        <v>186699.519633359</v>
      </c>
      <c r="L104" s="37" t="n">
        <f aca="false">K104+L103</f>
        <v>371262.61861895</v>
      </c>
      <c r="M104" s="37" t="n">
        <f aca="false">L104+M103</f>
        <v>567985.464959919</v>
      </c>
      <c r="N104" s="37" t="n">
        <f aca="false">M104+N103</f>
        <v>764554.830909224</v>
      </c>
      <c r="O104" s="31" t="n">
        <f aca="false">N104</f>
        <v>764554.830909224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182425.110817994</v>
      </c>
      <c r="D105" s="37" t="n">
        <f aca="false">-MIN(0,MIN($C$104:D104))</f>
        <v>240419.483394854</v>
      </c>
      <c r="E105" s="37" t="n">
        <f aca="false">-MIN(0,MIN($C$104:E104))</f>
        <v>359620.201764553</v>
      </c>
      <c r="F105" s="37" t="n">
        <f aca="false">-MIN(0,MIN($C$104:F104))</f>
        <v>401291.340624101</v>
      </c>
      <c r="G105" s="37" t="n">
        <f aca="false">-MIN(0,MIN($C$104:G104))</f>
        <v>413720.736136519</v>
      </c>
      <c r="H105" s="37" t="n">
        <f aca="false">-MIN(0,MIN($C$104:H104))</f>
        <v>413720.736136519</v>
      </c>
      <c r="I105" s="37" t="n">
        <f aca="false">-MIN(0,MIN($C$104:I104))</f>
        <v>413720.736136519</v>
      </c>
      <c r="J105" s="37" t="n">
        <f aca="false">-MIN(0,MIN($C$104:J104))</f>
        <v>413720.736136519</v>
      </c>
      <c r="K105" s="37" t="n">
        <f aca="false">-MIN(0,MIN($C$104:K104))</f>
        <v>413720.736136519</v>
      </c>
      <c r="L105" s="37" t="n">
        <f aca="false">-MIN(0,MIN($C$104:L104))</f>
        <v>413720.736136519</v>
      </c>
      <c r="M105" s="37" t="n">
        <f aca="false">-MIN(0,MIN($C$104:M104))</f>
        <v>413720.736136519</v>
      </c>
      <c r="N105" s="37" t="n">
        <f aca="false">-MIN(0,MIN($C$104:N104))</f>
        <v>413720.736136519</v>
      </c>
      <c r="O105" s="31" t="n">
        <f aca="false">MAX(C105:N105)</f>
        <v>413720.736136519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1</v>
      </c>
      <c r="H106" s="8" t="n">
        <f aca="false">IF(H92&gt;=0,1,0)</f>
        <v>1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3813481.37662695</v>
      </c>
    </row>
    <row r="110" customFormat="false" ht="15" hidden="false" customHeight="false" outlineLevel="0" collapsed="false">
      <c r="A110" s="3" t="s">
        <v>28</v>
      </c>
      <c r="B110" s="31" t="n">
        <f aca="false">O92</f>
        <v>954919.441078715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0.250406215939973</v>
      </c>
    </row>
    <row r="112" customFormat="false" ht="15" hidden="false" customHeight="false" outlineLevel="0" collapsed="false">
      <c r="A112" s="3" t="s">
        <v>30</v>
      </c>
      <c r="B112" s="31" t="n">
        <f aca="false">O94</f>
        <v>54919.4410787154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50000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413720.736136519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1000000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586279.263863481</v>
      </c>
    </row>
    <row r="117" customFormat="false" ht="15" hidden="false" customHeight="false" outlineLevel="0" collapsed="false">
      <c r="A117" s="3" t="s">
        <v>35</v>
      </c>
      <c r="B117" s="32" t="n">
        <f aca="false">O31</f>
        <v>48.4277209182887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5.43363959749256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76.5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0.80232433965609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8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0.4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1.5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50420.5817372881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188333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135889.810898458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1.04011471693827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12.4813766032592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8588.47294329233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0.126679975913562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0.27821829190042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5.66843735781582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570549.447005767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5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764554.830909224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1213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3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0.908333333333333</v>
      </c>
      <c r="D11" s="7" t="n">
        <f aca="false">IF(2&lt;=6,1-(1-INDEX(Assumptions!$C$157:$E$157,$D$3))*2/6,INDEX(Assumptions!$C$157:$E$157,$D$3)-(INDEX(Assumptions!$C$157:$E$157,$D$3)-INDEX(Assumptions!$C$158:$E$158,$D$3))*(2-6)/6)</f>
        <v>0.816666666666667</v>
      </c>
      <c r="E11" s="7" t="n">
        <f aca="false">IF(3&lt;=6,1-(1-INDEX(Assumptions!$C$157:$E$157,$D$3))*3/6,INDEX(Assumptions!$C$157:$E$157,$D$3)-(INDEX(Assumptions!$C$157:$E$157,$D$3)-INDEX(Assumptions!$C$158:$E$158,$D$3))*(3-6)/6)</f>
        <v>0.725</v>
      </c>
      <c r="F11" s="7" t="n">
        <f aca="false">IF(4&lt;=6,1-(1-INDEX(Assumptions!$C$157:$E$157,$D$3))*4/6,INDEX(Assumptions!$C$157:$E$157,$D$3)-(INDEX(Assumptions!$C$157:$E$157,$D$3)-INDEX(Assumptions!$C$158:$E$158,$D$3))*(4-6)/6)</f>
        <v>0.633333333333333</v>
      </c>
      <c r="G11" s="7" t="n">
        <f aca="false">IF(5&lt;=6,1-(1-INDEX(Assumptions!$C$157:$E$157,$D$3))*5/6,INDEX(Assumptions!$C$157:$E$157,$D$3)-(INDEX(Assumptions!$C$157:$E$157,$D$3)-INDEX(Assumptions!$C$158:$E$158,$D$3))*(5-6)/6)</f>
        <v>0.541666666666667</v>
      </c>
      <c r="H11" s="7" t="n">
        <f aca="false">IF(6&lt;=6,1-(1-INDEX(Assumptions!$C$157:$E$157,$D$3))*6/6,INDEX(Assumptions!$C$157:$E$157,$D$3)-(INDEX(Assumptions!$C$157:$E$157,$D$3)-INDEX(Assumptions!$C$158:$E$158,$D$3))*(6-6)/6)</f>
        <v>0.45</v>
      </c>
      <c r="I11" s="7" t="n">
        <f aca="false">IF(7&lt;=6,1-(1-INDEX(Assumptions!$C$157:$E$157,$D$3))*7/6,INDEX(Assumptions!$C$157:$E$157,$D$3)-(INDEX(Assumptions!$C$157:$E$157,$D$3)-INDEX(Assumptions!$C$158:$E$158,$D$3))*(7-6)/6)</f>
        <v>0.416666666666667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0.383333333333333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0.35</v>
      </c>
      <c r="L11" s="7" t="n">
        <f aca="false">IF(10&lt;=6,1-(1-INDEX(Assumptions!$C$157:$E$157,$D$3))*10/6,INDEX(Assumptions!$C$157:$E$157,$D$3)-(INDEX(Assumptions!$C$157:$E$157,$D$3)-INDEX(Assumptions!$C$158:$E$158,$D$3))*(10-6)/6)</f>
        <v>0.316666666666667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0.283333333333333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0.25</v>
      </c>
      <c r="O11" s="36" t="n">
        <f aca="false">N11</f>
        <v>0.25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4.58333333333333</v>
      </c>
      <c r="E14" s="27" t="n">
        <f aca="false">E13+(INDEX(Assumptions!$C$25:$E$25,$D$3)-E13)*MIN(1,(3-1)/6)</f>
        <v>6.66666666666667</v>
      </c>
      <c r="F14" s="27" t="n">
        <f aca="false">F13+(INDEX(Assumptions!$C$25:$E$25,$D$3)-F13)*MIN(1,(4-1)/6)</f>
        <v>8.75</v>
      </c>
      <c r="G14" s="27" t="n">
        <f aca="false">G13+(INDEX(Assumptions!$C$25:$E$25,$D$3)-G13)*MIN(1,(5-1)/6)</f>
        <v>10.8333333333333</v>
      </c>
      <c r="H14" s="27" t="n">
        <f aca="false">H13+(INDEX(Assumptions!$C$25:$E$25,$D$3)-H13)*MIN(1,(6-1)/6)</f>
        <v>12.9166666666667</v>
      </c>
      <c r="I14" s="27" t="n">
        <f aca="false">I13+(INDEX(Assumptions!$C$25:$E$25,$D$3)-I13)*MIN(1,(7-1)/6)</f>
        <v>15</v>
      </c>
      <c r="J14" s="27" t="n">
        <f aca="false">J13+(INDEX(Assumptions!$C$25:$E$25,$D$3)-J13)*MIN(1,(8-1)/6)</f>
        <v>15</v>
      </c>
      <c r="K14" s="27" t="n">
        <f aca="false">K13+(INDEX(Assumptions!$C$25:$E$25,$D$3)-K13)*MIN(1,(9-1)/6)</f>
        <v>15</v>
      </c>
      <c r="L14" s="27" t="n">
        <f aca="false">L13+(INDEX(Assumptions!$C$25:$E$25,$D$3)-L13)*MIN(1,(10-1)/6)</f>
        <v>15</v>
      </c>
      <c r="M14" s="27" t="n">
        <f aca="false">M13+(INDEX(Assumptions!$C$25:$E$25,$D$3)-M13)*MIN(1,(11-1)/6)</f>
        <v>15</v>
      </c>
      <c r="N14" s="27" t="n">
        <f aca="false">N13+(INDEX(Assumptions!$C$25:$E$25,$D$3)-N13)*MIN(1,(12-1)/6)</f>
        <v>15</v>
      </c>
      <c r="O14" s="35" t="n">
        <f aca="false">SUM(C14:N14)</f>
        <v>136.25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50000</v>
      </c>
      <c r="E15" s="8" t="n">
        <f aca="false">INDEX(Assumptions!$C$123:$E$123,$D$3)*$J$4</f>
        <v>60000</v>
      </c>
      <c r="F15" s="8" t="n">
        <f aca="false">INDEX(Assumptions!$C$124:$E$124,$D$3)*$J$4</f>
        <v>70000</v>
      </c>
      <c r="G15" s="8" t="n">
        <f aca="false">INDEX(Assumptions!$C$125:$E$125,$D$3)*$J$4</f>
        <v>120000</v>
      </c>
      <c r="H15" s="8" t="n">
        <f aca="false">INDEX(Assumptions!$C$126:$E$126,$D$3)*$J$4</f>
        <v>170000</v>
      </c>
      <c r="I15" s="8" t="n">
        <f aca="false">INDEX(Assumptions!$C$127:$E$127,$D$3)*$J$4</f>
        <v>200000</v>
      </c>
      <c r="J15" s="8" t="n">
        <f aca="false">INDEX(Assumptions!$C$128:$E$128,$D$3)*$J$4</f>
        <v>200000</v>
      </c>
      <c r="K15" s="8" t="n">
        <f aca="false">INDEX(Assumptions!$C$129:$E$129,$D$3)*$J$4</f>
        <v>200000</v>
      </c>
      <c r="L15" s="8" t="n">
        <f aca="false">INDEX(Assumptions!$C$130:$E$130,$D$3)*$J$4</f>
        <v>200000</v>
      </c>
      <c r="M15" s="8" t="n">
        <f aca="false">INDEX(Assumptions!$C$131:$E$131,$D$3)*$J$4</f>
        <v>200000</v>
      </c>
      <c r="N15" s="8" t="n">
        <f aca="false">INDEX(Assumptions!$C$132:$E$132,$D$3)*$J$4</f>
        <v>200000</v>
      </c>
      <c r="O15" s="37" t="n">
        <f aca="false">SUM(C15:N15)</f>
        <v>1685000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1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0.98075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3</v>
      </c>
      <c r="E18" s="27" t="n">
        <f aca="false">E15*INDEX(Assumptions!$C$119:$E$119,$B$3)/E16</f>
        <v>3.6</v>
      </c>
      <c r="F18" s="27" t="n">
        <f aca="false">F15*INDEX(Assumptions!$C$119:$E$119,$B$3)/F16</f>
        <v>4.2</v>
      </c>
      <c r="G18" s="27" t="n">
        <f aca="false">G15*INDEX(Assumptions!$C$119:$E$119,$B$3)/G16</f>
        <v>7.2</v>
      </c>
      <c r="H18" s="27" t="n">
        <f aca="false">H15*INDEX(Assumptions!$C$119:$E$119,$B$3)/H16</f>
        <v>10.2</v>
      </c>
      <c r="I18" s="27" t="n">
        <f aca="false">I15*INDEX(Assumptions!$C$119:$E$119,$B$3)/I16</f>
        <v>12</v>
      </c>
      <c r="J18" s="27" t="n">
        <f aca="false">J15*INDEX(Assumptions!$C$119:$E$119,$B$3)/J16</f>
        <v>12</v>
      </c>
      <c r="K18" s="27" t="n">
        <f aca="false">K15*INDEX(Assumptions!$C$119:$E$119,$B$3)/K16</f>
        <v>12</v>
      </c>
      <c r="L18" s="27" t="n">
        <f aca="false">L15*INDEX(Assumptions!$C$119:$E$119,$B$3)/L16</f>
        <v>12</v>
      </c>
      <c r="M18" s="27" t="n">
        <f aca="false">M15*INDEX(Assumptions!$C$119:$E$119,$B$3)/M16</f>
        <v>12</v>
      </c>
      <c r="N18" s="27" t="n">
        <f aca="false">N15*INDEX(Assumptions!$C$119:$E$119,$B$3)/N16</f>
        <v>12</v>
      </c>
      <c r="O18" s="35" t="n">
        <f aca="false">SUM(C18:N18)</f>
        <v>101.1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3.4375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4.38666666666667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6.16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9.75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12.9166666666667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19.5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20.25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18.75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16.5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15.75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15</v>
      </c>
      <c r="O19" s="38" t="n">
        <f aca="false">SUM(C19:N19)</f>
        <v>143.569713333333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16</v>
      </c>
      <c r="G20" s="8" t="n">
        <f aca="false">IF(5&gt;=INDEX(Assumptions!$C$173:$E$173,$D$3),INDEX(Assumptions!$C$176:$E$176,$D$3),INDEX(Assumptions!$C$171:$E$171,$B$3))</f>
        <v>16</v>
      </c>
      <c r="H20" s="8" t="n">
        <f aca="false">IF(6&gt;=INDEX(Assumptions!$C$173:$E$173,$D$3),INDEX(Assumptions!$C$176:$E$176,$D$3),INDEX(Assumptions!$C$171:$E$171,$B$3))</f>
        <v>16</v>
      </c>
      <c r="I20" s="8" t="n">
        <f aca="false">IF(7&gt;=INDEX(Assumptions!$C$173:$E$173,$D$3),INDEX(Assumptions!$C$176:$E$176,$D$3),INDEX(Assumptions!$C$171:$E$171,$B$3))</f>
        <v>16</v>
      </c>
      <c r="J20" s="8" t="n">
        <f aca="false">IF(8&gt;=INDEX(Assumptions!$C$173:$E$173,$D$3),INDEX(Assumptions!$C$176:$E$176,$D$3),INDEX(Assumptions!$C$171:$E$171,$B$3))</f>
        <v>16</v>
      </c>
      <c r="K20" s="8" t="n">
        <f aca="false">IF(9&gt;=INDEX(Assumptions!$C$173:$E$173,$D$3),INDEX(Assumptions!$C$176:$E$176,$D$3),INDEX(Assumptions!$C$171:$E$171,$B$3))</f>
        <v>16</v>
      </c>
      <c r="L20" s="8" t="n">
        <f aca="false">IF(10&gt;=INDEX(Assumptions!$C$173:$E$173,$D$3),INDEX(Assumptions!$C$176:$E$176,$D$3),INDEX(Assumptions!$C$171:$E$171,$B$3))</f>
        <v>16</v>
      </c>
      <c r="M20" s="8" t="n">
        <f aca="false">IF(11&gt;=INDEX(Assumptions!$C$173:$E$173,$D$3),INDEX(Assumptions!$C$176:$E$176,$D$3),INDEX(Assumptions!$C$171:$E$171,$B$3))</f>
        <v>16</v>
      </c>
      <c r="N20" s="8" t="n">
        <f aca="false">IF(12&gt;=INDEX(Assumptions!$C$173:$E$173,$D$3),INDEX(Assumptions!$C$176:$E$176,$D$3),INDEX(Assumptions!$C$171:$E$171,$B$3))</f>
        <v>16</v>
      </c>
      <c r="O20" s="37" t="n">
        <f aca="false">N20</f>
        <v>16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2.5</v>
      </c>
      <c r="G21" s="6" t="n">
        <f aca="false">IF(5&gt;=INDEX(Assumptions!$C$173:$E$173,$D$3),INDEX(Assumptions!$C$177:$E$177,$D$3),INDEX(Assumptions!$C$172:$E$172,$D$3))</f>
        <v>2.5</v>
      </c>
      <c r="H21" s="6" t="n">
        <f aca="false">IF(6&gt;=INDEX(Assumptions!$C$173:$E$173,$D$3),INDEX(Assumptions!$C$177:$E$177,$D$3),INDEX(Assumptions!$C$172:$E$172,$D$3))</f>
        <v>2.5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36</v>
      </c>
      <c r="G22" s="6" t="n">
        <f aca="false">G20*G21*INDEX(Assumptions!$C$178:$E$178,$B$3)</f>
        <v>36</v>
      </c>
      <c r="H22" s="6" t="n">
        <f aca="false">H20*H21*INDEX(Assumptions!$C$178:$E$178,$B$3)</f>
        <v>36</v>
      </c>
      <c r="I22" s="6" t="n">
        <f aca="false">I20*I21*INDEX(Assumptions!$C$178:$E$178,$B$3)</f>
        <v>36</v>
      </c>
      <c r="J22" s="6" t="n">
        <f aca="false">J20*J21*INDEX(Assumptions!$C$178:$E$178,$B$3)</f>
        <v>36</v>
      </c>
      <c r="K22" s="6" t="n">
        <f aca="false">K20*K21*INDEX(Assumptions!$C$178:$E$178,$B$3)</f>
        <v>36</v>
      </c>
      <c r="L22" s="6" t="n">
        <f aca="false">L20*L21*INDEX(Assumptions!$C$178:$E$178,$B$3)</f>
        <v>36</v>
      </c>
      <c r="M22" s="6" t="n">
        <f aca="false">M20*M21*INDEX(Assumptions!$C$178:$E$178,$B$3)</f>
        <v>36</v>
      </c>
      <c r="N22" s="6" t="n">
        <f aca="false">N20*N21*INDEX(Assumptions!$C$178:$E$178,$B$3)</f>
        <v>36</v>
      </c>
      <c r="O22" s="39" t="n">
        <f aca="false">N22</f>
        <v>36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0.25</v>
      </c>
      <c r="K23" s="7" t="n">
        <f aca="false">IF(9&gt;=INDEX(Assumptions!$C$189:$E$189,$D$3),INDEX(Assumptions!$C$74:$E$74,$B$3),0)</f>
        <v>0.25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2.9040936</v>
      </c>
      <c r="F24" s="6" t="n">
        <f aca="false">E27+D27+E30+D30+1.25*E28</f>
        <v>5.2472656</v>
      </c>
      <c r="G24" s="6" t="n">
        <f aca="false">F27+E27+F30+E30+1.25*F28</f>
        <v>7.2669</v>
      </c>
      <c r="H24" s="6" t="n">
        <f aca="false">G27+F27+G30+F30+1.25*G28</f>
        <v>10.8116</v>
      </c>
      <c r="I24" s="6" t="n">
        <f aca="false">H27+G27+H30+G30+1.25*H28</f>
        <v>15.5092</v>
      </c>
      <c r="J24" s="6" t="n">
        <f aca="false">I27+H27+I30+H30+1.25*I28</f>
        <v>21.8180095011877</v>
      </c>
      <c r="K24" s="6" t="n">
        <f aca="false">J27+I27+J30+I30+1.25*J28</f>
        <v>22.1470727649923</v>
      </c>
      <c r="L24" s="6" t="n">
        <f aca="false">K27+J27+K30+J30+1.25*K28</f>
        <v>15.826372276388</v>
      </c>
      <c r="M24" s="6" t="n">
        <f aca="false">L27+K27+L30+K30+1.25*L28</f>
        <v>18.570810330947</v>
      </c>
      <c r="N24" s="6" t="n">
        <f aca="false">M27+L27+M30+L30+1.25*M28</f>
        <v>20.3497243283007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3.5777656</v>
      </c>
      <c r="E25" s="6" t="n">
        <f aca="false">E19*(INDEX(Assumptions!$C$26:$E$26,$B$3)*(1-E23)+INDEX(Assumptions!$C$26:$E$26,$B$3)*E23*1.25+(1-INDEX(Assumptions!$C$26:$E$26,$B$3)))+D29*INDEX(Assumptions!$C$89:$E$89,$B$3)</f>
        <v>4.79916666666667</v>
      </c>
      <c r="F25" s="6" t="n">
        <f aca="false">F19*(INDEX(Assumptions!$C$26:$E$26,$B$3)*(1-F23)+INDEX(Assumptions!$C$26:$E$26,$B$3)*F23*1.25+(1-INDEX(Assumptions!$C$26:$E$26,$B$3)))+E29*INDEX(Assumptions!$C$89:$E$89,$B$3)</f>
        <v>6.6864</v>
      </c>
      <c r="G25" s="6" t="n">
        <f aca="false">G19*(INDEX(Assumptions!$C$26:$E$26,$B$3)*(1-G23)+INDEX(Assumptions!$C$26:$E$26,$B$3)*G23*1.25+(1-INDEX(Assumptions!$C$26:$E$26,$B$3)))+F29*INDEX(Assumptions!$C$89:$E$89,$B$3)</f>
        <v>10.4892</v>
      </c>
      <c r="H25" s="6" t="n">
        <f aca="false">H19*(INDEX(Assumptions!$C$26:$E$26,$B$3)*(1-H23)+INDEX(Assumptions!$C$26:$E$26,$B$3)*H23*1.25+(1-INDEX(Assumptions!$C$26:$E$26,$B$3)))+G29*INDEX(Assumptions!$C$89:$E$89,$B$3)</f>
        <v>14.0866666666667</v>
      </c>
      <c r="I25" s="6" t="n">
        <f aca="false">I19*(INDEX(Assumptions!$C$26:$E$26,$B$3)*(1-I23)+INDEX(Assumptions!$C$26:$E$26,$B$3)*I23*1.25+(1-INDEX(Assumptions!$C$26:$E$26,$B$3)))+H29*INDEX(Assumptions!$C$89:$E$89,$B$3)</f>
        <v>21.05</v>
      </c>
      <c r="J25" s="6" t="n">
        <f aca="false">J19*(INDEX(Assumptions!$C$26:$E$26,$B$3)*(1-J23)+INDEX(Assumptions!$C$26:$E$26,$B$3)*J23*1.25+(1-INDEX(Assumptions!$C$26:$E$26,$B$3)))+I29*INDEX(Assumptions!$C$89:$E$89,$B$3)</f>
        <v>23.2872121496437</v>
      </c>
      <c r="K25" s="6" t="n">
        <f aca="false">K19*(INDEX(Assumptions!$C$26:$E$26,$B$3)*(1-K23)+INDEX(Assumptions!$C$26:$E$26,$B$3)*K23*1.25+(1-INDEX(Assumptions!$C$26:$E$26,$B$3)))+J29*INDEX(Assumptions!$C$89:$E$89,$B$3)</f>
        <v>20.9330031705023</v>
      </c>
      <c r="L25" s="6" t="n">
        <f aca="false">L19*(INDEX(Assumptions!$C$26:$E$26,$B$3)*(1-L23)+INDEX(Assumptions!$C$26:$E$26,$B$3)*L23*1.25+(1-INDEX(Assumptions!$C$26:$E$26,$B$3)))+K29*INDEX(Assumptions!$C$89:$E$89,$B$3)</f>
        <v>18.6077425743044</v>
      </c>
      <c r="M25" s="6" t="n">
        <f aca="false">M19*(INDEX(Assumptions!$C$26:$E$26,$B$3)*(1-M23)+INDEX(Assumptions!$C$26:$E$26,$B$3)*M23*1.25+(1-INDEX(Assumptions!$C$26:$E$26,$B$3)))+L29*INDEX(Assumptions!$C$89:$E$89,$B$3)</f>
        <v>18.320625</v>
      </c>
      <c r="N25" s="6" t="n">
        <f aca="false">N19*(INDEX(Assumptions!$C$26:$E$26,$B$3)*(1-N23)+INDEX(Assumptions!$C$26:$E$26,$B$3)*N23*1.25+(1-INDEX(Assumptions!$C$26:$E$26,$B$3)))+M29*INDEX(Assumptions!$C$89:$E$89,$B$3)</f>
        <v>17.360537374517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1</v>
      </c>
      <c r="I26" s="7" t="n">
        <f aca="false">IF(I25&lt;=0,1,MAX(0,MIN(1,(I22-I24)/I25)))</f>
        <v>0.973434679334917</v>
      </c>
      <c r="J26" s="7" t="n">
        <f aca="false">IF(J25&lt;=0,1,MAX(0,MIN(1,(J22-J24)/J25)))</f>
        <v>0.609003362346632</v>
      </c>
      <c r="K26" s="7" t="n">
        <f aca="false">IF(K25&lt;=0,1,MAX(0,MIN(1,(K22-K24)/K25)))</f>
        <v>0.6617744774686</v>
      </c>
      <c r="L26" s="7" t="n">
        <f aca="false">IF(L25&lt;=0,1,MAX(0,MIN(1,(L22-L24)/L25)))</f>
        <v>1</v>
      </c>
      <c r="M26" s="7" t="n">
        <f aca="false">IF(M25&lt;=0,1,MAX(0,MIN(1,(M22-M24)/M25)))</f>
        <v>0.95134252619946</v>
      </c>
      <c r="N26" s="7" t="n">
        <f aca="false">IF(N25&lt;=0,1,MAX(0,MIN(1,(N22-N24)/N25)))</f>
        <v>0.901485670292202</v>
      </c>
      <c r="O26" s="7" t="n">
        <f aca="false">MIN(C26:N26)</f>
        <v>0.609003362346632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2.0625</v>
      </c>
      <c r="E27" s="35" t="n">
        <f aca="false">E19*INDEX(Assumptions!$C$26:$E$26,$B$3)*(1-E23)*E26</f>
        <v>2.632</v>
      </c>
      <c r="F27" s="35" t="n">
        <f aca="false">F19*INDEX(Assumptions!$C$26:$E$26,$B$3)*(1-F23)*F26</f>
        <v>3.696</v>
      </c>
      <c r="G27" s="35" t="n">
        <f aca="false">G19*INDEX(Assumptions!$C$26:$E$26,$B$3)*(1-G23)*G26</f>
        <v>5.85</v>
      </c>
      <c r="H27" s="35" t="n">
        <f aca="false">H19*INDEX(Assumptions!$C$26:$E$26,$B$3)*(1-H23)*H26</f>
        <v>7.75</v>
      </c>
      <c r="I27" s="35" t="n">
        <f aca="false">I19*INDEX(Assumptions!$C$26:$E$26,$B$3)*(1-I23)*I26</f>
        <v>11.3891857482185</v>
      </c>
      <c r="J27" s="35" t="n">
        <f aca="false">J19*INDEX(Assumptions!$C$26:$E$26,$B$3)*(1-J23)*J26</f>
        <v>5.54954313938368</v>
      </c>
      <c r="K27" s="35" t="n">
        <f aca="false">K19*INDEX(Assumptions!$C$26:$E$26,$B$3)*(1-K23)*K26</f>
        <v>5.58372215364131</v>
      </c>
      <c r="L27" s="35" t="n">
        <f aca="false">L19*INDEX(Assumptions!$C$26:$E$26,$B$3)*(1-L23)*L26</f>
        <v>7.425</v>
      </c>
      <c r="M27" s="35" t="n">
        <f aca="false">M19*INDEX(Assumptions!$C$26:$E$26,$B$3)*(1-M23)*M26</f>
        <v>6.74264015443867</v>
      </c>
      <c r="N27" s="35" t="n">
        <f aca="false">N19*INDEX(Assumptions!$C$26:$E$26,$B$3)*(1-N23)*N26</f>
        <v>6.08502827447237</v>
      </c>
      <c r="O27" s="38" t="n">
        <f aca="false">SUM(C27:N27)</f>
        <v>65.4669474701546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1.84984771312789</v>
      </c>
      <c r="K28" s="27" t="n">
        <f aca="false">K19*INDEX(Assumptions!$C$26:$E$26,$B$3)*K23*K26</f>
        <v>1.86124071788044</v>
      </c>
      <c r="L28" s="27" t="n">
        <f aca="false">L19*INDEX(Assumptions!$C$26:$E$26,$B$3)*L23*L26</f>
        <v>2.475</v>
      </c>
      <c r="M28" s="27" t="n">
        <f aca="false">M19*INDEX(Assumptions!$C$26:$E$26,$B$3)*M23*M26</f>
        <v>2.24754671814622</v>
      </c>
      <c r="N28" s="27" t="n">
        <f aca="false">N19*INDEX(Assumptions!$C$26:$E$26,$B$3)*N23*N26</f>
        <v>2.02834275815746</v>
      </c>
      <c r="O28" s="35" t="n">
        <f aca="false">SUM(C28:N28)</f>
        <v>10.461977907312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1.375</v>
      </c>
      <c r="E29" s="27" t="n">
        <f aca="false">E19*(1-INDEX(Assumptions!$C$26:$E$26,$B$3))*E26</f>
        <v>1.75466666666667</v>
      </c>
      <c r="F29" s="27" t="n">
        <f aca="false">F19*(1-INDEX(Assumptions!$C$26:$E$26,$B$3))*F26</f>
        <v>2.464</v>
      </c>
      <c r="G29" s="27" t="n">
        <f aca="false">G19*(1-INDEX(Assumptions!$C$26:$E$26,$B$3))*G26</f>
        <v>3.9</v>
      </c>
      <c r="H29" s="27" t="n">
        <f aca="false">H19*(1-INDEX(Assumptions!$C$26:$E$26,$B$3))*H26</f>
        <v>5.16666666666667</v>
      </c>
      <c r="I29" s="27" t="n">
        <f aca="false">I19*(1-INDEX(Assumptions!$C$26:$E$26,$B$3))*I26</f>
        <v>7.59279049881235</v>
      </c>
      <c r="J29" s="27" t="n">
        <f aca="false">J19*(1-INDEX(Assumptions!$C$26:$E$26,$B$3))*J26</f>
        <v>4.93292723500772</v>
      </c>
      <c r="K29" s="27" t="n">
        <f aca="false">K19*(1-INDEX(Assumptions!$C$26:$E$26,$B$3))*K26</f>
        <v>4.9633085810145</v>
      </c>
      <c r="L29" s="27" t="n">
        <f aca="false">L19*(1-INDEX(Assumptions!$C$26:$E$26,$B$3))*L26</f>
        <v>6.6</v>
      </c>
      <c r="M29" s="27" t="n">
        <f aca="false">M19*(1-INDEX(Assumptions!$C$26:$E$26,$B$3))*M26</f>
        <v>5.9934579150566</v>
      </c>
      <c r="N29" s="27" t="n">
        <f aca="false">N19*(1-INDEX(Assumptions!$C$26:$E$26,$B$3))*N26</f>
        <v>5.40891402175321</v>
      </c>
      <c r="O29" s="35" t="n">
        <f aca="false">SUM(C29:N29)</f>
        <v>50.6192835849777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0.4125</v>
      </c>
      <c r="F30" s="27" t="n">
        <f aca="false">E29*INDEX(Assumptions!$C$89:$E$89,$B$3)*F26</f>
        <v>0.5264</v>
      </c>
      <c r="G30" s="27" t="n">
        <f aca="false">F29*INDEX(Assumptions!$C$89:$E$89,$B$3)*G26</f>
        <v>0.7392</v>
      </c>
      <c r="H30" s="27" t="n">
        <f aca="false">G29*INDEX(Assumptions!$C$89:$E$89,$B$3)*H26</f>
        <v>1.17</v>
      </c>
      <c r="I30" s="27" t="n">
        <f aca="false">H29*INDEX(Assumptions!$C$89:$E$89,$B$3)*I26</f>
        <v>1.50882375296912</v>
      </c>
      <c r="J30" s="27" t="n">
        <f aca="false">I29*INDEX(Assumptions!$C$89:$E$89,$B$3)*J26</f>
        <v>1.38721048301108</v>
      </c>
      <c r="K30" s="27" t="n">
        <f aca="false">J29*INDEX(Assumptions!$C$89:$E$89,$B$3)*K26</f>
        <v>0.979345603001357</v>
      </c>
      <c r="L30" s="27" t="n">
        <f aca="false">K29*INDEX(Assumptions!$C$89:$E$89,$B$3)*L26</f>
        <v>1.48899257430435</v>
      </c>
      <c r="M30" s="27" t="n">
        <f aca="false">L29*INDEX(Assumptions!$C$89:$E$89,$B$3)*M26</f>
        <v>1.88365820187493</v>
      </c>
      <c r="N30" s="27" t="n">
        <f aca="false">M29*INDEX(Assumptions!$C$89:$E$89,$B$3)*N26</f>
        <v>1.62090492777687</v>
      </c>
      <c r="O30" s="35" t="n">
        <f aca="false">SUM(C30:N30)</f>
        <v>11.8573011429377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3.4375</v>
      </c>
      <c r="E31" s="35" t="n">
        <f aca="false">E27+E28+E29</f>
        <v>4.38666666666667</v>
      </c>
      <c r="F31" s="35" t="n">
        <f aca="false">F27+F28+F29</f>
        <v>6.16</v>
      </c>
      <c r="G31" s="35" t="n">
        <f aca="false">G27+G28+G29</f>
        <v>9.75</v>
      </c>
      <c r="H31" s="35" t="n">
        <f aca="false">H27+H28+H29</f>
        <v>12.9166666666667</v>
      </c>
      <c r="I31" s="35" t="n">
        <f aca="false">I27+I28+I29</f>
        <v>18.9819762470309</v>
      </c>
      <c r="J31" s="35" t="n">
        <f aca="false">J27+J28+J29</f>
        <v>12.3323180875193</v>
      </c>
      <c r="K31" s="35" t="n">
        <f aca="false">K27+K28+K29</f>
        <v>12.4082714525363</v>
      </c>
      <c r="L31" s="35" t="n">
        <f aca="false">L27+L28+L29</f>
        <v>16.5</v>
      </c>
      <c r="M31" s="35" t="n">
        <f aca="false">M27+M28+M29</f>
        <v>14.9836447876415</v>
      </c>
      <c r="N31" s="35" t="n">
        <f aca="false">N27+N28+N29</f>
        <v>13.522285054383</v>
      </c>
      <c r="O31" s="38" t="n">
        <f aca="false">SUM(C31:N31)</f>
        <v>126.548208962444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0.859375</v>
      </c>
      <c r="E32" s="27" t="n">
        <f aca="false">E31*INDEX(Assumptions!$C$74:$E$74,$B$3)</f>
        <v>1.09666666666667</v>
      </c>
      <c r="F32" s="27" t="n">
        <f aca="false">F31*INDEX(Assumptions!$C$74:$E$74,$B$3)</f>
        <v>1.54</v>
      </c>
      <c r="G32" s="27" t="n">
        <f aca="false">G31*INDEX(Assumptions!$C$74:$E$74,$B$3)</f>
        <v>2.4375</v>
      </c>
      <c r="H32" s="27" t="n">
        <f aca="false">H31*INDEX(Assumptions!$C$74:$E$74,$B$3)</f>
        <v>3.22916666666667</v>
      </c>
      <c r="I32" s="27" t="n">
        <f aca="false">I31*INDEX(Assumptions!$C$74:$E$74,$B$3)</f>
        <v>4.74549406175772</v>
      </c>
      <c r="J32" s="27" t="n">
        <f aca="false">J31*INDEX(Assumptions!$C$74:$E$74,$B$3)</f>
        <v>3.08307952187982</v>
      </c>
      <c r="K32" s="27" t="n">
        <f aca="false">K31*INDEX(Assumptions!$C$74:$E$74,$B$3)</f>
        <v>3.10206786313406</v>
      </c>
      <c r="L32" s="27" t="n">
        <f aca="false">L31*INDEX(Assumptions!$C$74:$E$74,$B$3)</f>
        <v>4.125</v>
      </c>
      <c r="M32" s="27" t="n">
        <f aca="false">M31*INDEX(Assumptions!$C$74:$E$74,$B$3)</f>
        <v>3.74591119691037</v>
      </c>
      <c r="N32" s="27" t="n">
        <f aca="false">N31*INDEX(Assumptions!$C$74:$E$74,$B$3)</f>
        <v>3.38057126359576</v>
      </c>
      <c r="O32" s="35" t="n">
        <f aca="false">SUM(C32:N32)</f>
        <v>31.6370522406111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4.2790936</v>
      </c>
      <c r="E33" s="6" t="n">
        <f aca="false">E24+E27+E30+E29+1.25*E28</f>
        <v>7.70326026666667</v>
      </c>
      <c r="F33" s="6" t="n">
        <f aca="false">F24+F27+F30+F29+1.25*F28</f>
        <v>11.9336656</v>
      </c>
      <c r="G33" s="6" t="n">
        <f aca="false">G24+G27+G30+G29+1.25*G28</f>
        <v>17.7561</v>
      </c>
      <c r="H33" s="6" t="n">
        <f aca="false">H24+H27+H30+H29+1.25*H28</f>
        <v>24.8982666666667</v>
      </c>
      <c r="I33" s="6" t="n">
        <f aca="false">I24+I27+I30+I29+1.25*I28</f>
        <v>36</v>
      </c>
      <c r="J33" s="6" t="n">
        <f aca="false">J24+J27+J30+J29+1.25*J28</f>
        <v>36</v>
      </c>
      <c r="K33" s="6" t="n">
        <f aca="false">K24+K27+K30+K29+1.25*K28</f>
        <v>36</v>
      </c>
      <c r="L33" s="6" t="n">
        <f aca="false">L24+L27+L30+L29+1.25*L28</f>
        <v>34.4341148506923</v>
      </c>
      <c r="M33" s="6" t="n">
        <f aca="false">M24+M27+M30+M29+1.25*M28</f>
        <v>36</v>
      </c>
      <c r="N33" s="6" t="n">
        <f aca="false">N24+N27+N30+N29+1.25*N28</f>
        <v>36</v>
      </c>
      <c r="O33" s="39" t="n">
        <f aca="false">AVERAGE(C33:N33)</f>
        <v>23.5144484153355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0.26744335</v>
      </c>
      <c r="E34" s="36" t="n">
        <f aca="false">E33/(E20*E21)</f>
        <v>0.481453766666667</v>
      </c>
      <c r="F34" s="36" t="n">
        <f aca="false">F33/(F20*F21)</f>
        <v>0.29834164</v>
      </c>
      <c r="G34" s="36" t="n">
        <f aca="false">G33/(G20*G21)</f>
        <v>0.4439025</v>
      </c>
      <c r="H34" s="36" t="n">
        <f aca="false">H33/(H20*H21)</f>
        <v>0.622456666666667</v>
      </c>
      <c r="I34" s="36" t="n">
        <f aca="false">I33/(I20*I21)</f>
        <v>0.9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0.860852871267309</v>
      </c>
      <c r="M34" s="36" t="n">
        <f aca="false">M33/(M20*M21)</f>
        <v>0.9</v>
      </c>
      <c r="N34" s="36" t="n">
        <f aca="false">N33/(N20*N21)</f>
        <v>0.9</v>
      </c>
      <c r="O34" s="30" t="n">
        <f aca="false">N34</f>
        <v>0.9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0</v>
      </c>
      <c r="I35" s="8" t="n">
        <f aca="false">IF(I26&lt;0.999,1,0)</f>
        <v>1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0</v>
      </c>
      <c r="M35" s="8" t="n">
        <f aca="false">IF(M26&lt;0.999,1,0)</f>
        <v>1</v>
      </c>
      <c r="N35" s="8" t="n">
        <f aca="false">IF(N26&lt;0.999,1,0)</f>
        <v>1</v>
      </c>
      <c r="O35" s="37" t="n">
        <f aca="false">SUM(C35:N35)</f>
        <v>5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4.25</v>
      </c>
      <c r="F37" s="6" t="n">
        <f aca="false">IF(4&gt;=3,INDEX(Assumptions!$C$192:$E$192,$D$3)*INDEX(Assumptions!$C$193:$E$193,$B$3)*MIN(1,(4-2)/6),0)*$F$3</f>
        <v>8.5</v>
      </c>
      <c r="G37" s="6" t="n">
        <f aca="false">IF(5&gt;=3,INDEX(Assumptions!$C$192:$E$192,$D$3)*INDEX(Assumptions!$C$193:$E$193,$B$3)*MIN(1,(5-2)/6),0)*$F$3</f>
        <v>12.75</v>
      </c>
      <c r="H37" s="6" t="n">
        <f aca="false">IF(6&gt;=3,INDEX(Assumptions!$C$192:$E$192,$D$3)*INDEX(Assumptions!$C$193:$E$193,$B$3)*MIN(1,(6-2)/6),0)*$F$3</f>
        <v>17</v>
      </c>
      <c r="I37" s="6" t="n">
        <f aca="false">IF(7&gt;=3,INDEX(Assumptions!$C$192:$E$192,$D$3)*INDEX(Assumptions!$C$193:$E$193,$B$3)*MIN(1,(7-2)/6),0)*$F$3</f>
        <v>21.25</v>
      </c>
      <c r="J37" s="6" t="n">
        <f aca="false">IF(8&gt;=3,INDEX(Assumptions!$C$192:$E$192,$D$3)*INDEX(Assumptions!$C$193:$E$193,$B$3)*MIN(1,(8-2)/6),0)*$F$3</f>
        <v>25.5</v>
      </c>
      <c r="K37" s="6" t="n">
        <f aca="false">IF(9&gt;=3,INDEX(Assumptions!$C$192:$E$192,$D$3)*INDEX(Assumptions!$C$193:$E$193,$B$3)*MIN(1,(9-2)/6),0)*$F$3</f>
        <v>25.5</v>
      </c>
      <c r="L37" s="6" t="n">
        <f aca="false">IF(10&gt;=3,INDEX(Assumptions!$C$192:$E$192,$D$3)*INDEX(Assumptions!$C$193:$E$193,$B$3)*MIN(1,(10-2)/6),0)*$F$3</f>
        <v>25.5</v>
      </c>
      <c r="M37" s="6" t="n">
        <f aca="false">IF(11&gt;=3,INDEX(Assumptions!$C$192:$E$192,$D$3)*INDEX(Assumptions!$C$193:$E$193,$B$3)*MIN(1,(11-2)/6),0)*$F$3</f>
        <v>25.5</v>
      </c>
      <c r="N37" s="6" t="n">
        <f aca="false">IF(12&gt;=3,INDEX(Assumptions!$C$192:$E$192,$D$3)*INDEX(Assumptions!$C$193:$E$193,$B$3)*MIN(1,(12-2)/6),0)*$F$3</f>
        <v>25.5</v>
      </c>
      <c r="O37" s="39" t="n">
        <f aca="false">SUM(C37:N37)</f>
        <v>191.25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10.2666666666667</v>
      </c>
      <c r="D38" s="6" t="n">
        <f aca="false">INDEX(Assumptions!$C$194:$E$194,$D$3)*D10*MIN(1,2/3)*$F$3</f>
        <v>17.6</v>
      </c>
      <c r="E38" s="6" t="n">
        <f aca="false">INDEX(Assumptions!$C$194:$E$194,$D$3)*E10*MIN(1,3/3)*$F$3</f>
        <v>26.4</v>
      </c>
      <c r="F38" s="6" t="n">
        <f aca="false">INDEX(Assumptions!$C$194:$E$194,$D$3)*F10*MIN(1,4/3)*$F$3</f>
        <v>28.6</v>
      </c>
      <c r="G38" s="6" t="n">
        <f aca="false">INDEX(Assumptions!$C$194:$E$194,$D$3)*G10*MIN(1,5/3)*$F$3</f>
        <v>19.8</v>
      </c>
      <c r="H38" s="6" t="n">
        <f aca="false">INDEX(Assumptions!$C$194:$E$194,$D$3)*H10*MIN(1,6/3)*$F$3</f>
        <v>17.6</v>
      </c>
      <c r="I38" s="6" t="n">
        <f aca="false">INDEX(Assumptions!$C$194:$E$194,$D$3)*I10*MIN(1,7/3)*$F$3</f>
        <v>15.4</v>
      </c>
      <c r="J38" s="6" t="n">
        <f aca="false">INDEX(Assumptions!$C$194:$E$194,$D$3)*J10*MIN(1,8/3)*$F$3</f>
        <v>13.2</v>
      </c>
      <c r="K38" s="6" t="n">
        <f aca="false">INDEX(Assumptions!$C$194:$E$194,$D$3)*K10*MIN(1,9/3)*$F$3</f>
        <v>13.2</v>
      </c>
      <c r="L38" s="6" t="n">
        <f aca="false">INDEX(Assumptions!$C$194:$E$194,$D$3)*L10*MIN(1,10/3)*$F$3</f>
        <v>17.6</v>
      </c>
      <c r="M38" s="6" t="n">
        <f aca="false">INDEX(Assumptions!$C$194:$E$194,$D$3)*M10*MIN(1,11/3)*$F$3</f>
        <v>24.2</v>
      </c>
      <c r="N38" s="6" t="n">
        <f aca="false">INDEX(Assumptions!$C$194:$E$194,$D$3)*N10*MIN(1,12/3)*$F$3</f>
        <v>30.8</v>
      </c>
      <c r="O38" s="39" t="n">
        <f aca="false">SUM(C38:N38)</f>
        <v>234.666666666667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3.22467166979362</v>
      </c>
      <c r="E39" s="6" t="n">
        <f aca="false">E19*INDEX(Assumptions!$C$31:$E$31,$B$3)/(INDEX(Assumptions!$C$56:$E$56,$B$3)*INDEX(Assumptions!$C$57:$E$57,$B$3)*INDEX(Assumptions!$C$58:$E$58,$B$3))</f>
        <v>4.11507191994997</v>
      </c>
      <c r="F39" s="6" t="n">
        <f aca="false">F19*INDEX(Assumptions!$C$31:$E$31,$B$3)/(INDEX(Assumptions!$C$56:$E$56,$B$3)*INDEX(Assumptions!$C$57:$E$57,$B$3)*INDEX(Assumptions!$C$58:$E$58,$B$3))</f>
        <v>5.77861163227017</v>
      </c>
      <c r="G39" s="6" t="n">
        <f aca="false">G19*INDEX(Assumptions!$C$31:$E$31,$B$3)/(INDEX(Assumptions!$C$56:$E$56,$B$3)*INDEX(Assumptions!$C$57:$E$57,$B$3)*INDEX(Assumptions!$C$58:$E$58,$B$3))</f>
        <v>9.14634146341463</v>
      </c>
      <c r="H39" s="6" t="n">
        <f aca="false">H19*INDEX(Assumptions!$C$31:$E$31,$B$3)/(INDEX(Assumptions!$C$56:$E$56,$B$3)*INDEX(Assumptions!$C$57:$E$57,$B$3)*INDEX(Assumptions!$C$58:$E$58,$B$3))</f>
        <v>12.1169480925579</v>
      </c>
      <c r="I39" s="6" t="n">
        <f aca="false">I19*INDEX(Assumptions!$C$31:$E$31,$B$3)/(INDEX(Assumptions!$C$56:$E$56,$B$3)*INDEX(Assumptions!$C$57:$E$57,$B$3)*INDEX(Assumptions!$C$58:$E$58,$B$3))</f>
        <v>18.2926829268293</v>
      </c>
      <c r="J39" s="6" t="n">
        <f aca="false">J19*INDEX(Assumptions!$C$31:$E$31,$B$3)/(INDEX(Assumptions!$C$56:$E$56,$B$3)*INDEX(Assumptions!$C$57:$E$57,$B$3)*INDEX(Assumptions!$C$58:$E$58,$B$3))</f>
        <v>18.9962476547842</v>
      </c>
      <c r="K39" s="6" t="n">
        <f aca="false">K19*INDEX(Assumptions!$C$31:$E$31,$B$3)/(INDEX(Assumptions!$C$56:$E$56,$B$3)*INDEX(Assumptions!$C$57:$E$57,$B$3)*INDEX(Assumptions!$C$58:$E$58,$B$3))</f>
        <v>17.5891181988743</v>
      </c>
      <c r="L39" s="6" t="n">
        <f aca="false">L19*INDEX(Assumptions!$C$31:$E$31,$B$3)/(INDEX(Assumptions!$C$56:$E$56,$B$3)*INDEX(Assumptions!$C$57:$E$57,$B$3)*INDEX(Assumptions!$C$58:$E$58,$B$3))</f>
        <v>15.4784240150094</v>
      </c>
      <c r="M39" s="6" t="n">
        <f aca="false">M19*INDEX(Assumptions!$C$31:$E$31,$B$3)/(INDEX(Assumptions!$C$56:$E$56,$B$3)*INDEX(Assumptions!$C$57:$E$57,$B$3)*INDEX(Assumptions!$C$58:$E$58,$B$3))</f>
        <v>14.7748592870544</v>
      </c>
      <c r="N39" s="6" t="n">
        <f aca="false">N19*INDEX(Assumptions!$C$31:$E$31,$B$3)/(INDEX(Assumptions!$C$56:$E$56,$B$3)*INDEX(Assumptions!$C$57:$E$57,$B$3)*INDEX(Assumptions!$C$58:$E$58,$B$3))</f>
        <v>14.0712945590994</v>
      </c>
      <c r="O39" s="39" t="n">
        <f aca="false">SUM(C39:N39)</f>
        <v>134.680781738587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1</v>
      </c>
      <c r="I40" s="27" t="n">
        <f aca="false">IF(7&gt;=INDEX(Assumptions!$C$191:$E$191,$D$3),MAX(INDEX(Assumptions!$C$86:$E$86,$D$3),0.5),0)</f>
        <v>1</v>
      </c>
      <c r="J40" s="27" t="n">
        <f aca="false">IF(8&gt;=INDEX(Assumptions!$C$191:$E$191,$D$3),MAX(INDEX(Assumptions!$C$86:$E$86,$D$3),0.5),0)</f>
        <v>1</v>
      </c>
      <c r="K40" s="27" t="n">
        <f aca="false">IF(9&gt;=INDEX(Assumptions!$C$191:$E$191,$D$3),MAX(INDEX(Assumptions!$C$86:$E$86,$D$3),0.5),0)</f>
        <v>1</v>
      </c>
      <c r="L40" s="27" t="n">
        <f aca="false">IF(10&gt;=INDEX(Assumptions!$C$191:$E$191,$D$3),MAX(INDEX(Assumptions!$C$86:$E$86,$D$3),0.5),0)</f>
        <v>1</v>
      </c>
      <c r="M40" s="27" t="n">
        <f aca="false">IF(11&gt;=INDEX(Assumptions!$C$191:$E$191,$D$3),MAX(INDEX(Assumptions!$C$86:$E$86,$D$3),0.5),0)</f>
        <v>1</v>
      </c>
      <c r="N40" s="27" t="n">
        <f aca="false">IF(12&gt;=INDEX(Assumptions!$C$191:$E$191,$D$3),MAX(INDEX(Assumptions!$C$86:$E$86,$D$3),0.5),0)</f>
        <v>1</v>
      </c>
      <c r="O40" s="35" t="n">
        <f aca="false">SUM(C40:N40)</f>
        <v>7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32</v>
      </c>
      <c r="I41" s="6" t="n">
        <f aca="false">I40*INDEX(Assumptions!$C$82:$E$82,$B$3)*$F$3</f>
        <v>32</v>
      </c>
      <c r="J41" s="6" t="n">
        <f aca="false">J40*INDEX(Assumptions!$C$82:$E$82,$B$3)*$F$3</f>
        <v>32</v>
      </c>
      <c r="K41" s="6" t="n">
        <f aca="false">K40*INDEX(Assumptions!$C$82:$E$82,$B$3)*$F$3</f>
        <v>32</v>
      </c>
      <c r="L41" s="6" t="n">
        <f aca="false">L40*INDEX(Assumptions!$C$82:$E$82,$B$3)*$F$3</f>
        <v>32</v>
      </c>
      <c r="M41" s="6" t="n">
        <f aca="false">M40*INDEX(Assumptions!$C$82:$E$82,$B$3)*$F$3</f>
        <v>32</v>
      </c>
      <c r="N41" s="6" t="n">
        <f aca="false">N40*INDEX(Assumptions!$C$82:$E$82,$B$3)*$F$3</f>
        <v>32</v>
      </c>
      <c r="O41" s="39" t="n">
        <f aca="false">SUM(C41:N41)</f>
        <v>224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0.2975</v>
      </c>
      <c r="F42" s="27" t="n">
        <f aca="false">F37*0.7*INDEX(Assumptions!$C$73:$E$73,$B$3)</f>
        <v>0.595</v>
      </c>
      <c r="G42" s="27" t="n">
        <f aca="false">G37*0.7*INDEX(Assumptions!$C$73:$E$73,$B$3)</f>
        <v>0.8925</v>
      </c>
      <c r="H42" s="27" t="n">
        <f aca="false">H37*0.7*INDEX(Assumptions!$C$73:$E$73,$B$3)</f>
        <v>1.19</v>
      </c>
      <c r="I42" s="27" t="n">
        <f aca="false">I37*0.7*INDEX(Assumptions!$C$73:$E$73,$B$3)</f>
        <v>1.4875</v>
      </c>
      <c r="J42" s="27" t="n">
        <f aca="false">J37*0.7*INDEX(Assumptions!$C$73:$E$73,$B$3)</f>
        <v>1.785</v>
      </c>
      <c r="K42" s="27" t="n">
        <f aca="false">K37*0.7*INDEX(Assumptions!$C$73:$E$73,$B$3)</f>
        <v>1.785</v>
      </c>
      <c r="L42" s="27" t="n">
        <f aca="false">L37*0.7*INDEX(Assumptions!$C$73:$E$73,$B$3)</f>
        <v>1.785</v>
      </c>
      <c r="M42" s="27" t="n">
        <f aca="false">M37*0.7*INDEX(Assumptions!$C$73:$E$73,$B$3)</f>
        <v>1.785</v>
      </c>
      <c r="N42" s="27" t="n">
        <f aca="false">N37*0.7*INDEX(Assumptions!$C$73:$E$73,$B$3)</f>
        <v>1.785</v>
      </c>
      <c r="O42" s="35" t="n">
        <f aca="false">SUM(C42:N42)</f>
        <v>13.3875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104872.881355932</v>
      </c>
      <c r="E47" s="8" t="n">
        <f aca="false">E27*E44/(1+INDEX(Assumptions!$C$15:$E$15,$B$3)*$H$4)</f>
        <v>133830.508474576</v>
      </c>
      <c r="F47" s="8" t="n">
        <f aca="false">F27*F44/(1+INDEX(Assumptions!$C$15:$E$15,$B$3)*$H$4)</f>
        <v>187932.20338983</v>
      </c>
      <c r="G47" s="8" t="n">
        <f aca="false">G27*G44/(1+INDEX(Assumptions!$C$15:$E$15,$B$3)*$H$4)</f>
        <v>297457.627118644</v>
      </c>
      <c r="H47" s="8" t="n">
        <f aca="false">H27*H44/(1+INDEX(Assumptions!$C$15:$E$15,$B$3)*$H$4)</f>
        <v>394067.79661017</v>
      </c>
      <c r="I47" s="8" t="n">
        <f aca="false">I27*I44/(1+INDEX(Assumptions!$C$15:$E$15,$B$3)*$H$4)</f>
        <v>772148.1863199</v>
      </c>
      <c r="J47" s="8" t="n">
        <f aca="false">J27*J44/(1+INDEX(Assumptions!$C$15:$E$15,$B$3)*$H$4)</f>
        <v>376240.212839572</v>
      </c>
      <c r="K47" s="8" t="n">
        <f aca="false">K27*K44/(1+INDEX(Assumptions!$C$15:$E$15,$B$3)*$H$4)</f>
        <v>378557.434145174</v>
      </c>
      <c r="L47" s="8" t="n">
        <f aca="false">L27*L44/(1+INDEX(Assumptions!$C$15:$E$15,$B$3)*$H$4)</f>
        <v>503389.830508475</v>
      </c>
      <c r="M47" s="8" t="n">
        <f aca="false">M27*M44/(1+INDEX(Assumptions!$C$15:$E$15,$B$3)*$H$4)</f>
        <v>457128.146063639</v>
      </c>
      <c r="N47" s="8" t="n">
        <f aca="false">N27*N44/(1+INDEX(Assumptions!$C$15:$E$15,$B$3)*$H$4)</f>
        <v>412544.289794737</v>
      </c>
      <c r="O47" s="37" t="n">
        <f aca="false">SUM(C47:N47)</f>
        <v>4053829.86238336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125413.404279857</v>
      </c>
      <c r="K48" s="8" t="n">
        <f aca="false">K28*K44/(1+INDEX(Assumptions!$C$15:$E$15,$B$3)*$H$4)</f>
        <v>126185.811381725</v>
      </c>
      <c r="L48" s="8" t="n">
        <f aca="false">L28*L44/(1+INDEX(Assumptions!$C$15:$E$15,$B$3)*$H$4)</f>
        <v>167796.610169492</v>
      </c>
      <c r="M48" s="8" t="n">
        <f aca="false">M28*M44/(1+INDEX(Assumptions!$C$15:$E$15,$B$3)*$H$4)</f>
        <v>152376.04868788</v>
      </c>
      <c r="N48" s="8" t="n">
        <f aca="false">N28*N44/(1+INDEX(Assumptions!$C$15:$E$15,$B$3)*$H$4)</f>
        <v>137514.763264912</v>
      </c>
      <c r="O48" s="37" t="n">
        <f aca="false">SUM(C48:N48)</f>
        <v>709286.637783865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7026.48305084746</v>
      </c>
      <c r="F49" s="8" t="n">
        <f aca="false">F30*MAX(0,F44-INDEX(Assumptions!$C$18:$E$18,$B$3)*$H$3)/(1+INDEX(Assumptions!$C$15:$E$15,$B$3)*$H$4)</f>
        <v>8966.64406779661</v>
      </c>
      <c r="G49" s="8" t="n">
        <f aca="false">G30*MAX(0,G44-INDEX(Assumptions!$C$18:$E$18,$B$3)*$H$3)/(1+INDEX(Assumptions!$C$15:$E$15,$B$3)*$H$4)</f>
        <v>12591.4576271186</v>
      </c>
      <c r="H49" s="8" t="n">
        <f aca="false">H30*MAX(0,H44-INDEX(Assumptions!$C$18:$E$18,$B$3)*$H$3)/(1+INDEX(Assumptions!$C$15:$E$15,$B$3)*$H$4)</f>
        <v>19929.6610169492</v>
      </c>
      <c r="I49" s="8" t="n">
        <f aca="false">I30*MAX(0,I44-INDEX(Assumptions!$C$18:$E$18,$B$3)*$H$3)/(1+INDEX(Assumptions!$C$15:$E$15,$B$3)*$H$4)</f>
        <v>51274.4343170015</v>
      </c>
      <c r="J49" s="8" t="n">
        <f aca="false">J30*MAX(0,J44-INDEX(Assumptions!$C$18:$E$18,$B$3)*$H$3)/(1+INDEX(Assumptions!$C$15:$E$15,$B$3)*$H$4)</f>
        <v>47141.6443802919</v>
      </c>
      <c r="K49" s="8" t="n">
        <f aca="false">K30*MAX(0,K44-INDEX(Assumptions!$C$18:$E$18,$B$3)*$H$3)/(1+INDEX(Assumptions!$C$15:$E$15,$B$3)*$H$4)</f>
        <v>33281.1514240292</v>
      </c>
      <c r="L49" s="8" t="n">
        <f aca="false">L30*MAX(0,L44-INDEX(Assumptions!$C$18:$E$18,$B$3)*$H$3)/(1+INDEX(Assumptions!$C$15:$E$15,$B$3)*$H$4)</f>
        <v>50600.5103640716</v>
      </c>
      <c r="M49" s="8" t="n">
        <f aca="false">M30*MAX(0,M44-INDEX(Assumptions!$C$18:$E$18,$B$3)*$H$3)/(1+INDEX(Assumptions!$C$15:$E$15,$B$3)*$H$4)</f>
        <v>64012.4524535464</v>
      </c>
      <c r="N49" s="8" t="n">
        <f aca="false">N30*MAX(0,N44-INDEX(Assumptions!$C$18:$E$18,$B$3)*$H$3)/(1+INDEX(Assumptions!$C$15:$E$15,$B$3)*$H$4)</f>
        <v>55083.294579536</v>
      </c>
      <c r="O49" s="37" t="n">
        <f aca="false">SUM(C49:N49)</f>
        <v>352297.00324729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46493.6440677966</v>
      </c>
      <c r="E50" s="8" t="n">
        <f aca="false">E29*INDEX(Assumptions!$C$18:$E$18,$B$3)*$H$3/(1+INDEX(Assumptions!$C$15:$E$15,$B$3)*$H$4)</f>
        <v>59331.5254237288</v>
      </c>
      <c r="F50" s="8" t="n">
        <f aca="false">F29*INDEX(Assumptions!$C$18:$E$18,$B$3)*$H$3/(1+INDEX(Assumptions!$C$15:$E$15,$B$3)*$H$4)</f>
        <v>83316.6101694915</v>
      </c>
      <c r="G50" s="8" t="n">
        <f aca="false">G29*INDEX(Assumptions!$C$18:$E$18,$B$3)*$H$3/(1+INDEX(Assumptions!$C$15:$E$15,$B$3)*$H$4)</f>
        <v>131872.881355932</v>
      </c>
      <c r="H50" s="8" t="n">
        <f aca="false">H29*INDEX(Assumptions!$C$18:$E$18,$B$3)*$H$3/(1+INDEX(Assumptions!$C$15:$E$15,$B$3)*$H$4)</f>
        <v>174703.389830509</v>
      </c>
      <c r="I50" s="8" t="n">
        <f aca="false">I29*INDEX(Assumptions!$C$18:$E$18,$B$3)*$H$3/(1+INDEX(Assumptions!$C$15:$E$15,$B$3)*$H$4)</f>
        <v>256739.271951367</v>
      </c>
      <c r="J50" s="8" t="n">
        <f aca="false">J29*INDEX(Assumptions!$C$18:$E$18,$B$3)*$H$3/(1+INDEX(Assumptions!$C$15:$E$15,$B$3)*$H$4)</f>
        <v>166799.82769221</v>
      </c>
      <c r="K50" s="8" t="n">
        <f aca="false">K29*INDEX(Assumptions!$C$18:$E$18,$B$3)*$H$3/(1+INDEX(Assumptions!$C$15:$E$15,$B$3)*$H$4)</f>
        <v>167827.129137694</v>
      </c>
      <c r="L50" s="8" t="n">
        <f aca="false">L29*INDEX(Assumptions!$C$18:$E$18,$B$3)*$H$3/(1+INDEX(Assumptions!$C$15:$E$15,$B$3)*$H$4)</f>
        <v>223169.491525424</v>
      </c>
      <c r="M50" s="8" t="n">
        <f aca="false">M29*INDEX(Assumptions!$C$18:$E$18,$B$3)*$H$3/(1+INDEX(Assumptions!$C$15:$E$15,$B$3)*$H$4)</f>
        <v>202660.14475488</v>
      </c>
      <c r="N50" s="8" t="n">
        <f aca="false">N29*INDEX(Assumptions!$C$18:$E$18,$B$3)*$H$3/(1+INDEX(Assumptions!$C$15:$E$15,$B$3)*$H$4)</f>
        <v>182894.635142333</v>
      </c>
      <c r="O50" s="37" t="n">
        <f aca="false">SUM(C50:N50)</f>
        <v>1711618.1483395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2439.01758315579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3112.48207460171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4370.71950901517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6917.94078131459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9164.7933427672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13835.8815626292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14368.0308534995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13303.7322717588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11707.2843991478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11175.1351082774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10642.9858174071</v>
      </c>
      <c r="O51" s="37" t="n">
        <f aca="false">SUM(C51:N51)</f>
        <v>101867.361521058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36016.9491525424</v>
      </c>
      <c r="F52" s="8" t="n">
        <f aca="false">F37*INDEX(Assumptions!$C$21:$E$21,$B$3)*$H$3/(1+INDEX(Assumptions!$C$15:$E$15,$B$3)*$H$4)</f>
        <v>72033.8983050848</v>
      </c>
      <c r="G52" s="8" t="n">
        <f aca="false">G37*INDEX(Assumptions!$C$21:$E$21,$B$3)*$H$3/(1+INDEX(Assumptions!$C$15:$E$15,$B$3)*$H$4)</f>
        <v>108050.847457627</v>
      </c>
      <c r="H52" s="8" t="n">
        <f aca="false">H37*INDEX(Assumptions!$C$21:$E$21,$B$3)*$H$3/(1+INDEX(Assumptions!$C$15:$E$15,$B$3)*$H$4)</f>
        <v>144067.79661017</v>
      </c>
      <c r="I52" s="8" t="n">
        <f aca="false">I37*INDEX(Assumptions!$C$21:$E$21,$B$3)*$H$3/(1+INDEX(Assumptions!$C$15:$E$15,$B$3)*$H$4)</f>
        <v>180084.745762712</v>
      </c>
      <c r="J52" s="8" t="n">
        <f aca="false">J37*INDEX(Assumptions!$C$21:$E$21,$B$3)*$H$3/(1+INDEX(Assumptions!$C$15:$E$15,$B$3)*$H$4)</f>
        <v>216101.694915254</v>
      </c>
      <c r="K52" s="8" t="n">
        <f aca="false">K37*INDEX(Assumptions!$C$21:$E$21,$B$3)*$H$3/(1+INDEX(Assumptions!$C$15:$E$15,$B$3)*$H$4)</f>
        <v>216101.694915254</v>
      </c>
      <c r="L52" s="8" t="n">
        <f aca="false">L37*INDEX(Assumptions!$C$21:$E$21,$B$3)*$H$3/(1+INDEX(Assumptions!$C$15:$E$15,$B$3)*$H$4)</f>
        <v>216101.694915254</v>
      </c>
      <c r="M52" s="8" t="n">
        <f aca="false">M37*INDEX(Assumptions!$C$21:$E$21,$B$3)*$H$3/(1+INDEX(Assumptions!$C$15:$E$15,$B$3)*$H$4)</f>
        <v>216101.694915254</v>
      </c>
      <c r="N52" s="8" t="n">
        <f aca="false">N37*INDEX(Assumptions!$C$21:$E$21,$B$3)*$H$3/(1+INDEX(Assumptions!$C$15:$E$15,$B$3)*$H$4)</f>
        <v>216101.694915254</v>
      </c>
      <c r="O52" s="37" t="n">
        <f aca="false">SUM(C52:N52)</f>
        <v>1620762.71186441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43494.1242937853</v>
      </c>
      <c r="D53" s="8" t="n">
        <f aca="false">D38*INDEX(Assumptions!$C$22:$E$22,$B$3)*$H$3/(1+INDEX(Assumptions!$C$15:$E$15,$B$3)*$H$4)</f>
        <v>74561.3559322034</v>
      </c>
      <c r="E53" s="8" t="n">
        <f aca="false">E38*INDEX(Assumptions!$C$22:$E$22,$B$3)*$H$3/(1+INDEX(Assumptions!$C$15:$E$15,$B$3)*$H$4)</f>
        <v>111842.033898305</v>
      </c>
      <c r="F53" s="8" t="n">
        <f aca="false">F38*INDEX(Assumptions!$C$22:$E$22,$B$3)*$H$3/(1+INDEX(Assumptions!$C$15:$E$15,$B$3)*$H$4)</f>
        <v>121162.203389831</v>
      </c>
      <c r="G53" s="8" t="n">
        <f aca="false">G38*INDEX(Assumptions!$C$22:$E$22,$B$3)*$H$3/(1+INDEX(Assumptions!$C$15:$E$15,$B$3)*$H$4)</f>
        <v>83881.5254237288</v>
      </c>
      <c r="H53" s="8" t="n">
        <f aca="false">H38*INDEX(Assumptions!$C$22:$E$22,$B$3)*$H$3/(1+INDEX(Assumptions!$C$15:$E$15,$B$3)*$H$4)</f>
        <v>74561.3559322034</v>
      </c>
      <c r="I53" s="8" t="n">
        <f aca="false">I38*INDEX(Assumptions!$C$22:$E$22,$B$3)*$H$3/(1+INDEX(Assumptions!$C$15:$E$15,$B$3)*$H$4)</f>
        <v>65241.186440678</v>
      </c>
      <c r="J53" s="8" t="n">
        <f aca="false">J38*INDEX(Assumptions!$C$22:$E$22,$B$3)*$H$3/(1+INDEX(Assumptions!$C$15:$E$15,$B$3)*$H$4)</f>
        <v>55921.0169491525</v>
      </c>
      <c r="K53" s="8" t="n">
        <f aca="false">K38*INDEX(Assumptions!$C$22:$E$22,$B$3)*$H$3/(1+INDEX(Assumptions!$C$15:$E$15,$B$3)*$H$4)</f>
        <v>55921.0169491525</v>
      </c>
      <c r="L53" s="8" t="n">
        <f aca="false">L38*INDEX(Assumptions!$C$22:$E$22,$B$3)*$H$3/(1+INDEX(Assumptions!$C$15:$E$15,$B$3)*$H$4)</f>
        <v>74561.3559322034</v>
      </c>
      <c r="M53" s="8" t="n">
        <f aca="false">M38*INDEX(Assumptions!$C$22:$E$22,$B$3)*$H$3/(1+INDEX(Assumptions!$C$15:$E$15,$B$3)*$H$4)</f>
        <v>102521.86440678</v>
      </c>
      <c r="N53" s="8" t="n">
        <f aca="false">N38*INDEX(Assumptions!$C$22:$E$22,$B$3)*$H$3/(1+INDEX(Assumptions!$C$15:$E$15,$B$3)*$H$4)</f>
        <v>130482.372881356</v>
      </c>
      <c r="O53" s="37" t="n">
        <f aca="false">SUM(C53:N53)</f>
        <v>994151.412429379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40650.8474576271</v>
      </c>
      <c r="I54" s="8" t="n">
        <f aca="false">I41*INDEX(Assumptions!$C$83:$E$83,$B$3)/(1+INDEX(Assumptions!$C$15:$E$15,$B$3)*$H$4)</f>
        <v>40650.8474576271</v>
      </c>
      <c r="J54" s="8" t="n">
        <f aca="false">J41*INDEX(Assumptions!$C$83:$E$83,$B$3)/(1+INDEX(Assumptions!$C$15:$E$15,$B$3)*$H$4)</f>
        <v>40650.8474576271</v>
      </c>
      <c r="K54" s="8" t="n">
        <f aca="false">K41*INDEX(Assumptions!$C$83:$E$83,$B$3)/(1+INDEX(Assumptions!$C$15:$E$15,$B$3)*$H$4)</f>
        <v>40650.8474576271</v>
      </c>
      <c r="L54" s="8" t="n">
        <f aca="false">L41*INDEX(Assumptions!$C$83:$E$83,$B$3)/(1+INDEX(Assumptions!$C$15:$E$15,$B$3)*$H$4)</f>
        <v>40650.8474576271</v>
      </c>
      <c r="M54" s="8" t="n">
        <f aca="false">M41*INDEX(Assumptions!$C$83:$E$83,$B$3)/(1+INDEX(Assumptions!$C$15:$E$15,$B$3)*$H$4)</f>
        <v>40650.8474576271</v>
      </c>
      <c r="N54" s="8" t="n">
        <f aca="false">N41*INDEX(Assumptions!$C$83:$E$83,$B$3)/(1+INDEX(Assumptions!$C$15:$E$15,$B$3)*$H$4)</f>
        <v>40650.8474576271</v>
      </c>
      <c r="O54" s="37" t="n">
        <f aca="false">SUM(C54:N54)</f>
        <v>284555.93220339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2520.9343220339</v>
      </c>
      <c r="F55" s="8" t="n">
        <f aca="false">F42*INDEX(Assumptions!$C$23:$E$23,$B$3)/(1+INDEX(Assumptions!$C$15:$E$15,$B$3)*$H$4)</f>
        <v>5041.8686440678</v>
      </c>
      <c r="G55" s="8" t="n">
        <f aca="false">G42*INDEX(Assumptions!$C$23:$E$23,$B$3)/(1+INDEX(Assumptions!$C$15:$E$15,$B$3)*$H$4)</f>
        <v>7562.8029661017</v>
      </c>
      <c r="H55" s="8" t="n">
        <f aca="false">H42*INDEX(Assumptions!$C$23:$E$23,$B$3)/(1+INDEX(Assumptions!$C$15:$E$15,$B$3)*$H$4)</f>
        <v>10083.7372881356</v>
      </c>
      <c r="I55" s="8" t="n">
        <f aca="false">I42*INDEX(Assumptions!$C$23:$E$23,$B$3)/(1+INDEX(Assumptions!$C$15:$E$15,$B$3)*$H$4)</f>
        <v>12604.6716101695</v>
      </c>
      <c r="J55" s="8" t="n">
        <f aca="false">J42*INDEX(Assumptions!$C$23:$E$23,$B$3)/(1+INDEX(Assumptions!$C$15:$E$15,$B$3)*$H$4)</f>
        <v>15125.6059322034</v>
      </c>
      <c r="K55" s="8" t="n">
        <f aca="false">K42*INDEX(Assumptions!$C$23:$E$23,$B$3)/(1+INDEX(Assumptions!$C$15:$E$15,$B$3)*$H$4)</f>
        <v>15125.6059322034</v>
      </c>
      <c r="L55" s="8" t="n">
        <f aca="false">L42*INDEX(Assumptions!$C$23:$E$23,$B$3)/(1+INDEX(Assumptions!$C$15:$E$15,$B$3)*$H$4)</f>
        <v>15125.6059322034</v>
      </c>
      <c r="M55" s="8" t="n">
        <f aca="false">M42*INDEX(Assumptions!$C$23:$E$23,$B$3)/(1+INDEX(Assumptions!$C$15:$E$15,$B$3)*$H$4)</f>
        <v>15125.6059322034</v>
      </c>
      <c r="N55" s="8" t="n">
        <f aca="false">N42*INDEX(Assumptions!$C$23:$E$23,$B$3)/(1+INDEX(Assumptions!$C$15:$E$15,$B$3)*$H$4)</f>
        <v>15125.6059322034</v>
      </c>
      <c r="O55" s="37" t="n">
        <f aca="false">SUM(C55:N55)</f>
        <v>113442.044491525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10933.6183182898</v>
      </c>
      <c r="J56" s="8" t="n">
        <f aca="false">(J27+J28)*(1-J45)*INDEX(Assumptions!$C$90:$E$90,$B$3)</f>
        <v>7103.41521841111</v>
      </c>
      <c r="K56" s="8" t="n">
        <f aca="false">(K27+K28)*(1-K45)*INDEX(Assumptions!$C$90:$E$90,$B$3)</f>
        <v>7147.16435666088</v>
      </c>
      <c r="L56" s="8" t="n">
        <f aca="false">(L27+L28)*(1-L45)*INDEX(Assumptions!$C$90:$E$90,$B$3)</f>
        <v>9504</v>
      </c>
      <c r="M56" s="8" t="n">
        <f aca="false">(M27+M28)*(1-M45)*INDEX(Assumptions!$C$90:$E$90,$B$3)</f>
        <v>8630.5793976815</v>
      </c>
      <c r="N56" s="8" t="n">
        <f aca="false">(N27+N28)*(1-N45)*INDEX(Assumptions!$C$90:$E$90,$B$3)</f>
        <v>7788.83619132463</v>
      </c>
      <c r="O56" s="37" t="n">
        <f aca="false">SUM(C56:N56)</f>
        <v>51107.6134823679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95793.8255621162</v>
      </c>
      <c r="D57" s="37" t="n">
        <f aca="false">SUM(D47:D56)</f>
        <v>230756.16890519</v>
      </c>
      <c r="E57" s="37" t="n">
        <f aca="false">SUM(E47:E56)</f>
        <v>353680.916396636</v>
      </c>
      <c r="F57" s="37" t="n">
        <f aca="false">SUM(F47:F56)</f>
        <v>482824.147475117</v>
      </c>
      <c r="G57" s="37" t="n">
        <f aca="false">SUM(G47:G56)</f>
        <v>648335.082730467</v>
      </c>
      <c r="H57" s="37" t="n">
        <f aca="false">SUM(H47:H56)</f>
        <v>867229.37808853</v>
      </c>
      <c r="I57" s="37" t="n">
        <f aca="false">SUM(I47:I56)</f>
        <v>1403512.84374037</v>
      </c>
      <c r="J57" s="37" t="n">
        <f aca="false">SUM(J47:J56)</f>
        <v>1064865.70051808</v>
      </c>
      <c r="K57" s="37" t="n">
        <f aca="false">SUM(K47:K56)</f>
        <v>1054101.58797128</v>
      </c>
      <c r="L57" s="37" t="n">
        <f aca="false">SUM(L47:L56)</f>
        <v>1312607.2312039</v>
      </c>
      <c r="M57" s="37" t="n">
        <f aca="false">SUM(M47:M56)</f>
        <v>1270382.51917777</v>
      </c>
      <c r="N57" s="37" t="n">
        <f aca="false">SUM(N47:N56)</f>
        <v>1208829.32597669</v>
      </c>
      <c r="O57" s="31" t="n">
        <f aca="false">SUM(C57:N57)</f>
        <v>9992918.72774614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153755.795389831</v>
      </c>
      <c r="E58" s="8" t="n">
        <f aca="false">E47+E48+E49+E50</f>
        <v>200188.516949153</v>
      </c>
      <c r="F58" s="8" t="n">
        <f aca="false">F47+F48+F49+F50</f>
        <v>280215.457627119</v>
      </c>
      <c r="G58" s="8" t="n">
        <f aca="false">G47+G48+G49+G50</f>
        <v>441921.966101695</v>
      </c>
      <c r="H58" s="8" t="n">
        <f aca="false">H47+H48+H49+H50</f>
        <v>588700.847457627</v>
      </c>
      <c r="I58" s="8" t="n">
        <f aca="false">I47+I48+I49+I50</f>
        <v>1080161.89258827</v>
      </c>
      <c r="J58" s="8" t="n">
        <f aca="false">J47+J48+J49+J50</f>
        <v>715595.089191931</v>
      </c>
      <c r="K58" s="8" t="n">
        <f aca="false">K47+K48+K49+K50</f>
        <v>705851.526088621</v>
      </c>
      <c r="L58" s="8" t="n">
        <f aca="false">L47+L48+L49+L50</f>
        <v>944956.442567461</v>
      </c>
      <c r="M58" s="8" t="n">
        <f aca="false">M47+M48+M49+M50</f>
        <v>876176.791959945</v>
      </c>
      <c r="N58" s="8" t="n">
        <f aca="false">N47+N48+N49+N50</f>
        <v>788036.982781518</v>
      </c>
      <c r="O58" s="37" t="n">
        <f aca="false">SUM(C58:N58)</f>
        <v>6827031.65175402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13216.5936</v>
      </c>
      <c r="E60" s="8" t="n">
        <f aca="false">((E27+E30)*INDEX(Assumptions!$C$91:$E$91,$B$3)+E28*INDEX(Assumptions!$C$93:$E$93,$B$3))*$N$3</f>
        <v>18267</v>
      </c>
      <c r="F60" s="8" t="n">
        <f aca="false">((F27+F30)*INDEX(Assumptions!$C$91:$E$91,$B$3)+F28*INDEX(Assumptions!$C$93:$E$93,$B$3))*$N$3</f>
        <v>25334.4</v>
      </c>
      <c r="G60" s="8" t="n">
        <f aca="false">((G27+G30)*INDEX(Assumptions!$C$91:$E$91,$B$3)+G28*INDEX(Assumptions!$C$93:$E$93,$B$3))*$N$3</f>
        <v>39535.2</v>
      </c>
      <c r="H60" s="8" t="n">
        <f aca="false">((H27+H30)*INDEX(Assumptions!$C$91:$E$91,$B$3)+H28*INDEX(Assumptions!$C$93:$E$93,$B$3))*$N$3</f>
        <v>53520</v>
      </c>
      <c r="I60" s="8" t="n">
        <f aca="false">((I27+I30)*INDEX(Assumptions!$C$91:$E$91,$B$3)+I28*INDEX(Assumptions!$C$93:$E$93,$B$3))*$N$3</f>
        <v>77388.0570071259</v>
      </c>
      <c r="J60" s="8" t="n">
        <f aca="false">((J27+J30)*INDEX(Assumptions!$C$91:$E$91,$B$3)+J28*INDEX(Assumptions!$C$93:$E$93,$B$3))*$N$3</f>
        <v>55494.3795828278</v>
      </c>
      <c r="K60" s="8" t="n">
        <f aca="false">((K27+K30)*INDEX(Assumptions!$C$91:$E$91,$B$3)+K28*INDEX(Assumptions!$C$93:$E$93,$B$3))*$N$3</f>
        <v>53337.7119239593</v>
      </c>
      <c r="L60" s="8" t="n">
        <f aca="false">((L27+L30)*INDEX(Assumptions!$C$91:$E$91,$B$3)+L28*INDEX(Assumptions!$C$93:$E$93,$B$3))*$N$3</f>
        <v>72046.4554458261</v>
      </c>
      <c r="M60" s="8" t="n">
        <f aca="false">((M27+M30)*INDEX(Assumptions!$C$91:$E$91,$B$3)+M28*INDEX(Assumptions!$C$93:$E$93,$B$3))*$N$3</f>
        <v>68614.3905239783</v>
      </c>
      <c r="N60" s="8" t="n">
        <f aca="false">((N27+N30)*INDEX(Assumptions!$C$91:$E$91,$B$3)+N28*INDEX(Assumptions!$C$93:$E$93,$B$3))*$N$3</f>
        <v>61448.1698996763</v>
      </c>
      <c r="O60" s="37" t="n">
        <f aca="false">SUM(C60:N60)</f>
        <v>542410.325983394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24750</v>
      </c>
      <c r="E61" s="8" t="n">
        <f aca="false">(E27+E28)*E45*INDEX(Assumptions!$C$14:$E$14,$B$3)*$N$3</f>
        <v>31584</v>
      </c>
      <c r="F61" s="8" t="n">
        <f aca="false">(F27+F28)*F45*INDEX(Assumptions!$C$14:$E$14,$B$3)*$N$3</f>
        <v>44352</v>
      </c>
      <c r="G61" s="8" t="n">
        <f aca="false">(G27+G28)*G45*INDEX(Assumptions!$C$14:$E$14,$B$3)*$N$3</f>
        <v>70200</v>
      </c>
      <c r="H61" s="8" t="n">
        <f aca="false">(H27+H28)*H45*INDEX(Assumptions!$C$14:$E$14,$B$3)*$N$3</f>
        <v>93000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272301.936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2750</v>
      </c>
      <c r="E62" s="8" t="n">
        <f aca="false">E29*INDEX(Assumptions!$C$92:$E$92,$B$3)*$N$3</f>
        <v>3509.33333333333</v>
      </c>
      <c r="F62" s="8" t="n">
        <f aca="false">F29*INDEX(Assumptions!$C$92:$E$92,$B$3)*$N$3</f>
        <v>4928</v>
      </c>
      <c r="G62" s="8" t="n">
        <f aca="false">G29*INDEX(Assumptions!$C$92:$E$92,$B$3)*$N$3</f>
        <v>7800</v>
      </c>
      <c r="H62" s="8" t="n">
        <f aca="false">H29*INDEX(Assumptions!$C$92:$E$92,$B$3)*$N$3</f>
        <v>10333.3333333333</v>
      </c>
      <c r="I62" s="8" t="n">
        <f aca="false">I29*INDEX(Assumptions!$C$92:$E$92,$B$3)*$N$3</f>
        <v>15185.5809976247</v>
      </c>
      <c r="J62" s="8" t="n">
        <f aca="false">J29*INDEX(Assumptions!$C$92:$E$92,$B$3)*$N$3</f>
        <v>9865.85447001543</v>
      </c>
      <c r="K62" s="8" t="n">
        <f aca="false">K29*INDEX(Assumptions!$C$92:$E$92,$B$3)*$N$3</f>
        <v>9926.617162029</v>
      </c>
      <c r="L62" s="8" t="n">
        <f aca="false">L29*INDEX(Assumptions!$C$92:$E$92,$B$3)*$N$3</f>
        <v>13200</v>
      </c>
      <c r="M62" s="8" t="n">
        <f aca="false">M29*INDEX(Assumptions!$C$92:$E$92,$B$3)*$N$3</f>
        <v>11986.9158301132</v>
      </c>
      <c r="N62" s="8" t="n">
        <f aca="false">N29*INDEX(Assumptions!$C$92:$E$92,$B$3)*$N$3</f>
        <v>10817.8280435064</v>
      </c>
      <c r="O62" s="37" t="n">
        <f aca="false">SUM(C62:N62)</f>
        <v>101238.567169955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4380.794246404</v>
      </c>
      <c r="D63" s="8" t="n">
        <f aca="false">(D37*INDEX(Assumptions!$C$94:$E$94,$B$3)+D38*INDEX(Assumptions!$C$95:$E$95,$B$3)+D39*INDEX(Assumptions!$C$96:$E$96,$B$3))*$N$3</f>
        <v>7846.1679174484</v>
      </c>
      <c r="E63" s="8" t="n">
        <f aca="false">(E37*INDEX(Assumptions!$C$94:$E$94,$B$3)+E38*INDEX(Assumptions!$C$95:$E$95,$B$3)+E39*INDEX(Assumptions!$C$96:$E$96,$B$3))*$N$3</f>
        <v>15838.7679799875</v>
      </c>
      <c r="F63" s="8" t="n">
        <f aca="false">(F37*INDEX(Assumptions!$C$94:$E$94,$B$3)+F38*INDEX(Assumptions!$C$95:$E$95,$B$3)+F39*INDEX(Assumptions!$C$96:$E$96,$B$3))*$N$3</f>
        <v>21384.6529080675</v>
      </c>
      <c r="G63" s="8" t="n">
        <f aca="false">(G37*INDEX(Assumptions!$C$94:$E$94,$B$3)+G38*INDEX(Assumptions!$C$95:$E$95,$B$3)+G39*INDEX(Assumptions!$C$96:$E$96,$B$3))*$N$3</f>
        <v>22956.5853658537</v>
      </c>
      <c r="H63" s="8" t="n">
        <f aca="false">(H37*INDEX(Assumptions!$C$94:$E$94,$B$3)+H38*INDEX(Assumptions!$C$95:$E$95,$B$3)+H39*INDEX(Assumptions!$C$96:$E$96,$B$3))*$N$3</f>
        <v>27069.2370231395</v>
      </c>
      <c r="I63" s="8" t="n">
        <f aca="false">(I37*INDEX(Assumptions!$C$94:$E$94,$B$3)+I38*INDEX(Assumptions!$C$95:$E$95,$B$3)+I39*INDEX(Assumptions!$C$96:$E$96,$B$3))*$N$3</f>
        <v>31983.1707317073</v>
      </c>
      <c r="J63" s="8" t="n">
        <f aca="false">(J37*INDEX(Assumptions!$C$94:$E$94,$B$3)+J38*INDEX(Assumptions!$C$95:$E$95,$B$3)+J39*INDEX(Assumptions!$C$96:$E$96,$B$3))*$N$3</f>
        <v>35529.0619136961</v>
      </c>
      <c r="K63" s="8" t="n">
        <f aca="false">(K37*INDEX(Assumptions!$C$94:$E$94,$B$3)+K38*INDEX(Assumptions!$C$95:$E$95,$B$3)+K39*INDEX(Assumptions!$C$96:$E$96,$B$3))*$N$3</f>
        <v>35177.2795497186</v>
      </c>
      <c r="L63" s="8" t="n">
        <f aca="false">(L37*INDEX(Assumptions!$C$94:$E$94,$B$3)+L38*INDEX(Assumptions!$C$95:$E$95,$B$3)+L39*INDEX(Assumptions!$C$96:$E$96,$B$3))*$N$3</f>
        <v>36409.6060037523</v>
      </c>
      <c r="M63" s="8" t="n">
        <f aca="false">(M37*INDEX(Assumptions!$C$94:$E$94,$B$3)+M38*INDEX(Assumptions!$C$95:$E$95,$B$3)+M39*INDEX(Assumptions!$C$96:$E$96,$B$3))*$N$3</f>
        <v>38873.7148217636</v>
      </c>
      <c r="N63" s="8" t="n">
        <f aca="false">(N37*INDEX(Assumptions!$C$94:$E$94,$B$3)+N38*INDEX(Assumptions!$C$95:$E$95,$B$3)+N39*INDEX(Assumptions!$C$96:$E$96,$B$3))*$N$3</f>
        <v>41337.8236397749</v>
      </c>
      <c r="O63" s="37" t="n">
        <f aca="false">SUM(C63:N63)</f>
        <v>318786.862101313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52000</v>
      </c>
      <c r="I64" s="8" t="n">
        <f aca="false">I40*INDEX(Assumptions!$C$84:$E$84,$B$3)</f>
        <v>52000</v>
      </c>
      <c r="J64" s="8" t="n">
        <f aca="false">J40*INDEX(Assumptions!$C$84:$E$84,$B$3)</f>
        <v>52000</v>
      </c>
      <c r="K64" s="8" t="n">
        <f aca="false">K40*INDEX(Assumptions!$C$84:$E$84,$B$3)</f>
        <v>52000</v>
      </c>
      <c r="L64" s="8" t="n">
        <f aca="false">L40*INDEX(Assumptions!$C$84:$E$84,$B$3)</f>
        <v>52000</v>
      </c>
      <c r="M64" s="8" t="n">
        <f aca="false">M40*INDEX(Assumptions!$C$84:$E$84,$B$3)</f>
        <v>52000</v>
      </c>
      <c r="N64" s="8" t="n">
        <f aca="false">N40*INDEX(Assumptions!$C$84:$E$84,$B$3)</f>
        <v>52000</v>
      </c>
      <c r="O64" s="37" t="n">
        <f aca="false">SUM(C64:N64)</f>
        <v>364000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595</v>
      </c>
      <c r="F65" s="8" t="n">
        <f aca="false">F42*INDEX(Assumptions!$C$97:$E$97,$B$3)</f>
        <v>1190</v>
      </c>
      <c r="G65" s="8" t="n">
        <f aca="false">G42*INDEX(Assumptions!$C$97:$E$97,$B$3)</f>
        <v>1785</v>
      </c>
      <c r="H65" s="8" t="n">
        <f aca="false">H42*INDEX(Assumptions!$C$97:$E$97,$B$3)</f>
        <v>2380</v>
      </c>
      <c r="I65" s="8" t="n">
        <f aca="false">I42*INDEX(Assumptions!$C$97:$E$97,$B$3)</f>
        <v>2975</v>
      </c>
      <c r="J65" s="8" t="n">
        <f aca="false">J42*INDEX(Assumptions!$C$97:$E$97,$B$3)</f>
        <v>3570</v>
      </c>
      <c r="K65" s="8" t="n">
        <f aca="false">K42*INDEX(Assumptions!$C$97:$E$97,$B$3)</f>
        <v>3570</v>
      </c>
      <c r="L65" s="8" t="n">
        <f aca="false">L42*INDEX(Assumptions!$C$97:$E$97,$B$3)</f>
        <v>3570</v>
      </c>
      <c r="M65" s="8" t="n">
        <f aca="false">M42*INDEX(Assumptions!$C$97:$E$97,$B$3)</f>
        <v>3570</v>
      </c>
      <c r="N65" s="8" t="n">
        <f aca="false">N42*INDEX(Assumptions!$C$97:$E$97,$B$3)</f>
        <v>3570</v>
      </c>
      <c r="O65" s="37" t="n">
        <f aca="false">SUM(C65:N65)</f>
        <v>26775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2997.12868326594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7660.80901096248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11255.5665019606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15460.6110804128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21703.221552439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29015.6608228893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50126.5802284248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36463.4526821959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35987.0012731588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45882.4311954301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43889.1462173799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41024.5615717991</v>
      </c>
      <c r="O66" s="37" t="n">
        <f aca="false">SUM(C66:N66)</f>
        <v>341466.170820319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2062.5</v>
      </c>
      <c r="E67" s="8" t="n">
        <f aca="false">E31*INDEX(Assumptions!$C$198:$E$198,$B$3)*INDEX(Assumptions!$C$69:$E$69,$B$3)</f>
        <v>2632</v>
      </c>
      <c r="F67" s="8" t="n">
        <f aca="false">F31*INDEX(Assumptions!$C$198:$E$198,$B$3)*INDEX(Assumptions!$C$69:$E$69,$B$3)</f>
        <v>3696</v>
      </c>
      <c r="G67" s="8" t="n">
        <f aca="false">G31*INDEX(Assumptions!$C$198:$E$198,$B$3)*INDEX(Assumptions!$C$69:$E$69,$B$3)</f>
        <v>5850</v>
      </c>
      <c r="H67" s="8" t="n">
        <f aca="false">H31*INDEX(Assumptions!$C$198:$E$198,$B$3)*INDEX(Assumptions!$C$69:$E$69,$B$3)</f>
        <v>7750</v>
      </c>
      <c r="I67" s="8" t="n">
        <f aca="false">I31*INDEX(Assumptions!$C$198:$E$198,$B$3)*INDEX(Assumptions!$C$69:$E$69,$B$3)</f>
        <v>11389.1857482185</v>
      </c>
      <c r="J67" s="8" t="n">
        <f aca="false">J31*INDEX(Assumptions!$C$198:$E$198,$B$3)*INDEX(Assumptions!$C$69:$E$69,$B$3)</f>
        <v>7399.39085251158</v>
      </c>
      <c r="K67" s="8" t="n">
        <f aca="false">K31*INDEX(Assumptions!$C$198:$E$198,$B$3)*INDEX(Assumptions!$C$69:$E$69,$B$3)</f>
        <v>7444.96287152175</v>
      </c>
      <c r="L67" s="8" t="n">
        <f aca="false">L31*INDEX(Assumptions!$C$198:$E$198,$B$3)*INDEX(Assumptions!$C$69:$E$69,$B$3)</f>
        <v>9900</v>
      </c>
      <c r="M67" s="8" t="n">
        <f aca="false">M31*INDEX(Assumptions!$C$198:$E$198,$B$3)*INDEX(Assumptions!$C$69:$E$69,$B$3)</f>
        <v>8990.1868725849</v>
      </c>
      <c r="N67" s="8" t="n">
        <f aca="false">N31*INDEX(Assumptions!$C$198:$E$198,$B$3)*INDEX(Assumptions!$C$69:$E$69,$B$3)</f>
        <v>8113.37103262982</v>
      </c>
      <c r="O67" s="37" t="n">
        <f aca="false">SUM(C67:N67)</f>
        <v>75928.9253774666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21638.2589296699</v>
      </c>
      <c r="D68" s="37" t="n">
        <f aca="false">SUM(D60:D67)</f>
        <v>58286.0705284109</v>
      </c>
      <c r="E68" s="37" t="n">
        <f aca="false">SUM(E60:E67)</f>
        <v>83681.6678152814</v>
      </c>
      <c r="F68" s="37" t="n">
        <f aca="false">SUM(F60:F67)</f>
        <v>116345.66398848</v>
      </c>
      <c r="G68" s="37" t="n">
        <f aca="false">SUM(G60:G67)</f>
        <v>169830.006918293</v>
      </c>
      <c r="H68" s="37" t="n">
        <f aca="false">SUM(H60:H67)</f>
        <v>275068.231179362</v>
      </c>
      <c r="I68" s="37" t="n">
        <f aca="false">SUM(I60:I67)</f>
        <v>241047.574713101</v>
      </c>
      <c r="J68" s="37" t="n">
        <f aca="false">SUM(J60:J67)</f>
        <v>200322.139501247</v>
      </c>
      <c r="K68" s="37" t="n">
        <f aca="false">SUM(K60:K67)</f>
        <v>197443.572780387</v>
      </c>
      <c r="L68" s="37" t="n">
        <f aca="false">SUM(L60:L67)</f>
        <v>233008.492645009</v>
      </c>
      <c r="M68" s="37" t="n">
        <f aca="false">SUM(M60:M67)</f>
        <v>227924.35426582</v>
      </c>
      <c r="N68" s="37" t="n">
        <f aca="false">SUM(N60:N67)</f>
        <v>218311.754187387</v>
      </c>
      <c r="O68" s="31" t="n">
        <f aca="false">SUM(C68:N68)</f>
        <v>2042907.78745245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74155.5666324462</v>
      </c>
      <c r="D69" s="37" t="n">
        <f aca="false">D57-D68</f>
        <v>172470.098376779</v>
      </c>
      <c r="E69" s="37" t="n">
        <f aca="false">E57-E68</f>
        <v>269999.248581354</v>
      </c>
      <c r="F69" s="37" t="n">
        <f aca="false">F57-F68</f>
        <v>366478.483486637</v>
      </c>
      <c r="G69" s="37" t="n">
        <f aca="false">G57-G68</f>
        <v>478505.075812175</v>
      </c>
      <c r="H69" s="37" t="n">
        <f aca="false">H57-H68</f>
        <v>592161.146909168</v>
      </c>
      <c r="I69" s="37" t="n">
        <f aca="false">I57-I68</f>
        <v>1162465.26902727</v>
      </c>
      <c r="J69" s="37" t="n">
        <f aca="false">J57-J68</f>
        <v>864543.561016832</v>
      </c>
      <c r="K69" s="37" t="n">
        <f aca="false">K57-K68</f>
        <v>856658.015190891</v>
      </c>
      <c r="L69" s="37" t="n">
        <f aca="false">L57-L68</f>
        <v>1079598.73855889</v>
      </c>
      <c r="M69" s="37" t="n">
        <f aca="false">M57-M68</f>
        <v>1042458.16491195</v>
      </c>
      <c r="N69" s="37" t="n">
        <f aca="false">N57-N68</f>
        <v>990517.571789304</v>
      </c>
      <c r="O69" s="31" t="n">
        <f aca="false">SUM(C69:N69)</f>
        <v>7950010.94029369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0.774116350373345</v>
      </c>
      <c r="D70" s="7" t="n">
        <f aca="false">IFERROR(D69/D57,0)</f>
        <v>0.747412730914428</v>
      </c>
      <c r="E70" s="7" t="n">
        <f aca="false">IFERROR(E69/E57,0)</f>
        <v>0.76339784270001</v>
      </c>
      <c r="F70" s="7" t="n">
        <f aca="false">IFERROR(F69/F57,0)</f>
        <v>0.75903097515545</v>
      </c>
      <c r="G70" s="7" t="n">
        <f aca="false">IFERROR(G69/G57,0)</f>
        <v>0.738052110024569</v>
      </c>
      <c r="H70" s="7" t="n">
        <f aca="false">IFERROR(H69/H57,0)</f>
        <v>0.682819519115412</v>
      </c>
      <c r="I70" s="7" t="n">
        <f aca="false">IFERROR(I69/I57,0)</f>
        <v>0.828254101280109</v>
      </c>
      <c r="J70" s="7" t="n">
        <f aca="false">IFERROR(J69/J57,0)</f>
        <v>0.811880371953209</v>
      </c>
      <c r="K70" s="7" t="n">
        <f aca="false">IFERROR(K69/K57,0)</f>
        <v>0.812690185620167</v>
      </c>
      <c r="L70" s="7" t="n">
        <f aca="false">IFERROR(L69/L57,0)</f>
        <v>0.822484222922269</v>
      </c>
      <c r="M70" s="7" t="n">
        <f aca="false">IFERROR(M69/M57,0)</f>
        <v>0.820586043317614</v>
      </c>
      <c r="N70" s="7" t="n">
        <f aca="false">IFERROR(N69/N57,0)</f>
        <v>0.819402334559514</v>
      </c>
      <c r="O70" s="13" t="n">
        <f aca="false">IFERROR(O69/O57,0)</f>
        <v>0.795564454879419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2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3</v>
      </c>
      <c r="I72" s="8" t="n">
        <f aca="false">ROUNDUP(I33/(INDEX(Assumptions!$C$102:$E$102,$B$3)*$J$3),0)</f>
        <v>4</v>
      </c>
      <c r="J72" s="8" t="n">
        <f aca="false">ROUNDUP(J33/(INDEX(Assumptions!$C$102:$E$102,$B$3)*$J$3),0)</f>
        <v>4</v>
      </c>
      <c r="K72" s="8" t="n">
        <f aca="false">ROUNDUP(K33/(INDEX(Assumptions!$C$102:$E$102,$B$3)*$J$3),0)</f>
        <v>4</v>
      </c>
      <c r="L72" s="8" t="n">
        <f aca="false">ROUNDUP(L33/(INDEX(Assumptions!$C$102:$E$102,$B$3)*$J$3),0)</f>
        <v>4</v>
      </c>
      <c r="M72" s="8" t="n">
        <f aca="false">ROUNDUP(M33/(INDEX(Assumptions!$C$102:$E$102,$B$3)*$J$3),0)</f>
        <v>4</v>
      </c>
      <c r="N72" s="8" t="n">
        <f aca="false">ROUNDUP(N33/(INDEX(Assumptions!$C$102:$E$102,$B$3)*$J$3),0)</f>
        <v>4</v>
      </c>
      <c r="O72" s="37" t="n">
        <f aca="false">MAX(C72:N72)</f>
        <v>4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0.0916666666666667</v>
      </c>
      <c r="D73" s="6" t="n">
        <f aca="false">D72*(1-D11)</f>
        <v>0.183333333333333</v>
      </c>
      <c r="E73" s="6" t="n">
        <f aca="false">E72*(1-E11)</f>
        <v>0.275</v>
      </c>
      <c r="F73" s="6" t="n">
        <f aca="false">F72*(1-F11)</f>
        <v>0.733333333333333</v>
      </c>
      <c r="G73" s="6" t="n">
        <f aca="false">G72*(1-G11)</f>
        <v>0.916666666666667</v>
      </c>
      <c r="H73" s="6" t="n">
        <f aca="false">H72*(1-H11)</f>
        <v>1.65</v>
      </c>
      <c r="I73" s="6" t="n">
        <f aca="false">I72*(1-I11)</f>
        <v>2.33333333333333</v>
      </c>
      <c r="J73" s="6" t="n">
        <f aca="false">J72*(1-J11)</f>
        <v>2.46666666666667</v>
      </c>
      <c r="K73" s="6" t="n">
        <f aca="false">K72*(1-K11)</f>
        <v>2.6</v>
      </c>
      <c r="L73" s="6" t="n">
        <f aca="false">L72*(1-L11)</f>
        <v>2.73333333333333</v>
      </c>
      <c r="M73" s="6" t="n">
        <f aca="false">M72*(1-M11)</f>
        <v>2.86666666666667</v>
      </c>
      <c r="N73" s="6" t="n">
        <f aca="false">N72*(1-N11)</f>
        <v>3</v>
      </c>
      <c r="O73" s="39" t="n">
        <f aca="false">MAX(C73:N73)</f>
        <v>3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1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1</v>
      </c>
      <c r="J75" s="8" t="n">
        <f aca="false">IF(J74=0,0,MAX(0,ROUNDUP((J73-J74*INDEX(Assumptions!$C$101:$E$101,$B$3))/INDEX(Assumptions!$C$101:$E$101,$B$3)-0.1,0)))</f>
        <v>1</v>
      </c>
      <c r="K75" s="8" t="n">
        <f aca="false">IF(K74=0,0,MAX(0,ROUNDUP((K73-K74*INDEX(Assumptions!$C$101:$E$101,$B$3))/INDEX(Assumptions!$C$101:$E$101,$B$3)-0.1,0)))</f>
        <v>1</v>
      </c>
      <c r="L75" s="8" t="n">
        <f aca="false">IF(L74=0,0,MAX(0,ROUNDUP((L73-L74*INDEX(Assumptions!$C$101:$E$101,$B$3))/INDEX(Assumptions!$C$101:$E$101,$B$3)-0.1,0)))</f>
        <v>1</v>
      </c>
      <c r="M75" s="8" t="n">
        <f aca="false">IF(M74=0,0,MAX(0,ROUNDUP((M73-M74*INDEX(Assumptions!$C$101:$E$101,$B$3))/INDEX(Assumptions!$C$101:$E$101,$B$3)-0.1,0)))</f>
        <v>1</v>
      </c>
      <c r="N75" s="8" t="n">
        <f aca="false">IF(N74=0,0,MAX(0,ROUNDUP((N73-N74*INDEX(Assumptions!$C$101:$E$101,$B$3))/INDEX(Assumptions!$C$101:$E$101,$B$3)-0.1,0)))</f>
        <v>1</v>
      </c>
      <c r="O75" s="37" t="n">
        <f aca="false">MAX(C75:N75)</f>
        <v>1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2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78000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96000</v>
      </c>
      <c r="I77" s="8" t="n">
        <f aca="false">I74*INDEX(Assumptions!$C$98:$E$98,$B$3)+I75*INDEX(Assumptions!$C$99:$E$99,$B$3)+I76*INDEX(Assumptions!$C$100:$E$100,$B$3)</f>
        <v>134000</v>
      </c>
      <c r="J77" s="8" t="n">
        <f aca="false">J74*INDEX(Assumptions!$C$98:$E$98,$B$3)+J75*INDEX(Assumptions!$C$99:$E$99,$B$3)+J76*INDEX(Assumptions!$C$100:$E$100,$B$3)</f>
        <v>134000</v>
      </c>
      <c r="K77" s="8" t="n">
        <f aca="false">K74*INDEX(Assumptions!$C$98:$E$98,$B$3)+K75*INDEX(Assumptions!$C$99:$E$99,$B$3)+K76*INDEX(Assumptions!$C$100:$E$100,$B$3)</f>
        <v>134000</v>
      </c>
      <c r="L77" s="8" t="n">
        <f aca="false">L74*INDEX(Assumptions!$C$98:$E$98,$B$3)+L75*INDEX(Assumptions!$C$99:$E$99,$B$3)+L76*INDEX(Assumptions!$C$100:$E$100,$B$3)</f>
        <v>134000</v>
      </c>
      <c r="M77" s="8" t="n">
        <f aca="false">M74*INDEX(Assumptions!$C$98:$E$98,$B$3)+M75*INDEX(Assumptions!$C$99:$E$99,$B$3)+M76*INDEX(Assumptions!$C$100:$E$100,$B$3)</f>
        <v>134000</v>
      </c>
      <c r="N77" s="8" t="n">
        <f aca="false">N74*INDEX(Assumptions!$C$98:$E$98,$B$3)+N75*INDEX(Assumptions!$C$99:$E$99,$B$3)+N76*INDEX(Assumptions!$C$100:$E$100,$B$3)</f>
        <v>134000</v>
      </c>
      <c r="O77" s="37" t="n">
        <f aca="false">SUM(C77:N77)</f>
        <v>1290000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50000</v>
      </c>
      <c r="G78" s="8" t="n">
        <f aca="false">(IF(5&gt;=INDEX(Assumptions!$C$164:$E$164,$D$3),1,0)+IF(5&gt;=INDEX(Assumptions!$C$166:$E$166,$D$3),INDEX(Assumptions!$C$165:$E$165,$D$3),0))*INDEX(Assumptions!$C$108:$E$108,$D$3)</f>
        <v>50000</v>
      </c>
      <c r="H78" s="8" t="n">
        <f aca="false">(IF(6&gt;=INDEX(Assumptions!$C$164:$E$164,$D$3),1,0)+IF(6&gt;=INDEX(Assumptions!$C$166:$E$166,$D$3),INDEX(Assumptions!$C$165:$E$165,$D$3),0))*INDEX(Assumptions!$C$108:$E$108,$D$3)</f>
        <v>50000</v>
      </c>
      <c r="I78" s="8" t="n">
        <f aca="false">(IF(7&gt;=INDEX(Assumptions!$C$164:$E$164,$D$3),1,0)+IF(7&gt;=INDEX(Assumptions!$C$166:$E$166,$D$3),INDEX(Assumptions!$C$165:$E$165,$D$3),0))*INDEX(Assumptions!$C$108:$E$108,$D$3)</f>
        <v>50000</v>
      </c>
      <c r="J78" s="8" t="n">
        <f aca="false">(IF(8&gt;=INDEX(Assumptions!$C$164:$E$164,$D$3),1,0)+IF(8&gt;=INDEX(Assumptions!$C$166:$E$166,$D$3),INDEX(Assumptions!$C$165:$E$165,$D$3),0))*INDEX(Assumptions!$C$108:$E$108,$D$3)</f>
        <v>50000</v>
      </c>
      <c r="K78" s="8" t="n">
        <f aca="false">(IF(9&gt;=INDEX(Assumptions!$C$164:$E$164,$D$3),1,0)+IF(9&gt;=INDEX(Assumptions!$C$166:$E$166,$D$3),INDEX(Assumptions!$C$165:$E$165,$D$3),0))*INDEX(Assumptions!$C$108:$E$108,$D$3)</f>
        <v>50000</v>
      </c>
      <c r="L78" s="8" t="n">
        <f aca="false">(IF(10&gt;=INDEX(Assumptions!$C$164:$E$164,$D$3),1,0)+IF(10&gt;=INDEX(Assumptions!$C$166:$E$166,$D$3),INDEX(Assumptions!$C$165:$E$165,$D$3),0))*INDEX(Assumptions!$C$108:$E$108,$D$3)</f>
        <v>50000</v>
      </c>
      <c r="M78" s="8" t="n">
        <f aca="false">(IF(11&gt;=INDEX(Assumptions!$C$164:$E$164,$D$3),1,0)+IF(11&gt;=INDEX(Assumptions!$C$166:$E$166,$D$3),INDEX(Assumptions!$C$165:$E$165,$D$3),0))*INDEX(Assumptions!$C$108:$E$108,$D$3)</f>
        <v>50000</v>
      </c>
      <c r="N78" s="8" t="n">
        <f aca="false">(IF(12&gt;=INDEX(Assumptions!$C$164:$E$164,$D$3),1,0)+IF(12&gt;=INDEX(Assumptions!$C$166:$E$166,$D$3),INDEX(Assumptions!$C$165:$E$165,$D$3),0))*INDEX(Assumptions!$C$108:$E$108,$D$3)</f>
        <v>50000</v>
      </c>
      <c r="O78" s="37" t="n">
        <f aca="false">SUM(C78:N78)</f>
        <v>525000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25000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135000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160000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160000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160000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160000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160000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160000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160000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160000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160000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160000</v>
      </c>
      <c r="O79" s="37" t="n">
        <f aca="false">SUM(C79:N79)</f>
        <v>1760000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18000</v>
      </c>
      <c r="G80" s="8" t="n">
        <f aca="false">IF(5&gt;=INDEX(Assumptions!$C$173:$E$173,$D$3),INDEX(Assumptions!$C$185:$E$185,$D$3),0)</f>
        <v>18000</v>
      </c>
      <c r="H80" s="8" t="n">
        <f aca="false">IF(6&gt;=INDEX(Assumptions!$C$173:$E$173,$D$3),INDEX(Assumptions!$C$185:$E$185,$D$3),0)</f>
        <v>18000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162000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65000</v>
      </c>
      <c r="M81" s="8" t="n">
        <f aca="false">IF(11&gt;=INDEX(Assumptions!$C$187:$E$187,$D$3),INDEX(Assumptions!$C$186:$E$186,$B$3),0)</f>
        <v>65000</v>
      </c>
      <c r="N81" s="8" t="n">
        <f aca="false">IF(12&gt;=INDEX(Assumptions!$C$187:$E$187,$D$3),INDEX(Assumptions!$C$186:$E$186,$B$3),0)</f>
        <v>65000</v>
      </c>
      <c r="O81" s="37" t="n">
        <f aca="false">SUM(C81:N81)</f>
        <v>195000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128000</v>
      </c>
      <c r="D82" s="37" t="n">
        <f aca="false">SUM(D77:D81)</f>
        <v>238000</v>
      </c>
      <c r="E82" s="37" t="n">
        <f aca="false">SUM(E77:E81)</f>
        <v>263000</v>
      </c>
      <c r="F82" s="37" t="n">
        <f aca="false">SUM(F77:F81)</f>
        <v>306000</v>
      </c>
      <c r="G82" s="37" t="n">
        <f aca="false">SUM(G77:G81)</f>
        <v>306000</v>
      </c>
      <c r="H82" s="37" t="n">
        <f aca="false">SUM(H77:H81)</f>
        <v>324000</v>
      </c>
      <c r="I82" s="37" t="n">
        <f aca="false">SUM(I77:I81)</f>
        <v>362000</v>
      </c>
      <c r="J82" s="37" t="n">
        <f aca="false">SUM(J77:J81)</f>
        <v>362000</v>
      </c>
      <c r="K82" s="37" t="n">
        <f aca="false">SUM(K77:K81)</f>
        <v>362000</v>
      </c>
      <c r="L82" s="37" t="n">
        <f aca="false">SUM(L77:L81)</f>
        <v>427000</v>
      </c>
      <c r="M82" s="37" t="n">
        <f aca="false">SUM(M77:M81)</f>
        <v>427000</v>
      </c>
      <c r="N82" s="37" t="n">
        <f aca="false">SUM(N77:N81)</f>
        <v>427000</v>
      </c>
      <c r="O82" s="31" t="n">
        <f aca="false">SUM(C82:N82)</f>
        <v>3932000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128000</v>
      </c>
      <c r="G84" s="8" t="n">
        <f aca="false">IF(5&gt;=INDEX(Assumptions!$C$173:$E$173,$D$3),INDEX(Assumptions!$C$174:$E$174,$D$3)*INDEX(Assumptions!$C$175:$E$175,$B$3),INDEX(Assumptions!$C$179:$E$179,$B$3))*$F$4</f>
        <v>128000</v>
      </c>
      <c r="H84" s="8" t="n">
        <f aca="false">IF(6&gt;=INDEX(Assumptions!$C$173:$E$173,$D$3),INDEX(Assumptions!$C$174:$E$174,$D$3)*INDEX(Assumptions!$C$175:$E$175,$B$3),INDEX(Assumptions!$C$179:$E$179,$B$3))*$F$4</f>
        <v>128000</v>
      </c>
      <c r="I84" s="8" t="n">
        <f aca="false">IF(7&gt;=INDEX(Assumptions!$C$173:$E$173,$D$3),INDEX(Assumptions!$C$174:$E$174,$D$3)*INDEX(Assumptions!$C$175:$E$175,$B$3),INDEX(Assumptions!$C$179:$E$179,$B$3))*$F$4</f>
        <v>128000</v>
      </c>
      <c r="J84" s="8" t="n">
        <f aca="false">IF(8&gt;=INDEX(Assumptions!$C$173:$E$173,$D$3),INDEX(Assumptions!$C$174:$E$174,$D$3)*INDEX(Assumptions!$C$175:$E$175,$B$3),INDEX(Assumptions!$C$179:$E$179,$B$3))*$F$4</f>
        <v>128000</v>
      </c>
      <c r="K84" s="8" t="n">
        <f aca="false">IF(9&gt;=INDEX(Assumptions!$C$173:$E$173,$D$3),INDEX(Assumptions!$C$174:$E$174,$D$3)*INDEX(Assumptions!$C$175:$E$175,$B$3),INDEX(Assumptions!$C$179:$E$179,$B$3))*$F$4</f>
        <v>128000</v>
      </c>
      <c r="L84" s="8" t="n">
        <f aca="false">IF(10&gt;=INDEX(Assumptions!$C$173:$E$173,$D$3),INDEX(Assumptions!$C$174:$E$174,$D$3)*INDEX(Assumptions!$C$175:$E$175,$B$3),INDEX(Assumptions!$C$179:$E$179,$B$3))*$F$4</f>
        <v>128000</v>
      </c>
      <c r="M84" s="8" t="n">
        <f aca="false">IF(11&gt;=INDEX(Assumptions!$C$173:$E$173,$D$3),INDEX(Assumptions!$C$174:$E$174,$D$3)*INDEX(Assumptions!$C$175:$E$175,$B$3),INDEX(Assumptions!$C$179:$E$179,$B$3))*$F$4</f>
        <v>128000</v>
      </c>
      <c r="N84" s="8" t="n">
        <f aca="false">IF(12&gt;=INDEX(Assumptions!$C$173:$E$173,$D$3),INDEX(Assumptions!$C$174:$E$174,$D$3)*INDEX(Assumptions!$C$175:$E$175,$B$3),INDEX(Assumptions!$C$179:$E$179,$B$3))*$F$4</f>
        <v>128000</v>
      </c>
      <c r="O84" s="37" t="n">
        <f aca="false">SUM(C84:N84)</f>
        <v>1257000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19200</v>
      </c>
      <c r="G85" s="8" t="n">
        <f aca="false">IF(5&gt;=INDEX(Assumptions!$C$173:$E$173,$D$3),INDEX(Assumptions!$C$174:$E$174,$D$3)*INDEX(Assumptions!$C$181:$E$181,$B$3),INDEX(Assumptions!$C$180:$E$180,$B$3))</f>
        <v>19200</v>
      </c>
      <c r="H85" s="8" t="n">
        <f aca="false">IF(6&gt;=INDEX(Assumptions!$C$173:$E$173,$D$3),INDEX(Assumptions!$C$174:$E$174,$D$3)*INDEX(Assumptions!$C$181:$E$181,$B$3),INDEX(Assumptions!$C$180:$E$180,$B$3))</f>
        <v>19200</v>
      </c>
      <c r="I85" s="8" t="n">
        <f aca="false">IF(7&gt;=INDEX(Assumptions!$C$173:$E$173,$D$3),INDEX(Assumptions!$C$174:$E$174,$D$3)*INDEX(Assumptions!$C$181:$E$181,$B$3),INDEX(Assumptions!$C$180:$E$180,$B$3))</f>
        <v>19200</v>
      </c>
      <c r="J85" s="8" t="n">
        <f aca="false">IF(8&gt;=INDEX(Assumptions!$C$173:$E$173,$D$3),INDEX(Assumptions!$C$174:$E$174,$D$3)*INDEX(Assumptions!$C$181:$E$181,$B$3),INDEX(Assumptions!$C$180:$E$180,$B$3))</f>
        <v>19200</v>
      </c>
      <c r="K85" s="8" t="n">
        <f aca="false">IF(9&gt;=INDEX(Assumptions!$C$173:$E$173,$D$3),INDEX(Assumptions!$C$174:$E$174,$D$3)*INDEX(Assumptions!$C$181:$E$181,$B$3),INDEX(Assumptions!$C$180:$E$180,$B$3))</f>
        <v>19200</v>
      </c>
      <c r="L85" s="8" t="n">
        <f aca="false">IF(10&gt;=INDEX(Assumptions!$C$173:$E$173,$D$3),INDEX(Assumptions!$C$174:$E$174,$D$3)*INDEX(Assumptions!$C$181:$E$181,$B$3),INDEX(Assumptions!$C$180:$E$180,$B$3))</f>
        <v>19200</v>
      </c>
      <c r="M85" s="8" t="n">
        <f aca="false">IF(11&gt;=INDEX(Assumptions!$C$173:$E$173,$D$3),INDEX(Assumptions!$C$174:$E$174,$D$3)*INDEX(Assumptions!$C$181:$E$181,$B$3),INDEX(Assumptions!$C$180:$E$180,$B$3))</f>
        <v>19200</v>
      </c>
      <c r="N85" s="8" t="n">
        <f aca="false">IF(12&gt;=INDEX(Assumptions!$C$173:$E$173,$D$3),INDEX(Assumptions!$C$174:$E$174,$D$3)*INDEX(Assumptions!$C$181:$E$181,$B$3),INDEX(Assumptions!$C$180:$E$180,$B$3))</f>
        <v>19200</v>
      </c>
      <c r="O85" s="37" t="n">
        <f aca="false">SUM(C85:N85)</f>
        <v>202800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30000</v>
      </c>
      <c r="D86" s="8" t="n">
        <f aca="false">INDEX(Assumptions!$C$107:$E$107,$D$3)+IF(2&gt;=INDEX(Assumptions!$C$189:$E$189,$D$3)-1,INDEX(Assumptions!$C$188:$E$188,$D$3),0)</f>
        <v>30000</v>
      </c>
      <c r="E86" s="8" t="n">
        <f aca="false">INDEX(Assumptions!$C$107:$E$107,$D$3)+IF(3&gt;=INDEX(Assumptions!$C$189:$E$189,$D$3)-1,INDEX(Assumptions!$C$188:$E$188,$D$3),0)</f>
        <v>30000</v>
      </c>
      <c r="F86" s="8" t="n">
        <f aca="false">INDEX(Assumptions!$C$107:$E$107,$D$3)+IF(4&gt;=INDEX(Assumptions!$C$189:$E$189,$D$3)-1,INDEX(Assumptions!$C$188:$E$188,$D$3),0)</f>
        <v>30000</v>
      </c>
      <c r="G86" s="8" t="n">
        <f aca="false">INDEX(Assumptions!$C$107:$E$107,$D$3)+IF(5&gt;=INDEX(Assumptions!$C$189:$E$189,$D$3)-1,INDEX(Assumptions!$C$188:$E$188,$D$3),0)</f>
        <v>30000</v>
      </c>
      <c r="H86" s="8" t="n">
        <f aca="false">INDEX(Assumptions!$C$107:$E$107,$D$3)+IF(6&gt;=INDEX(Assumptions!$C$189:$E$189,$D$3)-1,INDEX(Assumptions!$C$188:$E$188,$D$3),0)</f>
        <v>30000</v>
      </c>
      <c r="I86" s="8" t="n">
        <f aca="false">INDEX(Assumptions!$C$107:$E$107,$D$3)+IF(7&gt;=INDEX(Assumptions!$C$189:$E$189,$D$3)-1,INDEX(Assumptions!$C$188:$E$188,$D$3),0)</f>
        <v>38000</v>
      </c>
      <c r="J86" s="8" t="n">
        <f aca="false">INDEX(Assumptions!$C$107:$E$107,$D$3)+IF(8&gt;=INDEX(Assumptions!$C$189:$E$189,$D$3)-1,INDEX(Assumptions!$C$188:$E$188,$D$3),0)</f>
        <v>38000</v>
      </c>
      <c r="K86" s="8" t="n">
        <f aca="false">INDEX(Assumptions!$C$107:$E$107,$D$3)+IF(9&gt;=INDEX(Assumptions!$C$189:$E$189,$D$3)-1,INDEX(Assumptions!$C$188:$E$188,$D$3),0)</f>
        <v>38000</v>
      </c>
      <c r="L86" s="8" t="n">
        <f aca="false">INDEX(Assumptions!$C$107:$E$107,$D$3)+IF(10&gt;=INDEX(Assumptions!$C$189:$E$189,$D$3)-1,INDEX(Assumptions!$C$188:$E$188,$D$3),0)</f>
        <v>38000</v>
      </c>
      <c r="M86" s="8" t="n">
        <f aca="false">INDEX(Assumptions!$C$107:$E$107,$D$3)+IF(11&gt;=INDEX(Assumptions!$C$189:$E$189,$D$3)-1,INDEX(Assumptions!$C$188:$E$188,$D$3),0)</f>
        <v>38000</v>
      </c>
      <c r="N86" s="8" t="n">
        <f aca="false">INDEX(Assumptions!$C$107:$E$107,$D$3)+IF(12&gt;=INDEX(Assumptions!$C$189:$E$189,$D$3)-1,INDEX(Assumptions!$C$188:$E$188,$D$3),0)</f>
        <v>38000</v>
      </c>
      <c r="O86" s="37" t="n">
        <f aca="false">SUM(C86:N86)</f>
        <v>408000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50000</v>
      </c>
      <c r="E87" s="8" t="n">
        <f aca="false">E15</f>
        <v>60000</v>
      </c>
      <c r="F87" s="8" t="n">
        <f aca="false">F15</f>
        <v>70000</v>
      </c>
      <c r="G87" s="8" t="n">
        <f aca="false">G15</f>
        <v>120000</v>
      </c>
      <c r="H87" s="8" t="n">
        <f aca="false">H15</f>
        <v>170000</v>
      </c>
      <c r="I87" s="8" t="n">
        <f aca="false">I15</f>
        <v>200000</v>
      </c>
      <c r="J87" s="8" t="n">
        <f aca="false">J15</f>
        <v>200000</v>
      </c>
      <c r="K87" s="8" t="n">
        <f aca="false">K15</f>
        <v>200000</v>
      </c>
      <c r="L87" s="8" t="n">
        <f aca="false">L15</f>
        <v>200000</v>
      </c>
      <c r="M87" s="8" t="n">
        <f aca="false">M15</f>
        <v>200000</v>
      </c>
      <c r="N87" s="8" t="n">
        <f aca="false">N15</f>
        <v>200000</v>
      </c>
      <c r="O87" s="37" t="n">
        <f aca="false">SUM(C87:N87)</f>
        <v>1685000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19167</v>
      </c>
      <c r="D88" s="8" t="n">
        <f aca="false">INDEX(Assumptions!$C$170:$E$170,$D$3)</f>
        <v>19167</v>
      </c>
      <c r="E88" s="8" t="n">
        <f aca="false">INDEX(Assumptions!$C$170:$E$170,$D$3)</f>
        <v>19167</v>
      </c>
      <c r="F88" s="8" t="n">
        <f aca="false">INDEX(Assumptions!$C$170:$E$170,$D$3)</f>
        <v>19167</v>
      </c>
      <c r="G88" s="8" t="n">
        <f aca="false">INDEX(Assumptions!$C$170:$E$170,$D$3)</f>
        <v>19167</v>
      </c>
      <c r="H88" s="8" t="n">
        <f aca="false">INDEX(Assumptions!$C$170:$E$170,$D$3)</f>
        <v>19167</v>
      </c>
      <c r="I88" s="8" t="n">
        <f aca="false">INDEX(Assumptions!$C$170:$E$170,$D$3)</f>
        <v>19167</v>
      </c>
      <c r="J88" s="8" t="n">
        <f aca="false">INDEX(Assumptions!$C$170:$E$170,$D$3)</f>
        <v>19167</v>
      </c>
      <c r="K88" s="8" t="n">
        <f aca="false">INDEX(Assumptions!$C$170:$E$170,$D$3)</f>
        <v>19167</v>
      </c>
      <c r="L88" s="8" t="n">
        <f aca="false">INDEX(Assumptions!$C$170:$E$170,$D$3)</f>
        <v>19167</v>
      </c>
      <c r="M88" s="8" t="n">
        <f aca="false">INDEX(Assumptions!$C$170:$E$170,$D$3)</f>
        <v>19167</v>
      </c>
      <c r="N88" s="8" t="n">
        <f aca="false">INDEX(Assumptions!$C$170:$E$170,$D$3)</f>
        <v>19167</v>
      </c>
      <c r="O88" s="37" t="n">
        <f aca="false">SUM(C88:N88)</f>
        <v>230004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20000</v>
      </c>
      <c r="D89" s="8" t="n">
        <f aca="false">INDEX(Assumptions!$C$195:$E$195,$D$3)</f>
        <v>20000</v>
      </c>
      <c r="E89" s="8" t="n">
        <f aca="false">INDEX(Assumptions!$C$195:$E$195,$D$3)</f>
        <v>20000</v>
      </c>
      <c r="F89" s="8" t="n">
        <f aca="false">INDEX(Assumptions!$C$195:$E$195,$D$3)</f>
        <v>20000</v>
      </c>
      <c r="G89" s="8" t="n">
        <f aca="false">INDEX(Assumptions!$C$195:$E$195,$D$3)</f>
        <v>20000</v>
      </c>
      <c r="H89" s="8" t="n">
        <f aca="false">INDEX(Assumptions!$C$195:$E$195,$D$3)</f>
        <v>20000</v>
      </c>
      <c r="I89" s="8" t="n">
        <f aca="false">INDEX(Assumptions!$C$195:$E$195,$D$3)</f>
        <v>20000</v>
      </c>
      <c r="J89" s="8" t="n">
        <f aca="false">INDEX(Assumptions!$C$195:$E$195,$D$3)</f>
        <v>20000</v>
      </c>
      <c r="K89" s="8" t="n">
        <f aca="false">INDEX(Assumptions!$C$195:$E$195,$D$3)</f>
        <v>20000</v>
      </c>
      <c r="L89" s="8" t="n">
        <f aca="false">INDEX(Assumptions!$C$195:$E$195,$D$3)</f>
        <v>20000</v>
      </c>
      <c r="M89" s="8" t="n">
        <f aca="false">INDEX(Assumptions!$C$195:$E$195,$D$3)</f>
        <v>20000</v>
      </c>
      <c r="N89" s="8" t="n">
        <f aca="false">INDEX(Assumptions!$C$195:$E$195,$D$3)</f>
        <v>20000</v>
      </c>
      <c r="O89" s="37" t="n">
        <f aca="false">SUM(C89:N89)</f>
        <v>240000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250000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200000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450000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507167</v>
      </c>
      <c r="D91" s="37" t="n">
        <f aca="false">D82+SUM(D84:D90)</f>
        <v>402167</v>
      </c>
      <c r="E91" s="37" t="n">
        <f aca="false">E82+SUM(E84:E90)</f>
        <v>637167</v>
      </c>
      <c r="F91" s="37" t="n">
        <f aca="false">F82+SUM(F84:F90)</f>
        <v>592367</v>
      </c>
      <c r="G91" s="37" t="n">
        <f aca="false">G82+SUM(G84:G90)</f>
        <v>642367</v>
      </c>
      <c r="H91" s="37" t="n">
        <f aca="false">H82+SUM(H84:H90)</f>
        <v>710367</v>
      </c>
      <c r="I91" s="37" t="n">
        <f aca="false">I82+SUM(I84:I90)</f>
        <v>786367</v>
      </c>
      <c r="J91" s="37" t="n">
        <f aca="false">J82+SUM(J84:J90)</f>
        <v>786367</v>
      </c>
      <c r="K91" s="37" t="n">
        <f aca="false">K82+SUM(K84:K90)</f>
        <v>786367</v>
      </c>
      <c r="L91" s="37" t="n">
        <f aca="false">L82+SUM(L84:L90)</f>
        <v>851367</v>
      </c>
      <c r="M91" s="37" t="n">
        <f aca="false">M82+SUM(M84:M90)</f>
        <v>851367</v>
      </c>
      <c r="N91" s="37" t="n">
        <f aca="false">N82+SUM(N84:N90)</f>
        <v>851367</v>
      </c>
      <c r="O91" s="31" t="n">
        <f aca="false">SUM(C91:N91)</f>
        <v>8404804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-433011.433367554</v>
      </c>
      <c r="D92" s="37" t="n">
        <f aca="false">D69-D91</f>
        <v>-229696.901623221</v>
      </c>
      <c r="E92" s="37" t="n">
        <f aca="false">E69-E91</f>
        <v>-367167.751418646</v>
      </c>
      <c r="F92" s="37" t="n">
        <f aca="false">F69-F91</f>
        <v>-225888.516513363</v>
      </c>
      <c r="G92" s="37" t="n">
        <f aca="false">G69-G91</f>
        <v>-163861.924187826</v>
      </c>
      <c r="H92" s="37" t="n">
        <f aca="false">H69-H91</f>
        <v>-118205.853090832</v>
      </c>
      <c r="I92" s="37" t="n">
        <f aca="false">I69-I91</f>
        <v>376098.269027273</v>
      </c>
      <c r="J92" s="37" t="n">
        <f aca="false">J69-J91</f>
        <v>78176.5610168319</v>
      </c>
      <c r="K92" s="37" t="n">
        <f aca="false">K69-K91</f>
        <v>70291.0151908908</v>
      </c>
      <c r="L92" s="37" t="n">
        <f aca="false">L69-L91</f>
        <v>228231.738558889</v>
      </c>
      <c r="M92" s="37" t="n">
        <f aca="false">M69-M91</f>
        <v>191091.164911948</v>
      </c>
      <c r="N92" s="37" t="n">
        <f aca="false">N69-N91</f>
        <v>139150.571789304</v>
      </c>
      <c r="O92" s="31" t="n">
        <f aca="false">SUM(C92:N92)</f>
        <v>-454793.059706306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-4.52024366734131</v>
      </c>
      <c r="D93" s="7" t="n">
        <f aca="false">IFERROR(D92/D57,0)</f>
        <v>-0.995409581953999</v>
      </c>
      <c r="E93" s="7" t="n">
        <f aca="false">IFERROR(E92/E57,0)</f>
        <v>-1.03813277560864</v>
      </c>
      <c r="F93" s="7" t="n">
        <f aca="false">IFERROR(F92/F57,0)</f>
        <v>-0.467848424099387</v>
      </c>
      <c r="G93" s="7" t="n">
        <f aca="false">IFERROR(G92/G57,0)</f>
        <v>-0.252742645820923</v>
      </c>
      <c r="H93" s="7" t="n">
        <f aca="false">IFERROR(H92/H57,0)</f>
        <v>-0.136302869895126</v>
      </c>
      <c r="I93" s="7" t="n">
        <f aca="false">IFERROR(I92/I57,0)</f>
        <v>0.267969239258949</v>
      </c>
      <c r="J93" s="7" t="n">
        <f aca="false">IFERROR(J92/J57,0)</f>
        <v>0.0734144793834541</v>
      </c>
      <c r="K93" s="7" t="n">
        <f aca="false">IFERROR(K92/K57,0)</f>
        <v>0.0666833405745766</v>
      </c>
      <c r="L93" s="7" t="n">
        <f aca="false">IFERROR(L92/L57,0)</f>
        <v>0.173876642710218</v>
      </c>
      <c r="M93" s="7" t="n">
        <f aca="false">IFERROR(M92/M57,0)</f>
        <v>0.150420178196114</v>
      </c>
      <c r="N93" s="7" t="n">
        <f aca="false">IFERROR(N92/N57,0)</f>
        <v>0.115111843168493</v>
      </c>
      <c r="O93" s="7" t="n">
        <f aca="false">IFERROR(O92/O57,0)</f>
        <v>-0.0455115339268733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-508011.433367554</v>
      </c>
      <c r="D94" s="8" t="n">
        <f aca="false">D92-INDEX(Assumptions!$C$163:$E$163,$B$3)</f>
        <v>-304696.901623221</v>
      </c>
      <c r="E94" s="8" t="n">
        <f aca="false">E92-INDEX(Assumptions!$C$163:$E$163,$B$3)</f>
        <v>-442167.751418646</v>
      </c>
      <c r="F94" s="8" t="n">
        <f aca="false">F92-INDEX(Assumptions!$C$163:$E$163,$B$3)</f>
        <v>-300888.516513363</v>
      </c>
      <c r="G94" s="8" t="n">
        <f aca="false">G92-INDEX(Assumptions!$C$163:$E$163,$B$3)</f>
        <v>-238861.924187826</v>
      </c>
      <c r="H94" s="8" t="n">
        <f aca="false">H92-INDEX(Assumptions!$C$163:$E$163,$B$3)</f>
        <v>-193205.853090832</v>
      </c>
      <c r="I94" s="8" t="n">
        <f aca="false">I92-INDEX(Assumptions!$C$163:$E$163,$B$3)</f>
        <v>301098.269027273</v>
      </c>
      <c r="J94" s="8" t="n">
        <f aca="false">J92-INDEX(Assumptions!$C$163:$E$163,$B$3)</f>
        <v>3176.5610168319</v>
      </c>
      <c r="K94" s="8" t="n">
        <f aca="false">K92-INDEX(Assumptions!$C$163:$E$163,$B$3)</f>
        <v>-4708.98480910924</v>
      </c>
      <c r="L94" s="8" t="n">
        <f aca="false">L92-INDEX(Assumptions!$C$163:$E$163,$B$3)</f>
        <v>153231.738558889</v>
      </c>
      <c r="M94" s="8" t="n">
        <f aca="false">M92-INDEX(Assumptions!$C$163:$E$163,$B$3)</f>
        <v>116091.164911948</v>
      </c>
      <c r="N94" s="8" t="n">
        <f aca="false">N92-INDEX(Assumptions!$C$163:$E$163,$B$3)</f>
        <v>64150.5717893038</v>
      </c>
      <c r="O94" s="37" t="n">
        <f aca="false">SUM(C94:N94)</f>
        <v>-1354793.05970631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1280000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1280000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240000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240000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384000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384000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250000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250000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550000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550000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250000</v>
      </c>
      <c r="D101" s="37" t="n">
        <f aca="false">SUM(D96:D100)</f>
        <v>0</v>
      </c>
      <c r="E101" s="37" t="n">
        <f aca="false">SUM(E96:E100)</f>
        <v>1904000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550000</v>
      </c>
      <c r="I101" s="37" t="n">
        <f aca="false">SUM(I96:I100)</f>
        <v>0</v>
      </c>
      <c r="J101" s="37" t="n">
        <f aca="false">SUM(J96:J100)</f>
        <v>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2704000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-51142.7261694915</v>
      </c>
      <c r="E102" s="8" t="n">
        <f aca="false">((E58+IF(INDEX(Assumptions!$C$87:$E$87,$B$3)&gt;=2,D58,0)+IF(INDEX(Assumptions!$C$87:$E$87,$B$3)&gt;=3,C58,0))/INDEX(Assumptions!$C$87:$E$87,$B$3))-E58</f>
        <v>-23216.360779661</v>
      </c>
      <c r="F102" s="8" t="n">
        <f aca="false">((F58+IF(INDEX(Assumptions!$C$87:$E$87,$B$3)&gt;=2,E58,0)+IF(INDEX(Assumptions!$C$87:$E$87,$B$3)&gt;=3,D58,0))/INDEX(Assumptions!$C$87:$E$87,$B$3))-F58</f>
        <v>-40013.470338983</v>
      </c>
      <c r="G102" s="8" t="n">
        <f aca="false">((G58+IF(INDEX(Assumptions!$C$87:$E$87,$B$3)&gt;=2,F58,0)+IF(INDEX(Assumptions!$C$87:$E$87,$B$3)&gt;=3,E58,0))/INDEX(Assumptions!$C$87:$E$87,$B$3))-G58</f>
        <v>-80853.2542372881</v>
      </c>
      <c r="H102" s="8" t="n">
        <f aca="false">((H58+IF(INDEX(Assumptions!$C$87:$E$87,$B$3)&gt;=2,G58,0)+IF(INDEX(Assumptions!$C$87:$E$87,$B$3)&gt;=3,F58,0))/INDEX(Assumptions!$C$87:$E$87,$B$3))-H58</f>
        <v>-73389.4406779661</v>
      </c>
      <c r="I102" s="8" t="n">
        <f aca="false">((I58+IF(INDEX(Assumptions!$C$87:$E$87,$B$3)&gt;=2,H58,0)+IF(INDEX(Assumptions!$C$87:$E$87,$B$3)&gt;=3,G58,0))/INDEX(Assumptions!$C$87:$E$87,$B$3))-I58</f>
        <v>-245730.522565321</v>
      </c>
      <c r="J102" s="8" t="n">
        <f aca="false">((J58+IF(INDEX(Assumptions!$C$87:$E$87,$B$3)&gt;=2,I58,0)+IF(INDEX(Assumptions!$C$87:$E$87,$B$3)&gt;=3,H58,0))/INDEX(Assumptions!$C$87:$E$87,$B$3))-J58</f>
        <v>182283.401698169</v>
      </c>
      <c r="K102" s="8" t="n">
        <f aca="false">((K58+IF(INDEX(Assumptions!$C$87:$E$87,$B$3)&gt;=2,J58,0)+IF(INDEX(Assumptions!$C$87:$E$87,$B$3)&gt;=3,I58,0))/INDEX(Assumptions!$C$87:$E$87,$B$3))-K58</f>
        <v>4871.78155165492</v>
      </c>
      <c r="L102" s="8" t="n">
        <f aca="false">((L58+IF(INDEX(Assumptions!$C$87:$E$87,$B$3)&gt;=2,K58,0)+IF(INDEX(Assumptions!$C$87:$E$87,$B$3)&gt;=3,J58,0))/INDEX(Assumptions!$C$87:$E$87,$B$3))-L58</f>
        <v>-119552.45823942</v>
      </c>
      <c r="M102" s="8" t="n">
        <f aca="false">((M58+IF(INDEX(Assumptions!$C$87:$E$87,$B$3)&gt;=2,L58,0)+IF(INDEX(Assumptions!$C$87:$E$87,$B$3)&gt;=3,K58,0))/INDEX(Assumptions!$C$87:$E$87,$B$3))-M58</f>
        <v>34389.8253037584</v>
      </c>
      <c r="N102" s="8" t="n">
        <f aca="false">((N58+IF(INDEX(Assumptions!$C$87:$E$87,$B$3)&gt;=2,M58,0)+IF(INDEX(Assumptions!$C$87:$E$87,$B$3)&gt;=3,L58,0))/INDEX(Assumptions!$C$87:$E$87,$B$3))-N58</f>
        <v>44069.9045892132</v>
      </c>
      <c r="O102" s="37" t="n">
        <f aca="false">SUM(C102:N102)</f>
        <v>-394018.491390759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-708746.604892978</v>
      </c>
      <c r="D103" s="37" t="n">
        <f aca="false">D92+D102-D101</f>
        <v>-280839.627792713</v>
      </c>
      <c r="E103" s="37" t="n">
        <f aca="false">E92+E102-E101</f>
        <v>-2294384.11219831</v>
      </c>
      <c r="F103" s="37" t="n">
        <f aca="false">F92+F102-F101</f>
        <v>-265901.986852346</v>
      </c>
      <c r="G103" s="37" t="n">
        <f aca="false">G92+G102-G101</f>
        <v>-244715.178425114</v>
      </c>
      <c r="H103" s="37" t="n">
        <f aca="false">H92+H102-H101</f>
        <v>-741595.293768798</v>
      </c>
      <c r="I103" s="37" t="n">
        <f aca="false">I92+I102-I101</f>
        <v>130367.746461952</v>
      </c>
      <c r="J103" s="37" t="n">
        <f aca="false">J92+J102-J101</f>
        <v>260459.962715001</v>
      </c>
      <c r="K103" s="37" t="n">
        <f aca="false">K92+K102-K101</f>
        <v>75162.7967425457</v>
      </c>
      <c r="L103" s="37" t="n">
        <f aca="false">L92+L102-L101</f>
        <v>108679.280319469</v>
      </c>
      <c r="M103" s="37" t="n">
        <f aca="false">M92+M102-M101</f>
        <v>225480.990215706</v>
      </c>
      <c r="N103" s="37" t="n">
        <f aca="false">N92+N102-N101</f>
        <v>183220.476378517</v>
      </c>
      <c r="O103" s="31" t="n">
        <f aca="false">SUM(C103:N103)</f>
        <v>-3552811.55109706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-708746.604892978</v>
      </c>
      <c r="D104" s="37" t="n">
        <f aca="false">C104+D103</f>
        <v>-989586.23268569</v>
      </c>
      <c r="E104" s="37" t="n">
        <f aca="false">D104+E103</f>
        <v>-3283970.344884</v>
      </c>
      <c r="F104" s="37" t="n">
        <f aca="false">E104+F103</f>
        <v>-3549872.33173634</v>
      </c>
      <c r="G104" s="37" t="n">
        <f aca="false">F104+G103</f>
        <v>-3794587.51016146</v>
      </c>
      <c r="H104" s="37" t="n">
        <f aca="false">G104+H103</f>
        <v>-4536182.80393026</v>
      </c>
      <c r="I104" s="37" t="n">
        <f aca="false">H104+I103</f>
        <v>-4405815.0574683</v>
      </c>
      <c r="J104" s="37" t="n">
        <f aca="false">I104+J103</f>
        <v>-4145355.0947533</v>
      </c>
      <c r="K104" s="37" t="n">
        <f aca="false">J104+K103</f>
        <v>-4070192.29801076</v>
      </c>
      <c r="L104" s="37" t="n">
        <f aca="false">K104+L103</f>
        <v>-3961513.01769129</v>
      </c>
      <c r="M104" s="37" t="n">
        <f aca="false">L104+M103</f>
        <v>-3736032.02747558</v>
      </c>
      <c r="N104" s="37" t="n">
        <f aca="false">M104+N103</f>
        <v>-3552811.55109706</v>
      </c>
      <c r="O104" s="31" t="n">
        <f aca="false">N104</f>
        <v>-3552811.55109706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708746.604892978</v>
      </c>
      <c r="D105" s="37" t="n">
        <f aca="false">-MIN(0,MIN($C$104:D104))</f>
        <v>989586.23268569</v>
      </c>
      <c r="E105" s="37" t="n">
        <f aca="false">-MIN(0,MIN($C$104:E104))</f>
        <v>3283970.344884</v>
      </c>
      <c r="F105" s="37" t="n">
        <f aca="false">-MIN(0,MIN($C$104:F104))</f>
        <v>3549872.33173634</v>
      </c>
      <c r="G105" s="37" t="n">
        <f aca="false">-MIN(0,MIN($C$104:G104))</f>
        <v>3794587.51016146</v>
      </c>
      <c r="H105" s="37" t="n">
        <f aca="false">-MIN(0,MIN($C$104:H104))</f>
        <v>4536182.80393026</v>
      </c>
      <c r="I105" s="37" t="n">
        <f aca="false">-MIN(0,MIN($C$104:I104))</f>
        <v>4536182.80393026</v>
      </c>
      <c r="J105" s="37" t="n">
        <f aca="false">-MIN(0,MIN($C$104:J104))</f>
        <v>4536182.80393026</v>
      </c>
      <c r="K105" s="37" t="n">
        <f aca="false">-MIN(0,MIN($C$104:K104))</f>
        <v>4536182.80393026</v>
      </c>
      <c r="L105" s="37" t="n">
        <f aca="false">-MIN(0,MIN($C$104:L104))</f>
        <v>4536182.80393026</v>
      </c>
      <c r="M105" s="37" t="n">
        <f aca="false">-MIN(0,MIN($C$104:M104))</f>
        <v>4536182.80393026</v>
      </c>
      <c r="N105" s="37" t="n">
        <f aca="false">-MIN(0,MIN($C$104:N104))</f>
        <v>4536182.80393026</v>
      </c>
      <c r="O105" s="31" t="n">
        <f aca="false">MAX(C105:N105)</f>
        <v>4536182.80393026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9992918.72774614</v>
      </c>
    </row>
    <row r="110" customFormat="false" ht="15" hidden="false" customHeight="false" outlineLevel="0" collapsed="false">
      <c r="A110" s="3" t="s">
        <v>28</v>
      </c>
      <c r="B110" s="31" t="n">
        <f aca="false">O92</f>
        <v>-454793.059706306</v>
      </c>
    </row>
    <row r="111" customFormat="false" ht="15" hidden="false" customHeight="false" outlineLevel="0" collapsed="false">
      <c r="A111" s="3" t="s">
        <v>29</v>
      </c>
      <c r="B111" s="30" t="n">
        <f aca="false">O93</f>
        <v>-0.0455115339268733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-1354793.05970631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2704000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4536182.80393026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5000000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463817.196069744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126.548208962444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14.7880826048518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191.25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0.9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7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0.25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4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50033.2413354957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851367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313953.820255991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10.7411226096748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128.893471316098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15778.471054576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0.232732448054996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0.550947161894197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31.306627252182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558473.475260141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-3552811.55109706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1214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0.8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14583.3333333333</v>
      </c>
      <c r="D16" s="8" t="n">
        <f aca="false">INDEX(Assumptions!$C$115:$E$115,$B$3)*INDEX(Assumptions!$C$120:$E$120,$B$3)*$L$3/$F$3</f>
        <v>14583.3333333333</v>
      </c>
      <c r="E16" s="8" t="n">
        <f aca="false">INDEX(Assumptions!$C$115:$E$115,$B$3)*INDEX(Assumptions!$C$120:$E$120,$B$3)*$L$3/$F$3</f>
        <v>14583.3333333333</v>
      </c>
      <c r="F16" s="8" t="n">
        <f aca="false">INDEX(Assumptions!$C$115:$E$115,$B$3)*INDEX(Assumptions!$C$120:$E$120,$B$3)*$L$3/$F$3</f>
        <v>14583.3333333333</v>
      </c>
      <c r="G16" s="8" t="n">
        <f aca="false">INDEX(Assumptions!$C$115:$E$115,$B$3)*INDEX(Assumptions!$C$120:$E$120,$B$3)*$L$3/$F$3</f>
        <v>14583.3333333333</v>
      </c>
      <c r="H16" s="8" t="n">
        <f aca="false">INDEX(Assumptions!$C$115:$E$115,$B$3)*INDEX(Assumptions!$C$120:$E$120,$B$3)*$L$3/$F$3</f>
        <v>14583.3333333333</v>
      </c>
      <c r="I16" s="8" t="n">
        <f aca="false">INDEX(Assumptions!$C$115:$E$115,$B$3)*INDEX(Assumptions!$C$120:$E$120,$B$3)*$L$3/$F$3</f>
        <v>14583.3333333333</v>
      </c>
      <c r="J16" s="8" t="n">
        <f aca="false">INDEX(Assumptions!$C$115:$E$115,$B$3)*INDEX(Assumptions!$C$120:$E$120,$B$3)*$L$3/$F$3</f>
        <v>14583.3333333333</v>
      </c>
      <c r="K16" s="8" t="n">
        <f aca="false">INDEX(Assumptions!$C$115:$E$115,$B$3)*INDEX(Assumptions!$C$120:$E$120,$B$3)*$L$3/$F$3</f>
        <v>14583.3333333333</v>
      </c>
      <c r="L16" s="8" t="n">
        <f aca="false">INDEX(Assumptions!$C$115:$E$115,$B$3)*INDEX(Assumptions!$C$120:$E$120,$B$3)*$L$3/$F$3</f>
        <v>14583.3333333333</v>
      </c>
      <c r="M16" s="8" t="n">
        <f aca="false">INDEX(Assumptions!$C$115:$E$115,$B$3)*INDEX(Assumptions!$C$120:$E$120,$B$3)*$L$3/$F$3</f>
        <v>14583.3333333333</v>
      </c>
      <c r="N16" s="8" t="n">
        <f aca="false">INDEX(Assumptions!$C$115:$E$115,$B$3)*INDEX(Assumptions!$C$120:$E$120,$B$3)*$L$3/$F$3</f>
        <v>14583.3333333333</v>
      </c>
      <c r="O16" s="37" t="n">
        <f aca="false">AVERAGE(C16:N16)</f>
        <v>14583.3333333333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0.72</v>
      </c>
      <c r="D18" s="27" t="n">
        <f aca="false">D15*INDEX(Assumptions!$C$119:$E$119,$B$3)/D16</f>
        <v>1.92</v>
      </c>
      <c r="E18" s="27" t="n">
        <f aca="false">E15*INDEX(Assumptions!$C$119:$E$119,$B$3)/E16</f>
        <v>2.4</v>
      </c>
      <c r="F18" s="27" t="n">
        <f aca="false">F15*INDEX(Assumptions!$C$119:$E$119,$B$3)/F16</f>
        <v>2.88</v>
      </c>
      <c r="G18" s="27" t="n">
        <f aca="false">G15*INDEX(Assumptions!$C$119:$E$119,$B$3)/G16</f>
        <v>3.84</v>
      </c>
      <c r="H18" s="27" t="n">
        <f aca="false">H15*INDEX(Assumptions!$C$119:$E$119,$B$3)/H16</f>
        <v>4.32</v>
      </c>
      <c r="I18" s="27" t="n">
        <f aca="false">I15*INDEX(Assumptions!$C$119:$E$119,$B$3)/I16</f>
        <v>4.8</v>
      </c>
      <c r="J18" s="27" t="n">
        <f aca="false">J15*INDEX(Assumptions!$C$119:$E$119,$B$3)/J16</f>
        <v>4.8</v>
      </c>
      <c r="K18" s="27" t="n">
        <f aca="false">K15*INDEX(Assumptions!$C$119:$E$119,$B$3)/K16</f>
        <v>4.8</v>
      </c>
      <c r="L18" s="27" t="n">
        <f aca="false">L15*INDEX(Assumptions!$C$119:$E$119,$B$3)/L16</f>
        <v>4.8</v>
      </c>
      <c r="M18" s="27" t="n">
        <f aca="false">M15*INDEX(Assumptions!$C$119:$E$119,$B$3)/M16</f>
        <v>4.8</v>
      </c>
      <c r="N18" s="27" t="n">
        <f aca="false">N15*INDEX(Assumptions!$C$119:$E$119,$B$3)/N16</f>
        <v>4.8</v>
      </c>
      <c r="O18" s="35" t="n">
        <f aca="false">SUM(C18:N18)</f>
        <v>44.88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0.935104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1.79946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2.8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3.904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5.616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7.12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10.4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10.8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10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8.8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8.4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8</v>
      </c>
      <c r="O19" s="38" t="n">
        <f aca="false">SUM(C19:N19)</f>
        <v>78.574564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0.5610624</v>
      </c>
      <c r="E24" s="6" t="n">
        <f aca="false">D27+C27+D30+C30+1.25*D28</f>
        <v>1.75295088</v>
      </c>
      <c r="F24" s="6" t="n">
        <f aca="false">E27+D27+E30+D30+1.25*E28</f>
        <v>3.08782368</v>
      </c>
      <c r="G24" s="6" t="n">
        <f aca="false">F27+E27+F30+E30+1.25*F28</f>
        <v>4.5743352</v>
      </c>
      <c r="H24" s="6" t="n">
        <f aca="false">G27+F27+G30+F30+1.25*G28</f>
        <v>6.51648</v>
      </c>
      <c r="I24" s="6" t="n">
        <f aca="false">H27+G27+H30+G30+1.25*H28</f>
        <v>8.784</v>
      </c>
      <c r="J24" s="6" t="n">
        <f aca="false">I27+H27+I30+H30+1.25*I28</f>
        <v>12.04032</v>
      </c>
      <c r="K24" s="6" t="n">
        <f aca="false">J27+I27+J30+I30+1.25*J28</f>
        <v>14.8224</v>
      </c>
      <c r="L24" s="6" t="n">
        <f aca="false">K27+J27+K30+J30+1.25*K28</f>
        <v>15.024</v>
      </c>
      <c r="M24" s="6" t="n">
        <f aca="false">L27+K27+L30+K30+1.25*L28</f>
        <v>14.106</v>
      </c>
      <c r="N24" s="6" t="n">
        <f aca="false">M27+L27+M30+L30+1.25*M28</f>
        <v>11.571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0.935104</v>
      </c>
      <c r="D25" s="6" t="n">
        <f aca="false">D19*(INDEX(Assumptions!$C$26:$E$26,$B$3)*(1-D23)+INDEX(Assumptions!$C$26:$E$26,$B$3)*D23*1.25+(1-INDEX(Assumptions!$C$26:$E$26,$B$3)))+C29*INDEX(Assumptions!$C$89:$E$89,$B$3)</f>
        <v>1.91167248</v>
      </c>
      <c r="E25" s="6" t="n">
        <f aca="false">E19*(INDEX(Assumptions!$C$26:$E$26,$B$3)*(1-E23)+INDEX(Assumptions!$C$26:$E$26,$B$3)*E23*1.25+(1-INDEX(Assumptions!$C$26:$E$26,$B$3)))+D29*INDEX(Assumptions!$C$89:$E$89,$B$3)</f>
        <v>3.0159352</v>
      </c>
      <c r="F25" s="6" t="n">
        <f aca="false">F19*(INDEX(Assumptions!$C$26:$E$26,$B$3)*(1-F23)+INDEX(Assumptions!$C$26:$E$26,$B$3)*F23*1.25+(1-INDEX(Assumptions!$C$26:$E$26,$B$3)))+E29*INDEX(Assumptions!$C$89:$E$89,$B$3)</f>
        <v>4.24</v>
      </c>
      <c r="G25" s="6" t="n">
        <f aca="false">G19*(INDEX(Assumptions!$C$26:$E$26,$B$3)*(1-G23)+INDEX(Assumptions!$C$26:$E$26,$B$3)*G23*1.25+(1-INDEX(Assumptions!$C$26:$E$26,$B$3)))+F29*INDEX(Assumptions!$C$89:$E$89,$B$3)</f>
        <v>6.08448</v>
      </c>
      <c r="H25" s="6" t="n">
        <f aca="false">H19*(INDEX(Assumptions!$C$26:$E$26,$B$3)*(1-H23)+INDEX(Assumptions!$C$26:$E$26,$B$3)*H23*1.25+(1-INDEX(Assumptions!$C$26:$E$26,$B$3)))+G29*INDEX(Assumptions!$C$89:$E$89,$B$3)</f>
        <v>7.79392</v>
      </c>
      <c r="I25" s="6" t="n">
        <f aca="false">I19*(INDEX(Assumptions!$C$26:$E$26,$B$3)*(1-I23)+INDEX(Assumptions!$C$26:$E$26,$B$3)*I23*1.25+(1-INDEX(Assumptions!$C$26:$E$26,$B$3)))+H29*INDEX(Assumptions!$C$89:$E$89,$B$3)</f>
        <v>11.2544</v>
      </c>
      <c r="J25" s="6" t="n">
        <f aca="false">J19*(INDEX(Assumptions!$C$26:$E$26,$B$3)*(1-J23)+INDEX(Assumptions!$C$26:$E$26,$B$3)*J23*1.25+(1-INDEX(Assumptions!$C$26:$E$26,$B$3)))+I29*INDEX(Assumptions!$C$89:$E$89,$B$3)</f>
        <v>12.048</v>
      </c>
      <c r="K25" s="6" t="n">
        <f aca="false">K19*(INDEX(Assumptions!$C$26:$E$26,$B$3)*(1-K23)+INDEX(Assumptions!$C$26:$E$26,$B$3)*K23*1.25+(1-INDEX(Assumptions!$C$26:$E$26,$B$3)))+J29*INDEX(Assumptions!$C$89:$E$89,$B$3)</f>
        <v>11.296</v>
      </c>
      <c r="L25" s="6" t="n">
        <f aca="false">L19*(INDEX(Assumptions!$C$26:$E$26,$B$3)*(1-L23)+INDEX(Assumptions!$C$26:$E$26,$B$3)*L23*1.25+(1-INDEX(Assumptions!$C$26:$E$26,$B$3)))+K29*INDEX(Assumptions!$C$89:$E$89,$B$3)</f>
        <v>10.33</v>
      </c>
      <c r="M25" s="6" t="n">
        <f aca="false">M19*(INDEX(Assumptions!$C$26:$E$26,$B$3)*(1-M23)+INDEX(Assumptions!$C$26:$E$26,$B$3)*M23*1.25+(1-INDEX(Assumptions!$C$26:$E$26,$B$3)))+L29*INDEX(Assumptions!$C$89:$E$89,$B$3)</f>
        <v>9.771</v>
      </c>
      <c r="N25" s="6" t="n">
        <f aca="false">N19*(INDEX(Assumptions!$C$26:$E$26,$B$3)*(1-N23)+INDEX(Assumptions!$C$26:$E$26,$B$3)*N23*1.25+(1-INDEX(Assumptions!$C$26:$E$26,$B$3)))+M29*INDEX(Assumptions!$C$89:$E$89,$B$3)</f>
        <v>9.308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1</v>
      </c>
      <c r="I26" s="7" t="n">
        <f aca="false">IF(I25&lt;=0,1,MAX(0,MIN(1,(I22-I24)/I25)))</f>
        <v>1</v>
      </c>
      <c r="J26" s="7" t="n">
        <f aca="false">IF(J25&lt;=0,1,MAX(0,MIN(1,(J22-J24)/J25)))</f>
        <v>1</v>
      </c>
      <c r="K26" s="7" t="n">
        <f aca="false">IF(K25&lt;=0,1,MAX(0,MIN(1,(K22-K24)/K25)))</f>
        <v>1</v>
      </c>
      <c r="L26" s="7" t="n">
        <f aca="false">IF(L25&lt;=0,1,MAX(0,MIN(1,(L22-L24)/L25)))</f>
        <v>1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0.5610624</v>
      </c>
      <c r="D27" s="35" t="n">
        <f aca="false">D19*INDEX(Assumptions!$C$26:$E$26,$B$3)*(1-D23)*D26</f>
        <v>1.079676</v>
      </c>
      <c r="E27" s="35" t="n">
        <f aca="false">E19*INDEX(Assumptions!$C$26:$E$26,$B$3)*(1-E23)*E26</f>
        <v>1.68</v>
      </c>
      <c r="F27" s="35" t="n">
        <f aca="false">F19*INDEX(Assumptions!$C$26:$E$26,$B$3)*(1-F23)*F26</f>
        <v>2.3424</v>
      </c>
      <c r="G27" s="35" t="n">
        <f aca="false">G19*INDEX(Assumptions!$C$26:$E$26,$B$3)*(1-G23)*G26</f>
        <v>3.3696</v>
      </c>
      <c r="H27" s="35" t="n">
        <f aca="false">H19*INDEX(Assumptions!$C$26:$E$26,$B$3)*(1-H23)*H26</f>
        <v>4.272</v>
      </c>
      <c r="I27" s="35" t="n">
        <f aca="false">I19*INDEX(Assumptions!$C$26:$E$26,$B$3)*(1-I23)*I26</f>
        <v>6.24</v>
      </c>
      <c r="J27" s="35" t="n">
        <f aca="false">J19*INDEX(Assumptions!$C$26:$E$26,$B$3)*(1-J23)*J26</f>
        <v>6.48</v>
      </c>
      <c r="K27" s="35" t="n">
        <f aca="false">K19*INDEX(Assumptions!$C$26:$E$26,$B$3)*(1-K23)*K26</f>
        <v>6</v>
      </c>
      <c r="L27" s="35" t="n">
        <f aca="false">L19*INDEX(Assumptions!$C$26:$E$26,$B$3)*(1-L23)*L26</f>
        <v>3.96</v>
      </c>
      <c r="M27" s="35" t="n">
        <f aca="false">M19*INDEX(Assumptions!$C$26:$E$26,$B$3)*(1-M23)*M26</f>
        <v>3.78</v>
      </c>
      <c r="N27" s="35" t="n">
        <f aca="false">N19*INDEX(Assumptions!$C$26:$E$26,$B$3)*(1-N23)*N26</f>
        <v>3.6</v>
      </c>
      <c r="O27" s="38" t="n">
        <f aca="false">SUM(C27:N27)</f>
        <v>43.3647384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1.32</v>
      </c>
      <c r="M28" s="27" t="n">
        <f aca="false">M19*INDEX(Assumptions!$C$26:$E$26,$B$3)*M23*M26</f>
        <v>1.26</v>
      </c>
      <c r="N28" s="27" t="n">
        <f aca="false">N19*INDEX(Assumptions!$C$26:$E$26,$B$3)*N23*N26</f>
        <v>1.2</v>
      </c>
      <c r="O28" s="35" t="n">
        <f aca="false">SUM(C28:N28)</f>
        <v>3.78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0.3740416</v>
      </c>
      <c r="D29" s="27" t="n">
        <f aca="false">D19*(1-INDEX(Assumptions!$C$26:$E$26,$B$3))*D26</f>
        <v>0.719784</v>
      </c>
      <c r="E29" s="27" t="n">
        <f aca="false">E19*(1-INDEX(Assumptions!$C$26:$E$26,$B$3))*E26</f>
        <v>1.12</v>
      </c>
      <c r="F29" s="27" t="n">
        <f aca="false">F19*(1-INDEX(Assumptions!$C$26:$E$26,$B$3))*F26</f>
        <v>1.5616</v>
      </c>
      <c r="G29" s="27" t="n">
        <f aca="false">G19*(1-INDEX(Assumptions!$C$26:$E$26,$B$3))*G26</f>
        <v>2.2464</v>
      </c>
      <c r="H29" s="27" t="n">
        <f aca="false">H19*(1-INDEX(Assumptions!$C$26:$E$26,$B$3))*H26</f>
        <v>2.848</v>
      </c>
      <c r="I29" s="27" t="n">
        <f aca="false">I19*(1-INDEX(Assumptions!$C$26:$E$26,$B$3))*I26</f>
        <v>4.16</v>
      </c>
      <c r="J29" s="27" t="n">
        <f aca="false">J19*(1-INDEX(Assumptions!$C$26:$E$26,$B$3))*J26</f>
        <v>4.32</v>
      </c>
      <c r="K29" s="27" t="n">
        <f aca="false">K19*(1-INDEX(Assumptions!$C$26:$E$26,$B$3))*K26</f>
        <v>4</v>
      </c>
      <c r="L29" s="27" t="n">
        <f aca="false">L19*(1-INDEX(Assumptions!$C$26:$E$26,$B$3))*L26</f>
        <v>3.52</v>
      </c>
      <c r="M29" s="27" t="n">
        <f aca="false">M19*(1-INDEX(Assumptions!$C$26:$E$26,$B$3))*M26</f>
        <v>3.36</v>
      </c>
      <c r="N29" s="27" t="n">
        <f aca="false">N19*(1-INDEX(Assumptions!$C$26:$E$26,$B$3))*N26</f>
        <v>3.2</v>
      </c>
      <c r="O29" s="35" t="n">
        <f aca="false">SUM(C29:N29)</f>
        <v>31.4298256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0.11221248</v>
      </c>
      <c r="E30" s="27" t="n">
        <f aca="false">D29*INDEX(Assumptions!$C$89:$E$89,$B$3)*E26</f>
        <v>0.2159352</v>
      </c>
      <c r="F30" s="27" t="n">
        <f aca="false">E29*INDEX(Assumptions!$C$89:$E$89,$B$3)*F26</f>
        <v>0.336</v>
      </c>
      <c r="G30" s="27" t="n">
        <f aca="false">F29*INDEX(Assumptions!$C$89:$E$89,$B$3)*G26</f>
        <v>0.46848</v>
      </c>
      <c r="H30" s="27" t="n">
        <f aca="false">G29*INDEX(Assumptions!$C$89:$E$89,$B$3)*H26</f>
        <v>0.67392</v>
      </c>
      <c r="I30" s="27" t="n">
        <f aca="false">H29*INDEX(Assumptions!$C$89:$E$89,$B$3)*I26</f>
        <v>0.8544</v>
      </c>
      <c r="J30" s="27" t="n">
        <f aca="false">I29*INDEX(Assumptions!$C$89:$E$89,$B$3)*J26</f>
        <v>1.248</v>
      </c>
      <c r="K30" s="27" t="n">
        <f aca="false">J29*INDEX(Assumptions!$C$89:$E$89,$B$3)*K26</f>
        <v>1.296</v>
      </c>
      <c r="L30" s="27" t="n">
        <f aca="false">K29*INDEX(Assumptions!$C$89:$E$89,$B$3)*L26</f>
        <v>1.2</v>
      </c>
      <c r="M30" s="27" t="n">
        <f aca="false">L29*INDEX(Assumptions!$C$89:$E$89,$B$3)*M26</f>
        <v>1.056</v>
      </c>
      <c r="N30" s="27" t="n">
        <f aca="false">M29*INDEX(Assumptions!$C$89:$E$89,$B$3)*N26</f>
        <v>1.008</v>
      </c>
      <c r="O30" s="35" t="n">
        <f aca="false">SUM(C30:N30)</f>
        <v>8.46894768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0.935104</v>
      </c>
      <c r="D31" s="35" t="n">
        <f aca="false">D27+D28+D29</f>
        <v>1.79946</v>
      </c>
      <c r="E31" s="35" t="n">
        <f aca="false">E27+E28+E29</f>
        <v>2.8</v>
      </c>
      <c r="F31" s="35" t="n">
        <f aca="false">F27+F28+F29</f>
        <v>3.904</v>
      </c>
      <c r="G31" s="35" t="n">
        <f aca="false">G27+G28+G29</f>
        <v>5.616</v>
      </c>
      <c r="H31" s="35" t="n">
        <f aca="false">H27+H28+H29</f>
        <v>7.12</v>
      </c>
      <c r="I31" s="35" t="n">
        <f aca="false">I27+I28+I29</f>
        <v>10.4</v>
      </c>
      <c r="J31" s="35" t="n">
        <f aca="false">J27+J28+J29</f>
        <v>10.8</v>
      </c>
      <c r="K31" s="35" t="n">
        <f aca="false">K27+K28+K29</f>
        <v>10</v>
      </c>
      <c r="L31" s="35" t="n">
        <f aca="false">L27+L28+L29</f>
        <v>8.8</v>
      </c>
      <c r="M31" s="35" t="n">
        <f aca="false">M27+M28+M29</f>
        <v>8.4</v>
      </c>
      <c r="N31" s="35" t="n">
        <f aca="false">N27+N28+N29</f>
        <v>8</v>
      </c>
      <c r="O31" s="38" t="n">
        <f aca="false">SUM(C31:N31)</f>
        <v>78.574564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0.233776</v>
      </c>
      <c r="D32" s="27" t="n">
        <f aca="false">D31*INDEX(Assumptions!$C$74:$E$74,$B$3)</f>
        <v>0.449865</v>
      </c>
      <c r="E32" s="27" t="n">
        <f aca="false">E31*INDEX(Assumptions!$C$74:$E$74,$B$3)</f>
        <v>0.7</v>
      </c>
      <c r="F32" s="27" t="n">
        <f aca="false">F31*INDEX(Assumptions!$C$74:$E$74,$B$3)</f>
        <v>0.976</v>
      </c>
      <c r="G32" s="27" t="n">
        <f aca="false">G31*INDEX(Assumptions!$C$74:$E$74,$B$3)</f>
        <v>1.404</v>
      </c>
      <c r="H32" s="27" t="n">
        <f aca="false">H31*INDEX(Assumptions!$C$74:$E$74,$B$3)</f>
        <v>1.78</v>
      </c>
      <c r="I32" s="27" t="n">
        <f aca="false">I31*INDEX(Assumptions!$C$74:$E$74,$B$3)</f>
        <v>2.6</v>
      </c>
      <c r="J32" s="27" t="n">
        <f aca="false">J31*INDEX(Assumptions!$C$74:$E$74,$B$3)</f>
        <v>2.7</v>
      </c>
      <c r="K32" s="27" t="n">
        <f aca="false">K31*INDEX(Assumptions!$C$74:$E$74,$B$3)</f>
        <v>2.5</v>
      </c>
      <c r="L32" s="27" t="n">
        <f aca="false">L31*INDEX(Assumptions!$C$74:$E$74,$B$3)</f>
        <v>2.2</v>
      </c>
      <c r="M32" s="27" t="n">
        <f aca="false">M31*INDEX(Assumptions!$C$74:$E$74,$B$3)</f>
        <v>2.1</v>
      </c>
      <c r="N32" s="27" t="n">
        <f aca="false">N31*INDEX(Assumptions!$C$74:$E$74,$B$3)</f>
        <v>2</v>
      </c>
      <c r="O32" s="35" t="n">
        <f aca="false">SUM(C32:N32)</f>
        <v>19.643641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0.935104</v>
      </c>
      <c r="D33" s="6" t="n">
        <f aca="false">D24+D27+D30+D29+1.25*D28</f>
        <v>2.47273488</v>
      </c>
      <c r="E33" s="6" t="n">
        <f aca="false">E24+E27+E30+E29+1.25*E28</f>
        <v>4.76888608</v>
      </c>
      <c r="F33" s="6" t="n">
        <f aca="false">F24+F27+F30+F29+1.25*F28</f>
        <v>7.32782368</v>
      </c>
      <c r="G33" s="6" t="n">
        <f aca="false">G24+G27+G30+G29+1.25*G28</f>
        <v>10.6588152</v>
      </c>
      <c r="H33" s="6" t="n">
        <f aca="false">H24+H27+H30+H29+1.25*H28</f>
        <v>14.3104</v>
      </c>
      <c r="I33" s="6" t="n">
        <f aca="false">I24+I27+I30+I29+1.25*I28</f>
        <v>20.0384</v>
      </c>
      <c r="J33" s="6" t="n">
        <f aca="false">J24+J27+J30+J29+1.25*J28</f>
        <v>24.08832</v>
      </c>
      <c r="K33" s="6" t="n">
        <f aca="false">K24+K27+K30+K29+1.25*K28</f>
        <v>26.1184</v>
      </c>
      <c r="L33" s="6" t="n">
        <f aca="false">L24+L27+L30+L29+1.25*L28</f>
        <v>25.354</v>
      </c>
      <c r="M33" s="6" t="n">
        <f aca="false">M24+M27+M30+M29+1.25*M28</f>
        <v>23.877</v>
      </c>
      <c r="N33" s="6" t="n">
        <f aca="false">N24+N27+N30+N29+1.25*N28</f>
        <v>20.879</v>
      </c>
      <c r="O33" s="39" t="n">
        <f aca="false">AVERAGE(C33:N33)</f>
        <v>15.0690736533333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0.058444</v>
      </c>
      <c r="D34" s="36" t="n">
        <f aca="false">D33/(D20*D21)</f>
        <v>0.15454593</v>
      </c>
      <c r="E34" s="36" t="n">
        <f aca="false">E33/(E20*E21)</f>
        <v>0.29805538</v>
      </c>
      <c r="F34" s="36" t="n">
        <f aca="false">F33/(F20*F21)</f>
        <v>0.45798898</v>
      </c>
      <c r="G34" s="36" t="n">
        <f aca="false">G33/(G20*G21)</f>
        <v>0.66617595</v>
      </c>
      <c r="H34" s="36" t="n">
        <f aca="false">H33/(H20*H21)</f>
        <v>0.8944</v>
      </c>
      <c r="I34" s="36" t="n">
        <f aca="false">I33/(I20*I21)</f>
        <v>0.667946666666667</v>
      </c>
      <c r="J34" s="36" t="n">
        <f aca="false">J33/(J20*J21)</f>
        <v>0.802944</v>
      </c>
      <c r="K34" s="36" t="n">
        <f aca="false">K33/(K20*K21)</f>
        <v>0.870613333333333</v>
      </c>
      <c r="L34" s="36" t="n">
        <f aca="false">L33/(L20*L21)</f>
        <v>0.845133333333333</v>
      </c>
      <c r="M34" s="36" t="n">
        <f aca="false">M33/(M20*M21)</f>
        <v>0.7959</v>
      </c>
      <c r="N34" s="36" t="n">
        <f aca="false">N33/(N20*N21)</f>
        <v>0.695966666666667</v>
      </c>
      <c r="O34" s="30" t="n">
        <f aca="false">N34</f>
        <v>0.695966666666667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0</v>
      </c>
      <c r="I35" s="8" t="n">
        <f aca="false">IF(I26&lt;0.999,1,0)</f>
        <v>0</v>
      </c>
      <c r="J35" s="8" t="n">
        <f aca="false">IF(J26&lt;0.999,1,0)</f>
        <v>0</v>
      </c>
      <c r="K35" s="8" t="n">
        <f aca="false">IF(K26&lt;0.999,1,0)</f>
        <v>0</v>
      </c>
      <c r="L35" s="8" t="n">
        <f aca="false">IF(L26&lt;0.999,1,0)</f>
        <v>0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0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2.72</v>
      </c>
      <c r="F37" s="6" t="n">
        <f aca="false">IF(4&gt;=3,INDEX(Assumptions!$C$192:$E$192,$D$3)*INDEX(Assumptions!$C$193:$E$193,$B$3)*MIN(1,(4-2)/6),0)*$F$3</f>
        <v>5.44</v>
      </c>
      <c r="G37" s="6" t="n">
        <f aca="false">IF(5&gt;=3,INDEX(Assumptions!$C$192:$E$192,$D$3)*INDEX(Assumptions!$C$193:$E$193,$B$3)*MIN(1,(5-2)/6),0)*$F$3</f>
        <v>8.16</v>
      </c>
      <c r="H37" s="6" t="n">
        <f aca="false">IF(6&gt;=3,INDEX(Assumptions!$C$192:$E$192,$D$3)*INDEX(Assumptions!$C$193:$E$193,$B$3)*MIN(1,(6-2)/6),0)*$F$3</f>
        <v>10.88</v>
      </c>
      <c r="I37" s="6" t="n">
        <f aca="false">IF(7&gt;=3,INDEX(Assumptions!$C$192:$E$192,$D$3)*INDEX(Assumptions!$C$193:$E$193,$B$3)*MIN(1,(7-2)/6),0)*$F$3</f>
        <v>13.6</v>
      </c>
      <c r="J37" s="6" t="n">
        <f aca="false">IF(8&gt;=3,INDEX(Assumptions!$C$192:$E$192,$D$3)*INDEX(Assumptions!$C$193:$E$193,$B$3)*MIN(1,(8-2)/6),0)*$F$3</f>
        <v>16.32</v>
      </c>
      <c r="K37" s="6" t="n">
        <f aca="false">IF(9&gt;=3,INDEX(Assumptions!$C$192:$E$192,$D$3)*INDEX(Assumptions!$C$193:$E$193,$B$3)*MIN(1,(9-2)/6),0)*$F$3</f>
        <v>16.32</v>
      </c>
      <c r="L37" s="6" t="n">
        <f aca="false">IF(10&gt;=3,INDEX(Assumptions!$C$192:$E$192,$D$3)*INDEX(Assumptions!$C$193:$E$193,$B$3)*MIN(1,(10-2)/6),0)*$F$3</f>
        <v>16.32</v>
      </c>
      <c r="M37" s="6" t="n">
        <f aca="false">IF(11&gt;=3,INDEX(Assumptions!$C$192:$E$192,$D$3)*INDEX(Assumptions!$C$193:$E$193,$B$3)*MIN(1,(11-2)/6),0)*$F$3</f>
        <v>16.32</v>
      </c>
      <c r="N37" s="6" t="n">
        <f aca="false">IF(12&gt;=3,INDEX(Assumptions!$C$192:$E$192,$D$3)*INDEX(Assumptions!$C$193:$E$193,$B$3)*MIN(1,(12-2)/6),0)*$F$3</f>
        <v>16.32</v>
      </c>
      <c r="O37" s="39" t="n">
        <f aca="false">SUM(C37:N37)</f>
        <v>122.4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5.6</v>
      </c>
      <c r="D38" s="6" t="n">
        <f aca="false">INDEX(Assumptions!$C$194:$E$194,$D$3)*D10*MIN(1,2/3)*$F$3</f>
        <v>9.6</v>
      </c>
      <c r="E38" s="6" t="n">
        <f aca="false">INDEX(Assumptions!$C$194:$E$194,$D$3)*E10*MIN(1,3/3)*$F$3</f>
        <v>14.4</v>
      </c>
      <c r="F38" s="6" t="n">
        <f aca="false">INDEX(Assumptions!$C$194:$E$194,$D$3)*F10*MIN(1,4/3)*$F$3</f>
        <v>15.6</v>
      </c>
      <c r="G38" s="6" t="n">
        <f aca="false">INDEX(Assumptions!$C$194:$E$194,$D$3)*G10*MIN(1,5/3)*$F$3</f>
        <v>10.8</v>
      </c>
      <c r="H38" s="6" t="n">
        <f aca="false">INDEX(Assumptions!$C$194:$E$194,$D$3)*H10*MIN(1,6/3)*$F$3</f>
        <v>9.6</v>
      </c>
      <c r="I38" s="6" t="n">
        <f aca="false">INDEX(Assumptions!$C$194:$E$194,$D$3)*I10*MIN(1,7/3)*$F$3</f>
        <v>8.4</v>
      </c>
      <c r="J38" s="6" t="n">
        <f aca="false">INDEX(Assumptions!$C$194:$E$194,$D$3)*J10*MIN(1,8/3)*$F$3</f>
        <v>7.2</v>
      </c>
      <c r="K38" s="6" t="n">
        <f aca="false">INDEX(Assumptions!$C$194:$E$194,$D$3)*K10*MIN(1,9/3)*$F$3</f>
        <v>7.2</v>
      </c>
      <c r="L38" s="6" t="n">
        <f aca="false">INDEX(Assumptions!$C$194:$E$194,$D$3)*L10*MIN(1,10/3)*$F$3</f>
        <v>9.6</v>
      </c>
      <c r="M38" s="6" t="n">
        <f aca="false">INDEX(Assumptions!$C$194:$E$194,$D$3)*M10*MIN(1,11/3)*$F$3</f>
        <v>13.2</v>
      </c>
      <c r="N38" s="6" t="n">
        <f aca="false">INDEX(Assumptions!$C$194:$E$194,$D$3)*N10*MIN(1,12/3)*$F$3</f>
        <v>16.8</v>
      </c>
      <c r="O38" s="39" t="n">
        <f aca="false">SUM(C38:N38)</f>
        <v>128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0.877208255159475</v>
      </c>
      <c r="D39" s="6" t="n">
        <f aca="false">D19*INDEX(Assumptions!$C$31:$E$31,$B$3)/(INDEX(Assumptions!$C$56:$E$56,$B$3)*INDEX(Assumptions!$C$57:$E$57,$B$3)*INDEX(Assumptions!$C$58:$E$58,$B$3))</f>
        <v>1.6880487804878</v>
      </c>
      <c r="E39" s="6" t="n">
        <f aca="false">E19*INDEX(Assumptions!$C$31:$E$31,$B$3)/(INDEX(Assumptions!$C$56:$E$56,$B$3)*INDEX(Assumptions!$C$57:$E$57,$B$3)*INDEX(Assumptions!$C$58:$E$58,$B$3))</f>
        <v>2.62664165103189</v>
      </c>
      <c r="F39" s="6" t="n">
        <f aca="false">F19*INDEX(Assumptions!$C$31:$E$31,$B$3)/(INDEX(Assumptions!$C$56:$E$56,$B$3)*INDEX(Assumptions!$C$57:$E$57,$B$3)*INDEX(Assumptions!$C$58:$E$58,$B$3))</f>
        <v>3.66228893058161</v>
      </c>
      <c r="G39" s="6" t="n">
        <f aca="false">G19*INDEX(Assumptions!$C$31:$E$31,$B$3)/(INDEX(Assumptions!$C$56:$E$56,$B$3)*INDEX(Assumptions!$C$57:$E$57,$B$3)*INDEX(Assumptions!$C$58:$E$58,$B$3))</f>
        <v>5.26829268292683</v>
      </c>
      <c r="H39" s="6" t="n">
        <f aca="false">H19*INDEX(Assumptions!$C$31:$E$31,$B$3)/(INDEX(Assumptions!$C$56:$E$56,$B$3)*INDEX(Assumptions!$C$57:$E$57,$B$3)*INDEX(Assumptions!$C$58:$E$58,$B$3))</f>
        <v>6.67917448405253</v>
      </c>
      <c r="I39" s="6" t="n">
        <f aca="false">I19*INDEX(Assumptions!$C$31:$E$31,$B$3)/(INDEX(Assumptions!$C$56:$E$56,$B$3)*INDEX(Assumptions!$C$57:$E$57,$B$3)*INDEX(Assumptions!$C$58:$E$58,$B$3))</f>
        <v>9.75609756097561</v>
      </c>
      <c r="J39" s="6" t="n">
        <f aca="false">J19*INDEX(Assumptions!$C$31:$E$31,$B$3)/(INDEX(Assumptions!$C$56:$E$56,$B$3)*INDEX(Assumptions!$C$57:$E$57,$B$3)*INDEX(Assumptions!$C$58:$E$58,$B$3))</f>
        <v>10.1313320825516</v>
      </c>
      <c r="K39" s="6" t="n">
        <f aca="false">K19*INDEX(Assumptions!$C$31:$E$31,$B$3)/(INDEX(Assumptions!$C$56:$E$56,$B$3)*INDEX(Assumptions!$C$57:$E$57,$B$3)*INDEX(Assumptions!$C$58:$E$58,$B$3))</f>
        <v>9.38086303939962</v>
      </c>
      <c r="L39" s="6" t="n">
        <f aca="false">L19*INDEX(Assumptions!$C$31:$E$31,$B$3)/(INDEX(Assumptions!$C$56:$E$56,$B$3)*INDEX(Assumptions!$C$57:$E$57,$B$3)*INDEX(Assumptions!$C$58:$E$58,$B$3))</f>
        <v>8.25515947467167</v>
      </c>
      <c r="M39" s="6" t="n">
        <f aca="false">M19*INDEX(Assumptions!$C$31:$E$31,$B$3)/(INDEX(Assumptions!$C$56:$E$56,$B$3)*INDEX(Assumptions!$C$57:$E$57,$B$3)*INDEX(Assumptions!$C$58:$E$58,$B$3))</f>
        <v>7.87992495309568</v>
      </c>
      <c r="N39" s="6" t="n">
        <f aca="false">N19*INDEX(Assumptions!$C$31:$E$31,$B$3)/(INDEX(Assumptions!$C$56:$E$56,$B$3)*INDEX(Assumptions!$C$57:$E$57,$B$3)*INDEX(Assumptions!$C$58:$E$58,$B$3))</f>
        <v>7.5046904315197</v>
      </c>
      <c r="O39" s="39" t="n">
        <f aca="false">SUM(C39:N39)</f>
        <v>73.709722326454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12.8</v>
      </c>
      <c r="L41" s="6" t="n">
        <f aca="false">L40*INDEX(Assumptions!$C$82:$E$82,$B$3)*$F$3</f>
        <v>12.8</v>
      </c>
      <c r="M41" s="6" t="n">
        <f aca="false">M40*INDEX(Assumptions!$C$82:$E$82,$B$3)*$F$3</f>
        <v>12.8</v>
      </c>
      <c r="N41" s="6" t="n">
        <f aca="false">N40*INDEX(Assumptions!$C$82:$E$82,$B$3)*$F$3</f>
        <v>12.8</v>
      </c>
      <c r="O41" s="39" t="n">
        <f aca="false">SUM(C41:N41)</f>
        <v>51.2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0.1904</v>
      </c>
      <c r="F42" s="27" t="n">
        <f aca="false">F37*0.7*INDEX(Assumptions!$C$73:$E$73,$B$3)</f>
        <v>0.3808</v>
      </c>
      <c r="G42" s="27" t="n">
        <f aca="false">G37*0.7*INDEX(Assumptions!$C$73:$E$73,$B$3)</f>
        <v>0.5712</v>
      </c>
      <c r="H42" s="27" t="n">
        <f aca="false">H37*0.7*INDEX(Assumptions!$C$73:$E$73,$B$3)</f>
        <v>0.7616</v>
      </c>
      <c r="I42" s="27" t="n">
        <f aca="false">I37*0.7*INDEX(Assumptions!$C$73:$E$73,$B$3)</f>
        <v>0.952</v>
      </c>
      <c r="J42" s="27" t="n">
        <f aca="false">J37*0.7*INDEX(Assumptions!$C$73:$E$73,$B$3)</f>
        <v>1.1424</v>
      </c>
      <c r="K42" s="27" t="n">
        <f aca="false">K37*0.7*INDEX(Assumptions!$C$73:$E$73,$B$3)</f>
        <v>1.1424</v>
      </c>
      <c r="L42" s="27" t="n">
        <f aca="false">L37*0.7*INDEX(Assumptions!$C$73:$E$73,$B$3)</f>
        <v>1.1424</v>
      </c>
      <c r="M42" s="27" t="n">
        <f aca="false">M37*0.7*INDEX(Assumptions!$C$73:$E$73,$B$3)</f>
        <v>1.1424</v>
      </c>
      <c r="N42" s="27" t="n">
        <f aca="false">N37*0.7*INDEX(Assumptions!$C$73:$E$73,$B$3)</f>
        <v>1.1424</v>
      </c>
      <c r="O42" s="35" t="n">
        <f aca="false">SUM(C42:N42)</f>
        <v>8.568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28528.5966101695</v>
      </c>
      <c r="D47" s="8" t="n">
        <f aca="false">D27*D44/(1+INDEX(Assumptions!$C$15:$E$15,$B$3)*$H$4)</f>
        <v>54898.779661017</v>
      </c>
      <c r="E47" s="8" t="n">
        <f aca="false">E27*E44/(1+INDEX(Assumptions!$C$15:$E$15,$B$3)*$H$4)</f>
        <v>85423.7288135593</v>
      </c>
      <c r="F47" s="8" t="n">
        <f aca="false">F27*F44/(1+INDEX(Assumptions!$C$15:$E$15,$B$3)*$H$4)</f>
        <v>119105.084745763</v>
      </c>
      <c r="G47" s="8" t="n">
        <f aca="false">G27*G44/(1+INDEX(Assumptions!$C$15:$E$15,$B$3)*$H$4)</f>
        <v>171335.593220339</v>
      </c>
      <c r="H47" s="8" t="n">
        <f aca="false">H27*H44/(1+INDEX(Assumptions!$C$15:$E$15,$B$3)*$H$4)</f>
        <v>217220.338983051</v>
      </c>
      <c r="I47" s="8" t="n">
        <f aca="false">I27*I44/(1+INDEX(Assumptions!$C$15:$E$15,$B$3)*$H$4)</f>
        <v>423050.847457627</v>
      </c>
      <c r="J47" s="8" t="n">
        <f aca="false">J27*J44/(1+INDEX(Assumptions!$C$15:$E$15,$B$3)*$H$4)</f>
        <v>439322.033898305</v>
      </c>
      <c r="K47" s="8" t="n">
        <f aca="false">K27*K44/(1+INDEX(Assumptions!$C$15:$E$15,$B$3)*$H$4)</f>
        <v>406779.661016949</v>
      </c>
      <c r="L47" s="8" t="n">
        <f aca="false">L27*L44/(1+INDEX(Assumptions!$C$15:$E$15,$B$3)*$H$4)</f>
        <v>268474.576271186</v>
      </c>
      <c r="M47" s="8" t="n">
        <f aca="false">M27*M44/(1+INDEX(Assumptions!$C$15:$E$15,$B$3)*$H$4)</f>
        <v>256271.186440678</v>
      </c>
      <c r="N47" s="8" t="n">
        <f aca="false">N27*N44/(1+INDEX(Assumptions!$C$15:$E$15,$B$3)*$H$4)</f>
        <v>244067.79661017</v>
      </c>
      <c r="O47" s="37" t="n">
        <f aca="false">SUM(C47:N47)</f>
        <v>2714478.22372881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89491.5254237288</v>
      </c>
      <c r="M48" s="8" t="n">
        <f aca="false">M28*M44/(1+INDEX(Assumptions!$C$15:$E$15,$B$3)*$H$4)</f>
        <v>85423.7288135593</v>
      </c>
      <c r="N48" s="8" t="n">
        <f aca="false">N28*N44/(1+INDEX(Assumptions!$C$15:$E$15,$B$3)*$H$4)</f>
        <v>81355.9322033898</v>
      </c>
      <c r="O48" s="37" t="n">
        <f aca="false">SUM(C48:N48)</f>
        <v>256271.186440678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1911.41597288136</v>
      </c>
      <c r="E49" s="8" t="n">
        <f aca="false">E30*MAX(0,E44-INDEX(Assumptions!$C$18:$E$18,$B$3)*$H$3)/(1+INDEX(Assumptions!$C$15:$E$15,$B$3)*$H$4)</f>
        <v>3678.21823728814</v>
      </c>
      <c r="F49" s="8" t="n">
        <f aca="false">F30*MAX(0,F44-INDEX(Assumptions!$C$18:$E$18,$B$3)*$H$3)/(1+INDEX(Assumptions!$C$15:$E$15,$B$3)*$H$4)</f>
        <v>5723.38983050847</v>
      </c>
      <c r="G49" s="8" t="n">
        <f aca="false">G30*MAX(0,G44-INDEX(Assumptions!$C$18:$E$18,$B$3)*$H$3)/(1+INDEX(Assumptions!$C$15:$E$15,$B$3)*$H$4)</f>
        <v>7980.0406779661</v>
      </c>
      <c r="H49" s="8" t="n">
        <f aca="false">H30*MAX(0,H44-INDEX(Assumptions!$C$18:$E$18,$B$3)*$H$3)/(1+INDEX(Assumptions!$C$15:$E$15,$B$3)*$H$4)</f>
        <v>11479.4847457627</v>
      </c>
      <c r="I49" s="8" t="n">
        <f aca="false">I30*MAX(0,I44-INDEX(Assumptions!$C$18:$E$18,$B$3)*$H$3)/(1+INDEX(Assumptions!$C$15:$E$15,$B$3)*$H$4)</f>
        <v>29035.1186440678</v>
      </c>
      <c r="J49" s="8" t="n">
        <f aca="false">J30*MAX(0,J44-INDEX(Assumptions!$C$18:$E$18,$B$3)*$H$3)/(1+INDEX(Assumptions!$C$15:$E$15,$B$3)*$H$4)</f>
        <v>42410.8474576271</v>
      </c>
      <c r="K49" s="8" t="n">
        <f aca="false">K30*MAX(0,K44-INDEX(Assumptions!$C$18:$E$18,$B$3)*$H$3)/(1+INDEX(Assumptions!$C$15:$E$15,$B$3)*$H$4)</f>
        <v>44042.0338983051</v>
      </c>
      <c r="L49" s="8" t="n">
        <f aca="false">L30*MAX(0,L44-INDEX(Assumptions!$C$18:$E$18,$B$3)*$H$3)/(1+INDEX(Assumptions!$C$15:$E$15,$B$3)*$H$4)</f>
        <v>40779.6610169492</v>
      </c>
      <c r="M49" s="8" t="n">
        <f aca="false">M30*MAX(0,M44-INDEX(Assumptions!$C$18:$E$18,$B$3)*$H$3)/(1+INDEX(Assumptions!$C$15:$E$15,$B$3)*$H$4)</f>
        <v>35886.1016949153</v>
      </c>
      <c r="N49" s="8" t="n">
        <f aca="false">N30*MAX(0,N44-INDEX(Assumptions!$C$18:$E$18,$B$3)*$H$3)/(1+INDEX(Assumptions!$C$15:$E$15,$B$3)*$H$4)</f>
        <v>34254.9152542373</v>
      </c>
      <c r="O49" s="37" t="n">
        <f aca="false">SUM(C49:N49)</f>
        <v>257181.227430508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12647.6778305085</v>
      </c>
      <c r="D50" s="8" t="n">
        <f aca="false">D29*INDEX(Assumptions!$C$18:$E$18,$B$3)*$H$3/(1+INDEX(Assumptions!$C$15:$E$15,$B$3)*$H$4)</f>
        <v>24338.4589830509</v>
      </c>
      <c r="E50" s="8" t="n">
        <f aca="false">E29*INDEX(Assumptions!$C$18:$E$18,$B$3)*$H$3/(1+INDEX(Assumptions!$C$15:$E$15,$B$3)*$H$4)</f>
        <v>37871.186440678</v>
      </c>
      <c r="F50" s="8" t="n">
        <f aca="false">F29*INDEX(Assumptions!$C$18:$E$18,$B$3)*$H$3/(1+INDEX(Assumptions!$C$15:$E$15,$B$3)*$H$4)</f>
        <v>52803.2542372882</v>
      </c>
      <c r="G50" s="8" t="n">
        <f aca="false">G29*INDEX(Assumptions!$C$18:$E$18,$B$3)*$H$3/(1+INDEX(Assumptions!$C$15:$E$15,$B$3)*$H$4)</f>
        <v>75958.779661017</v>
      </c>
      <c r="H50" s="8" t="n">
        <f aca="false">H29*INDEX(Assumptions!$C$18:$E$18,$B$3)*$H$3/(1+INDEX(Assumptions!$C$15:$E$15,$B$3)*$H$4)</f>
        <v>96301.0169491526</v>
      </c>
      <c r="I50" s="8" t="n">
        <f aca="false">I29*INDEX(Assumptions!$C$18:$E$18,$B$3)*$H$3/(1+INDEX(Assumptions!$C$15:$E$15,$B$3)*$H$4)</f>
        <v>140664.406779661</v>
      </c>
      <c r="J50" s="8" t="n">
        <f aca="false">J29*INDEX(Assumptions!$C$18:$E$18,$B$3)*$H$3/(1+INDEX(Assumptions!$C$15:$E$15,$B$3)*$H$4)</f>
        <v>146074.576271186</v>
      </c>
      <c r="K50" s="8" t="n">
        <f aca="false">K29*INDEX(Assumptions!$C$18:$E$18,$B$3)*$H$3/(1+INDEX(Assumptions!$C$15:$E$15,$B$3)*$H$4)</f>
        <v>135254.237288136</v>
      </c>
      <c r="L50" s="8" t="n">
        <f aca="false">L29*INDEX(Assumptions!$C$18:$E$18,$B$3)*$H$3/(1+INDEX(Assumptions!$C$15:$E$15,$B$3)*$H$4)</f>
        <v>119023.728813559</v>
      </c>
      <c r="M50" s="8" t="n">
        <f aca="false">M29*INDEX(Assumptions!$C$18:$E$18,$B$3)*$H$3/(1+INDEX(Assumptions!$C$15:$E$15,$B$3)*$H$4)</f>
        <v>113613.559322034</v>
      </c>
      <c r="N50" s="8" t="n">
        <f aca="false">N29*INDEX(Assumptions!$C$18:$E$18,$B$3)*$H$3/(1+INDEX(Assumptions!$C$15:$E$15,$B$3)*$H$4)</f>
        <v>108203.389830508</v>
      </c>
      <c r="O50" s="37" t="n">
        <f aca="false">SUM(C50:N50)</f>
        <v>1062754.27240678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663.486573986708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1276.77515059942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1986.69068591599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2770.01444207715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3984.73389003721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5051.87060132922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7379.13683340223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7662.94978853309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7095.32387827138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6243.88501287881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5960.07205774796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5676.2591026171</v>
      </c>
      <c r="O51" s="37" t="n">
        <f aca="false">SUM(C51:N51)</f>
        <v>55751.1980173963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23050.8474576271</v>
      </c>
      <c r="F52" s="8" t="n">
        <f aca="false">F37*INDEX(Assumptions!$C$21:$E$21,$B$3)*$H$3/(1+INDEX(Assumptions!$C$15:$E$15,$B$3)*$H$4)</f>
        <v>46101.6949152542</v>
      </c>
      <c r="G52" s="8" t="n">
        <f aca="false">G37*INDEX(Assumptions!$C$21:$E$21,$B$3)*$H$3/(1+INDEX(Assumptions!$C$15:$E$15,$B$3)*$H$4)</f>
        <v>69152.5423728814</v>
      </c>
      <c r="H52" s="8" t="n">
        <f aca="false">H37*INDEX(Assumptions!$C$21:$E$21,$B$3)*$H$3/(1+INDEX(Assumptions!$C$15:$E$15,$B$3)*$H$4)</f>
        <v>92203.3898305085</v>
      </c>
      <c r="I52" s="8" t="n">
        <f aca="false">I37*INDEX(Assumptions!$C$21:$E$21,$B$3)*$H$3/(1+INDEX(Assumptions!$C$15:$E$15,$B$3)*$H$4)</f>
        <v>115254.237288136</v>
      </c>
      <c r="J52" s="8" t="n">
        <f aca="false">J37*INDEX(Assumptions!$C$21:$E$21,$B$3)*$H$3/(1+INDEX(Assumptions!$C$15:$E$15,$B$3)*$H$4)</f>
        <v>138305.084745763</v>
      </c>
      <c r="K52" s="8" t="n">
        <f aca="false">K37*INDEX(Assumptions!$C$21:$E$21,$B$3)*$H$3/(1+INDEX(Assumptions!$C$15:$E$15,$B$3)*$H$4)</f>
        <v>138305.084745763</v>
      </c>
      <c r="L52" s="8" t="n">
        <f aca="false">L37*INDEX(Assumptions!$C$21:$E$21,$B$3)*$H$3/(1+INDEX(Assumptions!$C$15:$E$15,$B$3)*$H$4)</f>
        <v>138305.084745763</v>
      </c>
      <c r="M52" s="8" t="n">
        <f aca="false">M37*INDEX(Assumptions!$C$21:$E$21,$B$3)*$H$3/(1+INDEX(Assumptions!$C$15:$E$15,$B$3)*$H$4)</f>
        <v>138305.084745763</v>
      </c>
      <c r="N52" s="8" t="n">
        <f aca="false">N37*INDEX(Assumptions!$C$21:$E$21,$B$3)*$H$3/(1+INDEX(Assumptions!$C$15:$E$15,$B$3)*$H$4)</f>
        <v>138305.084745763</v>
      </c>
      <c r="O52" s="37" t="n">
        <f aca="false">SUM(C52:N52)</f>
        <v>1037288.13559322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23724.0677966102</v>
      </c>
      <c r="D53" s="8" t="n">
        <f aca="false">D38*INDEX(Assumptions!$C$22:$E$22,$B$3)*$H$3/(1+INDEX(Assumptions!$C$15:$E$15,$B$3)*$H$4)</f>
        <v>40669.8305084746</v>
      </c>
      <c r="E53" s="8" t="n">
        <f aca="false">E38*INDEX(Assumptions!$C$22:$E$22,$B$3)*$H$3/(1+INDEX(Assumptions!$C$15:$E$15,$B$3)*$H$4)</f>
        <v>61004.7457627119</v>
      </c>
      <c r="F53" s="8" t="n">
        <f aca="false">F38*INDEX(Assumptions!$C$22:$E$22,$B$3)*$H$3/(1+INDEX(Assumptions!$C$15:$E$15,$B$3)*$H$4)</f>
        <v>66088.4745762712</v>
      </c>
      <c r="G53" s="8" t="n">
        <f aca="false">G38*INDEX(Assumptions!$C$22:$E$22,$B$3)*$H$3/(1+INDEX(Assumptions!$C$15:$E$15,$B$3)*$H$4)</f>
        <v>45753.5593220339</v>
      </c>
      <c r="H53" s="8" t="n">
        <f aca="false">H38*INDEX(Assumptions!$C$22:$E$22,$B$3)*$H$3/(1+INDEX(Assumptions!$C$15:$E$15,$B$3)*$H$4)</f>
        <v>40669.8305084746</v>
      </c>
      <c r="I53" s="8" t="n">
        <f aca="false">I38*INDEX(Assumptions!$C$22:$E$22,$B$3)*$H$3/(1+INDEX(Assumptions!$C$15:$E$15,$B$3)*$H$4)</f>
        <v>35586.1016949153</v>
      </c>
      <c r="J53" s="8" t="n">
        <f aca="false">J38*INDEX(Assumptions!$C$22:$E$22,$B$3)*$H$3/(1+INDEX(Assumptions!$C$15:$E$15,$B$3)*$H$4)</f>
        <v>30502.3728813559</v>
      </c>
      <c r="K53" s="8" t="n">
        <f aca="false">K38*INDEX(Assumptions!$C$22:$E$22,$B$3)*$H$3/(1+INDEX(Assumptions!$C$15:$E$15,$B$3)*$H$4)</f>
        <v>30502.3728813559</v>
      </c>
      <c r="L53" s="8" t="n">
        <f aca="false">L38*INDEX(Assumptions!$C$22:$E$22,$B$3)*$H$3/(1+INDEX(Assumptions!$C$15:$E$15,$B$3)*$H$4)</f>
        <v>40669.8305084746</v>
      </c>
      <c r="M53" s="8" t="n">
        <f aca="false">M38*INDEX(Assumptions!$C$22:$E$22,$B$3)*$H$3/(1+INDEX(Assumptions!$C$15:$E$15,$B$3)*$H$4)</f>
        <v>55921.0169491525</v>
      </c>
      <c r="N53" s="8" t="n">
        <f aca="false">N38*INDEX(Assumptions!$C$22:$E$22,$B$3)*$H$3/(1+INDEX(Assumptions!$C$15:$E$15,$B$3)*$H$4)</f>
        <v>71172.2033898305</v>
      </c>
      <c r="O53" s="37" t="n">
        <f aca="false">SUM(C53:N53)</f>
        <v>542264.406779661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16260.3389830509</v>
      </c>
      <c r="L54" s="8" t="n">
        <f aca="false">L41*INDEX(Assumptions!$C$83:$E$83,$B$3)/(1+INDEX(Assumptions!$C$15:$E$15,$B$3)*$H$4)</f>
        <v>16260.3389830509</v>
      </c>
      <c r="M54" s="8" t="n">
        <f aca="false">M41*INDEX(Assumptions!$C$83:$E$83,$B$3)/(1+INDEX(Assumptions!$C$15:$E$15,$B$3)*$H$4)</f>
        <v>16260.3389830509</v>
      </c>
      <c r="N54" s="8" t="n">
        <f aca="false">N41*INDEX(Assumptions!$C$83:$E$83,$B$3)/(1+INDEX(Assumptions!$C$15:$E$15,$B$3)*$H$4)</f>
        <v>16260.3389830509</v>
      </c>
      <c r="O54" s="37" t="n">
        <f aca="false">SUM(C54:N54)</f>
        <v>65041.3559322034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1613.3979661017</v>
      </c>
      <c r="F55" s="8" t="n">
        <f aca="false">F42*INDEX(Assumptions!$C$23:$E$23,$B$3)/(1+INDEX(Assumptions!$C$15:$E$15,$B$3)*$H$4)</f>
        <v>3226.79593220339</v>
      </c>
      <c r="G55" s="8" t="n">
        <f aca="false">G42*INDEX(Assumptions!$C$23:$E$23,$B$3)/(1+INDEX(Assumptions!$C$15:$E$15,$B$3)*$H$4)</f>
        <v>4840.19389830509</v>
      </c>
      <c r="H55" s="8" t="n">
        <f aca="false">H42*INDEX(Assumptions!$C$23:$E$23,$B$3)/(1+INDEX(Assumptions!$C$15:$E$15,$B$3)*$H$4)</f>
        <v>6453.59186440678</v>
      </c>
      <c r="I55" s="8" t="n">
        <f aca="false">I42*INDEX(Assumptions!$C$23:$E$23,$B$3)/(1+INDEX(Assumptions!$C$15:$E$15,$B$3)*$H$4)</f>
        <v>8066.98983050847</v>
      </c>
      <c r="J55" s="8" t="n">
        <f aca="false">J42*INDEX(Assumptions!$C$23:$E$23,$B$3)/(1+INDEX(Assumptions!$C$15:$E$15,$B$3)*$H$4)</f>
        <v>9680.38779661017</v>
      </c>
      <c r="K55" s="8" t="n">
        <f aca="false">K42*INDEX(Assumptions!$C$23:$E$23,$B$3)/(1+INDEX(Assumptions!$C$15:$E$15,$B$3)*$H$4)</f>
        <v>9680.38779661017</v>
      </c>
      <c r="L55" s="8" t="n">
        <f aca="false">L42*INDEX(Assumptions!$C$23:$E$23,$B$3)/(1+INDEX(Assumptions!$C$15:$E$15,$B$3)*$H$4)</f>
        <v>9680.38779661017</v>
      </c>
      <c r="M55" s="8" t="n">
        <f aca="false">M42*INDEX(Assumptions!$C$23:$E$23,$B$3)/(1+INDEX(Assumptions!$C$15:$E$15,$B$3)*$H$4)</f>
        <v>9680.38779661017</v>
      </c>
      <c r="N55" s="8" t="n">
        <f aca="false">N42*INDEX(Assumptions!$C$23:$E$23,$B$3)/(1+INDEX(Assumptions!$C$15:$E$15,$B$3)*$H$4)</f>
        <v>9680.38779661017</v>
      </c>
      <c r="O55" s="37" t="n">
        <f aca="false">SUM(C55:N55)</f>
        <v>72602.9084745763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5990.4</v>
      </c>
      <c r="J56" s="8" t="n">
        <f aca="false">(J27+J28)*(1-J45)*INDEX(Assumptions!$C$90:$E$90,$B$3)</f>
        <v>6220.8</v>
      </c>
      <c r="K56" s="8" t="n">
        <f aca="false">(K27+K28)*(1-K45)*INDEX(Assumptions!$C$90:$E$90,$B$3)</f>
        <v>5760</v>
      </c>
      <c r="L56" s="8" t="n">
        <f aca="false">(L27+L28)*(1-L45)*INDEX(Assumptions!$C$90:$E$90,$B$3)</f>
        <v>5068.8</v>
      </c>
      <c r="M56" s="8" t="n">
        <f aca="false">(M27+M28)*(1-M45)*INDEX(Assumptions!$C$90:$E$90,$B$3)</f>
        <v>4838.4</v>
      </c>
      <c r="N56" s="8" t="n">
        <f aca="false">(N27+N28)*(1-N45)*INDEX(Assumptions!$C$90:$E$90,$B$3)</f>
        <v>4608</v>
      </c>
      <c r="O56" s="37" t="n">
        <f aca="false">SUM(C56:N56)</f>
        <v>32486.4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65563.8288112749</v>
      </c>
      <c r="D57" s="37" t="n">
        <f aca="false">SUM(D47:D56)</f>
        <v>123095.260276023</v>
      </c>
      <c r="E57" s="37" t="n">
        <f aca="false">SUM(E47:E56)</f>
        <v>214628.815363882</v>
      </c>
      <c r="F57" s="37" t="n">
        <f aca="false">SUM(F47:F56)</f>
        <v>295818.708679365</v>
      </c>
      <c r="G57" s="37" t="n">
        <f aca="false">SUM(G47:G56)</f>
        <v>379005.44304258</v>
      </c>
      <c r="H57" s="37" t="n">
        <f aca="false">SUM(H47:H56)</f>
        <v>469379.523482685</v>
      </c>
      <c r="I57" s="37" t="n">
        <f aca="false">SUM(I47:I56)</f>
        <v>765027.238528318</v>
      </c>
      <c r="J57" s="37" t="n">
        <f aca="false">SUM(J47:J56)</f>
        <v>820179.052839381</v>
      </c>
      <c r="K57" s="37" t="n">
        <f aca="false">SUM(K47:K56)</f>
        <v>793679.440488441</v>
      </c>
      <c r="L57" s="37" t="n">
        <f aca="false">SUM(L47:L56)</f>
        <v>733997.818572201</v>
      </c>
      <c r="M57" s="37" t="n">
        <f aca="false">SUM(M47:M56)</f>
        <v>722159.876803511</v>
      </c>
      <c r="N57" s="37" t="n">
        <f aca="false">SUM(N47:N56)</f>
        <v>713584.307916176</v>
      </c>
      <c r="O57" s="31" t="n">
        <f aca="false">SUM(C57:N57)</f>
        <v>6096119.31480384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41176.274440678</v>
      </c>
      <c r="D58" s="8" t="n">
        <f aca="false">D47+D48+D49+D50</f>
        <v>81148.6546169492</v>
      </c>
      <c r="E58" s="8" t="n">
        <f aca="false">E47+E48+E49+E50</f>
        <v>126973.133491525</v>
      </c>
      <c r="F58" s="8" t="n">
        <f aca="false">F47+F48+F49+F50</f>
        <v>177631.728813559</v>
      </c>
      <c r="G58" s="8" t="n">
        <f aca="false">G47+G48+G49+G50</f>
        <v>255274.413559322</v>
      </c>
      <c r="H58" s="8" t="n">
        <f aca="false">H47+H48+H49+H50</f>
        <v>325000.840677966</v>
      </c>
      <c r="I58" s="8" t="n">
        <f aca="false">I47+I48+I49+I50</f>
        <v>592750.372881356</v>
      </c>
      <c r="J58" s="8" t="n">
        <f aca="false">J47+J48+J49+J50</f>
        <v>627807.457627119</v>
      </c>
      <c r="K58" s="8" t="n">
        <f aca="false">K47+K48+K49+K50</f>
        <v>586075.93220339</v>
      </c>
      <c r="L58" s="8" t="n">
        <f aca="false">L47+L48+L49+L50</f>
        <v>517769.491525424</v>
      </c>
      <c r="M58" s="8" t="n">
        <f aca="false">M47+M48+M49+M50</f>
        <v>491194.576271186</v>
      </c>
      <c r="N58" s="8" t="n">
        <f aca="false">N47+N48+N49+N50</f>
        <v>467882.033898305</v>
      </c>
      <c r="O58" s="37" t="n">
        <f aca="false">SUM(C58:N58)</f>
        <v>4290684.91000678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3366.3744</v>
      </c>
      <c r="D60" s="8" t="n">
        <f aca="false">((D27+D30)*INDEX(Assumptions!$C$91:$E$91,$B$3)+D28*INDEX(Assumptions!$C$93:$E$93,$B$3))*$N$3</f>
        <v>7151.33088</v>
      </c>
      <c r="E60" s="8" t="n">
        <f aca="false">((E27+E30)*INDEX(Assumptions!$C$91:$E$91,$B$3)+E28*INDEX(Assumptions!$C$93:$E$93,$B$3))*$N$3</f>
        <v>11375.6112</v>
      </c>
      <c r="F60" s="8" t="n">
        <f aca="false">((F27+F30)*INDEX(Assumptions!$C$91:$E$91,$B$3)+F28*INDEX(Assumptions!$C$93:$E$93,$B$3))*$N$3</f>
        <v>16070.4</v>
      </c>
      <c r="G60" s="8" t="n">
        <f aca="false">((G27+G30)*INDEX(Assumptions!$C$91:$E$91,$B$3)+G28*INDEX(Assumptions!$C$93:$E$93,$B$3))*$N$3</f>
        <v>23028.48</v>
      </c>
      <c r="H60" s="8" t="n">
        <f aca="false">((H27+H30)*INDEX(Assumptions!$C$91:$E$91,$B$3)+H28*INDEX(Assumptions!$C$93:$E$93,$B$3))*$N$3</f>
        <v>29675.52</v>
      </c>
      <c r="I60" s="8" t="n">
        <f aca="false">((I27+I30)*INDEX(Assumptions!$C$91:$E$91,$B$3)+I28*INDEX(Assumptions!$C$93:$E$93,$B$3))*$N$3</f>
        <v>42566.4</v>
      </c>
      <c r="J60" s="8" t="n">
        <f aca="false">((J27+J30)*INDEX(Assumptions!$C$91:$E$91,$B$3)+J28*INDEX(Assumptions!$C$93:$E$93,$B$3))*$N$3</f>
        <v>46368</v>
      </c>
      <c r="K60" s="8" t="n">
        <f aca="false">((K27+K30)*INDEX(Assumptions!$C$91:$E$91,$B$3)+K28*INDEX(Assumptions!$C$93:$E$93,$B$3))*$N$3</f>
        <v>43776</v>
      </c>
      <c r="L60" s="8" t="n">
        <f aca="false">((L27+L30)*INDEX(Assumptions!$C$91:$E$91,$B$3)+L28*INDEX(Assumptions!$C$93:$E$93,$B$3))*$N$3</f>
        <v>40860</v>
      </c>
      <c r="M60" s="8" t="n">
        <f aca="false">((M27+M30)*INDEX(Assumptions!$C$91:$E$91,$B$3)+M28*INDEX(Assumptions!$C$93:$E$93,$B$3))*$N$3</f>
        <v>38466</v>
      </c>
      <c r="N60" s="8" t="n">
        <f aca="false">((N27+N30)*INDEX(Assumptions!$C$91:$E$91,$B$3)+N28*INDEX(Assumptions!$C$93:$E$93,$B$3))*$N$3</f>
        <v>36648</v>
      </c>
      <c r="O60" s="37" t="n">
        <f aca="false">SUM(C60:N60)</f>
        <v>339352.11648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6732.7488</v>
      </c>
      <c r="D61" s="8" t="n">
        <f aca="false">(D27+D28)*D45*INDEX(Assumptions!$C$14:$E$14,$B$3)*$N$3</f>
        <v>12956.112</v>
      </c>
      <c r="E61" s="8" t="n">
        <f aca="false">(E27+E28)*E45*INDEX(Assumptions!$C$14:$E$14,$B$3)*$N$3</f>
        <v>20160</v>
      </c>
      <c r="F61" s="8" t="n">
        <f aca="false">(F27+F28)*F45*INDEX(Assumptions!$C$14:$E$14,$B$3)*$N$3</f>
        <v>28108.8</v>
      </c>
      <c r="G61" s="8" t="n">
        <f aca="false">(G27+G28)*G45*INDEX(Assumptions!$C$14:$E$14,$B$3)*$N$3</f>
        <v>40435.2</v>
      </c>
      <c r="H61" s="8" t="n">
        <f aca="false">(H27+H28)*H45*INDEX(Assumptions!$C$14:$E$14,$B$3)*$N$3</f>
        <v>51264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159656.8608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748.0832</v>
      </c>
      <c r="D62" s="8" t="n">
        <f aca="false">D29*INDEX(Assumptions!$C$92:$E$92,$B$3)*$N$3</f>
        <v>1439.568</v>
      </c>
      <c r="E62" s="8" t="n">
        <f aca="false">E29*INDEX(Assumptions!$C$92:$E$92,$B$3)*$N$3</f>
        <v>2240</v>
      </c>
      <c r="F62" s="8" t="n">
        <f aca="false">F29*INDEX(Assumptions!$C$92:$E$92,$B$3)*$N$3</f>
        <v>3123.2</v>
      </c>
      <c r="G62" s="8" t="n">
        <f aca="false">G29*INDEX(Assumptions!$C$92:$E$92,$B$3)*$N$3</f>
        <v>4492.8</v>
      </c>
      <c r="H62" s="8" t="n">
        <f aca="false">H29*INDEX(Assumptions!$C$92:$E$92,$B$3)*$N$3</f>
        <v>5696</v>
      </c>
      <c r="I62" s="8" t="n">
        <f aca="false">I29*INDEX(Assumptions!$C$92:$E$92,$B$3)*$N$3</f>
        <v>8320</v>
      </c>
      <c r="J62" s="8" t="n">
        <f aca="false">J29*INDEX(Assumptions!$C$92:$E$92,$B$3)*$N$3</f>
        <v>8640</v>
      </c>
      <c r="K62" s="8" t="n">
        <f aca="false">K29*INDEX(Assumptions!$C$92:$E$92,$B$3)*$N$3</f>
        <v>8000</v>
      </c>
      <c r="L62" s="8" t="n">
        <f aca="false">L29*INDEX(Assumptions!$C$92:$E$92,$B$3)*$N$3</f>
        <v>7040</v>
      </c>
      <c r="M62" s="8" t="n">
        <f aca="false">M29*INDEX(Assumptions!$C$92:$E$92,$B$3)*$N$3</f>
        <v>6720</v>
      </c>
      <c r="N62" s="8" t="n">
        <f aca="false">N29*INDEX(Assumptions!$C$92:$E$92,$B$3)*$N$3</f>
        <v>6400</v>
      </c>
      <c r="O62" s="37" t="n">
        <f aca="false">SUM(C62:N62)</f>
        <v>62859.6512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2459.30206378987</v>
      </c>
      <c r="D63" s="8" t="n">
        <f aca="false">(D37*INDEX(Assumptions!$C$94:$E$94,$B$3)+D38*INDEX(Assumptions!$C$95:$E$95,$B$3)+D39*INDEX(Assumptions!$C$96:$E$96,$B$3))*$N$3</f>
        <v>4262.01219512195</v>
      </c>
      <c r="E63" s="8" t="n">
        <f aca="false">(E37*INDEX(Assumptions!$C$94:$E$94,$B$3)+E38*INDEX(Assumptions!$C$95:$E$95,$B$3)+E39*INDEX(Assumptions!$C$96:$E$96,$B$3))*$N$3</f>
        <v>9136.66041275797</v>
      </c>
      <c r="F63" s="8" t="n">
        <f aca="false">(F37*INDEX(Assumptions!$C$94:$E$94,$B$3)+F38*INDEX(Assumptions!$C$95:$E$95,$B$3)+F39*INDEX(Assumptions!$C$96:$E$96,$B$3))*$N$3</f>
        <v>12595.5722326454</v>
      </c>
      <c r="G63" s="8" t="n">
        <f aca="false">(G37*INDEX(Assumptions!$C$94:$E$94,$B$3)+G38*INDEX(Assumptions!$C$95:$E$95,$B$3)+G39*INDEX(Assumptions!$C$96:$E$96,$B$3))*$N$3</f>
        <v>13797.0731707317</v>
      </c>
      <c r="H63" s="8" t="n">
        <f aca="false">(H37*INDEX(Assumptions!$C$94:$E$94,$B$3)+H38*INDEX(Assumptions!$C$95:$E$95,$B$3)+H39*INDEX(Assumptions!$C$96:$E$96,$B$3))*$N$3</f>
        <v>16389.7936210131</v>
      </c>
      <c r="I63" s="8" t="n">
        <f aca="false">(I37*INDEX(Assumptions!$C$94:$E$94,$B$3)+I38*INDEX(Assumptions!$C$95:$E$95,$B$3)+I39*INDEX(Assumptions!$C$96:$E$96,$B$3))*$N$3</f>
        <v>19399.0243902439</v>
      </c>
      <c r="J63" s="8" t="n">
        <f aca="false">(J37*INDEX(Assumptions!$C$94:$E$94,$B$3)+J38*INDEX(Assumptions!$C$95:$E$95,$B$3)+J39*INDEX(Assumptions!$C$96:$E$96,$B$3))*$N$3</f>
        <v>21732.8330206379</v>
      </c>
      <c r="K63" s="8" t="n">
        <f aca="false">(K37*INDEX(Assumptions!$C$94:$E$94,$B$3)+K38*INDEX(Assumptions!$C$95:$E$95,$B$3)+K39*INDEX(Assumptions!$C$96:$E$96,$B$3))*$N$3</f>
        <v>21545.2157598499</v>
      </c>
      <c r="L63" s="8" t="n">
        <f aca="false">(L37*INDEX(Assumptions!$C$94:$E$94,$B$3)+L38*INDEX(Assumptions!$C$95:$E$95,$B$3)+L39*INDEX(Assumptions!$C$96:$E$96,$B$3))*$N$3</f>
        <v>22223.7898686679</v>
      </c>
      <c r="M63" s="8" t="n">
        <f aca="false">(M37*INDEX(Assumptions!$C$94:$E$94,$B$3)+M38*INDEX(Assumptions!$C$95:$E$95,$B$3)+M39*INDEX(Assumptions!$C$96:$E$96,$B$3))*$N$3</f>
        <v>23569.9812382739</v>
      </c>
      <c r="N63" s="8" t="n">
        <f aca="false">(N37*INDEX(Assumptions!$C$94:$E$94,$B$3)+N38*INDEX(Assumptions!$C$95:$E$95,$B$3)+N39*INDEX(Assumptions!$C$96:$E$96,$B$3))*$N$3</f>
        <v>24916.1726078799</v>
      </c>
      <c r="O63" s="37" t="n">
        <f aca="false">SUM(C63:N63)</f>
        <v>192027.430581614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380.8</v>
      </c>
      <c r="F65" s="8" t="n">
        <f aca="false">F42*INDEX(Assumptions!$C$97:$E$97,$B$3)</f>
        <v>761.6</v>
      </c>
      <c r="G65" s="8" t="n">
        <f aca="false">G42*INDEX(Assumptions!$C$97:$E$97,$B$3)</f>
        <v>1142.4</v>
      </c>
      <c r="H65" s="8" t="n">
        <f aca="false">H42*INDEX(Assumptions!$C$97:$E$97,$B$3)</f>
        <v>1523.2</v>
      </c>
      <c r="I65" s="8" t="n">
        <f aca="false">I42*INDEX(Assumptions!$C$97:$E$97,$B$3)</f>
        <v>1904</v>
      </c>
      <c r="J65" s="8" t="n">
        <f aca="false">J42*INDEX(Assumptions!$C$97:$E$97,$B$3)</f>
        <v>2284.8</v>
      </c>
      <c r="K65" s="8" t="n">
        <f aca="false">K42*INDEX(Assumptions!$C$97:$E$97,$B$3)</f>
        <v>2284.8</v>
      </c>
      <c r="L65" s="8" t="n">
        <f aca="false">L42*INDEX(Assumptions!$C$97:$E$97,$B$3)</f>
        <v>2284.8</v>
      </c>
      <c r="M65" s="8" t="n">
        <f aca="false">M42*INDEX(Assumptions!$C$97:$E$97,$B$3)</f>
        <v>2284.8</v>
      </c>
      <c r="N65" s="8" t="n">
        <f aca="false">N42*INDEX(Assumptions!$C$97:$E$97,$B$3)</f>
        <v>2284.8</v>
      </c>
      <c r="O65" s="37" t="n">
        <f aca="false">SUM(C65:N65)</f>
        <v>17136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2136.42187994609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4078.17868235415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6905.19524918762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9559.02952483302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12647.3962958049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15800.0081141914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27390.2180292683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29304.0096470094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28040.3027955272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25556.4485183039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24840.0210925629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24267.9536668218</v>
      </c>
      <c r="O66" s="37" t="n">
        <f aca="false">SUM(C66:N66)</f>
        <v>210525.183495811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561.0624</v>
      </c>
      <c r="D67" s="8" t="n">
        <f aca="false">D31*INDEX(Assumptions!$C$198:$E$198,$B$3)*INDEX(Assumptions!$C$69:$E$69,$B$3)</f>
        <v>1079.676</v>
      </c>
      <c r="E67" s="8" t="n">
        <f aca="false">E31*INDEX(Assumptions!$C$198:$E$198,$B$3)*INDEX(Assumptions!$C$69:$E$69,$B$3)</f>
        <v>1680</v>
      </c>
      <c r="F67" s="8" t="n">
        <f aca="false">F31*INDEX(Assumptions!$C$198:$E$198,$B$3)*INDEX(Assumptions!$C$69:$E$69,$B$3)</f>
        <v>2342.4</v>
      </c>
      <c r="G67" s="8" t="n">
        <f aca="false">G31*INDEX(Assumptions!$C$198:$E$198,$B$3)*INDEX(Assumptions!$C$69:$E$69,$B$3)</f>
        <v>3369.6</v>
      </c>
      <c r="H67" s="8" t="n">
        <f aca="false">H31*INDEX(Assumptions!$C$198:$E$198,$B$3)*INDEX(Assumptions!$C$69:$E$69,$B$3)</f>
        <v>4272</v>
      </c>
      <c r="I67" s="8" t="n">
        <f aca="false">I31*INDEX(Assumptions!$C$198:$E$198,$B$3)*INDEX(Assumptions!$C$69:$E$69,$B$3)</f>
        <v>6240</v>
      </c>
      <c r="J67" s="8" t="n">
        <f aca="false">J31*INDEX(Assumptions!$C$198:$E$198,$B$3)*INDEX(Assumptions!$C$69:$E$69,$B$3)</f>
        <v>6480</v>
      </c>
      <c r="K67" s="8" t="n">
        <f aca="false">K31*INDEX(Assumptions!$C$198:$E$198,$B$3)*INDEX(Assumptions!$C$69:$E$69,$B$3)</f>
        <v>6000</v>
      </c>
      <c r="L67" s="8" t="n">
        <f aca="false">L31*INDEX(Assumptions!$C$198:$E$198,$B$3)*INDEX(Assumptions!$C$69:$E$69,$B$3)</f>
        <v>5280</v>
      </c>
      <c r="M67" s="8" t="n">
        <f aca="false">M31*INDEX(Assumptions!$C$198:$E$198,$B$3)*INDEX(Assumptions!$C$69:$E$69,$B$3)</f>
        <v>5040</v>
      </c>
      <c r="N67" s="8" t="n">
        <f aca="false">N31*INDEX(Assumptions!$C$198:$E$198,$B$3)*INDEX(Assumptions!$C$69:$E$69,$B$3)</f>
        <v>4800</v>
      </c>
      <c r="O67" s="37" t="n">
        <f aca="false">SUM(C67:N67)</f>
        <v>47144.7384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16003.992743736</v>
      </c>
      <c r="D68" s="37" t="n">
        <f aca="false">SUM(D60:D67)</f>
        <v>30966.8777574761</v>
      </c>
      <c r="E68" s="37" t="n">
        <f aca="false">SUM(E60:E67)</f>
        <v>51878.2668619456</v>
      </c>
      <c r="F68" s="37" t="n">
        <f aca="false">SUM(F60:F67)</f>
        <v>72561.0017574784</v>
      </c>
      <c r="G68" s="37" t="n">
        <f aca="false">SUM(G60:G67)</f>
        <v>98912.9494665366</v>
      </c>
      <c r="H68" s="37" t="n">
        <f aca="false">SUM(H60:H67)</f>
        <v>124620.521735205</v>
      </c>
      <c r="I68" s="37" t="n">
        <f aca="false">SUM(I60:I67)</f>
        <v>105819.642419512</v>
      </c>
      <c r="J68" s="37" t="n">
        <f aca="false">SUM(J60:J67)</f>
        <v>114809.642667647</v>
      </c>
      <c r="K68" s="37" t="n">
        <f aca="false">SUM(K60:K67)</f>
        <v>135646.318555377</v>
      </c>
      <c r="L68" s="37" t="n">
        <f aca="false">SUM(L60:L67)</f>
        <v>129245.038386972</v>
      </c>
      <c r="M68" s="37" t="n">
        <f aca="false">SUM(M60:M67)</f>
        <v>126920.802330837</v>
      </c>
      <c r="N68" s="37" t="n">
        <f aca="false">SUM(N60:N67)</f>
        <v>125316.926274702</v>
      </c>
      <c r="O68" s="31" t="n">
        <f aca="false">SUM(C68:N68)</f>
        <v>1132701.98095742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49559.8360675389</v>
      </c>
      <c r="D69" s="37" t="n">
        <f aca="false">D57-D68</f>
        <v>92128.3825185471</v>
      </c>
      <c r="E69" s="37" t="n">
        <f aca="false">E57-E68</f>
        <v>162750.548501937</v>
      </c>
      <c r="F69" s="37" t="n">
        <f aca="false">F57-F68</f>
        <v>223257.706921887</v>
      </c>
      <c r="G69" s="37" t="n">
        <f aca="false">G57-G68</f>
        <v>280092.493576043</v>
      </c>
      <c r="H69" s="37" t="n">
        <f aca="false">H57-H68</f>
        <v>344759.001747481</v>
      </c>
      <c r="I69" s="37" t="n">
        <f aca="false">I57-I68</f>
        <v>659207.596108805</v>
      </c>
      <c r="J69" s="37" t="n">
        <f aca="false">J57-J68</f>
        <v>705369.410171733</v>
      </c>
      <c r="K69" s="37" t="n">
        <f aca="false">K57-K68</f>
        <v>658033.121933064</v>
      </c>
      <c r="L69" s="37" t="n">
        <f aca="false">L57-L68</f>
        <v>604752.780185229</v>
      </c>
      <c r="M69" s="37" t="n">
        <f aca="false">M57-M68</f>
        <v>595239.074472674</v>
      </c>
      <c r="N69" s="37" t="n">
        <f aca="false">N57-N68</f>
        <v>588267.381641475</v>
      </c>
      <c r="O69" s="31" t="n">
        <f aca="false">SUM(C69:N69)</f>
        <v>4963417.33384641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0.748431599331791</v>
      </c>
      <c r="E70" s="7" t="n">
        <f aca="false">IFERROR(E69/E57,0)</f>
        <v>0.758288434970901</v>
      </c>
      <c r="F70" s="7" t="n">
        <f aca="false">IFERROR(F69/F57,0)</f>
        <v>0.754711248381094</v>
      </c>
      <c r="G70" s="7" t="n">
        <f aca="false">IFERROR(G69/G57,0)</f>
        <v>0.739019712560107</v>
      </c>
      <c r="H70" s="7" t="n">
        <f aca="false">IFERROR(H69/H57,0)</f>
        <v>0.734499449804394</v>
      </c>
      <c r="I70" s="7" t="n">
        <f aca="false">IFERROR(I69/I57,0)</f>
        <v>0.861678595100643</v>
      </c>
      <c r="J70" s="7" t="n">
        <f aca="false">IFERROR(J69/J57,0)</f>
        <v>0.860018806539636</v>
      </c>
      <c r="K70" s="7" t="n">
        <f aca="false">IFERROR(K69/K57,0)</f>
        <v>0.829091807554069</v>
      </c>
      <c r="L70" s="7" t="n">
        <f aca="false">IFERROR(L69/L57,0)</f>
        <v>0.823916318118787</v>
      </c>
      <c r="M70" s="7" t="n">
        <f aca="false">IFERROR(M69/M57,0)</f>
        <v>0.824248332803222</v>
      </c>
      <c r="N70" s="7" t="n">
        <f aca="false">IFERROR(N69/N57,0)</f>
        <v>0.824383853618286</v>
      </c>
      <c r="O70" s="13" t="n">
        <f aca="false">IFERROR(O69/O57,0)</f>
        <v>0.814192944320042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-242273.163932461</v>
      </c>
      <c r="D92" s="37" t="n">
        <f aca="false">D69-D91</f>
        <v>-219704.617481453</v>
      </c>
      <c r="E92" s="37" t="n">
        <f aca="false">E69-E91</f>
        <v>-324082.451498064</v>
      </c>
      <c r="F92" s="37" t="n">
        <f aca="false">F69-F91</f>
        <v>-123575.293078113</v>
      </c>
      <c r="G92" s="37" t="n">
        <f aca="false">G69-G91</f>
        <v>-86740.506423957</v>
      </c>
      <c r="H92" s="37" t="n">
        <f aca="false">H69-H91</f>
        <v>-44573.9982525193</v>
      </c>
      <c r="I92" s="37" t="n">
        <f aca="false">I69-I91</f>
        <v>149274.596108805</v>
      </c>
      <c r="J92" s="37" t="n">
        <f aca="false">J69-J91</f>
        <v>195436.410171733</v>
      </c>
      <c r="K92" s="37" t="n">
        <f aca="false">K69-K91</f>
        <v>143100.121933064</v>
      </c>
      <c r="L92" s="37" t="n">
        <f aca="false">L69-L91</f>
        <v>89819.7801852291</v>
      </c>
      <c r="M92" s="37" t="n">
        <f aca="false">M69-M91</f>
        <v>80306.0744726739</v>
      </c>
      <c r="N92" s="37" t="n">
        <f aca="false">N69-N91</f>
        <v>73334.3816414747</v>
      </c>
      <c r="O92" s="31" t="n">
        <f aca="false">SUM(C92:N92)</f>
        <v>-309678.666153587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-3.69522598550251</v>
      </c>
      <c r="D93" s="7" t="n">
        <f aca="false">IFERROR(D92/D57,0)</f>
        <v>-1.78483409506424</v>
      </c>
      <c r="E93" s="7" t="n">
        <f aca="false">IFERROR(E92/E57,0)</f>
        <v>-1.50996710739242</v>
      </c>
      <c r="F93" s="7" t="n">
        <f aca="false">IFERROR(F92/F57,0)</f>
        <v>-0.417739951708244</v>
      </c>
      <c r="G93" s="7" t="n">
        <f aca="false">IFERROR(G92/G57,0)</f>
        <v>-0.228863484723654</v>
      </c>
      <c r="H93" s="7" t="n">
        <f aca="false">IFERROR(H92/H57,0)</f>
        <v>-0.0949636616480215</v>
      </c>
      <c r="I93" s="7" t="n">
        <f aca="false">IFERROR(I92/I57,0)</f>
        <v>0.195123243449429</v>
      </c>
      <c r="J93" s="7" t="n">
        <f aca="false">IFERROR(J92/J57,0)</f>
        <v>0.238285054336796</v>
      </c>
      <c r="K93" s="7" t="n">
        <f aca="false">IFERROR(K92/K57,0)</f>
        <v>0.180299645717165</v>
      </c>
      <c r="L93" s="7" t="n">
        <f aca="false">IFERROR(L92/L57,0)</f>
        <v>0.122370636414083</v>
      </c>
      <c r="M93" s="7" t="n">
        <f aca="false">IFERROR(M92/M57,0)</f>
        <v>0.111202625695756</v>
      </c>
      <c r="N93" s="7" t="n">
        <f aca="false">IFERROR(N92/N57,0)</f>
        <v>0.102769050311136</v>
      </c>
      <c r="O93" s="7" t="n">
        <f aca="false">IFERROR(O92/O57,0)</f>
        <v>-0.0507993118509938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-317273.163932461</v>
      </c>
      <c r="D94" s="8" t="n">
        <f aca="false">D92-INDEX(Assumptions!$C$163:$E$163,$B$3)</f>
        <v>-294704.617481453</v>
      </c>
      <c r="E94" s="8" t="n">
        <f aca="false">E92-INDEX(Assumptions!$C$163:$E$163,$B$3)</f>
        <v>-399082.451498064</v>
      </c>
      <c r="F94" s="8" t="n">
        <f aca="false">F92-INDEX(Assumptions!$C$163:$E$163,$B$3)</f>
        <v>-198575.293078113</v>
      </c>
      <c r="G94" s="8" t="n">
        <f aca="false">G92-INDEX(Assumptions!$C$163:$E$163,$B$3)</f>
        <v>-161740.506423957</v>
      </c>
      <c r="H94" s="8" t="n">
        <f aca="false">H92-INDEX(Assumptions!$C$163:$E$163,$B$3)</f>
        <v>-119573.998252519</v>
      </c>
      <c r="I94" s="8" t="n">
        <f aca="false">I92-INDEX(Assumptions!$C$163:$E$163,$B$3)</f>
        <v>74274.5961088054</v>
      </c>
      <c r="J94" s="8" t="n">
        <f aca="false">J92-INDEX(Assumptions!$C$163:$E$163,$B$3)</f>
        <v>120436.410171733</v>
      </c>
      <c r="K94" s="8" t="n">
        <f aca="false">K92-INDEX(Assumptions!$C$163:$E$163,$B$3)</f>
        <v>68100.1219330637</v>
      </c>
      <c r="L94" s="8" t="n">
        <f aca="false">L92-INDEX(Assumptions!$C$163:$E$163,$B$3)</f>
        <v>14819.7801852291</v>
      </c>
      <c r="M94" s="8" t="n">
        <f aca="false">M92-INDEX(Assumptions!$C$163:$E$163,$B$3)</f>
        <v>5306.07447267394</v>
      </c>
      <c r="N94" s="8" t="n">
        <f aca="false">N92-INDEX(Assumptions!$C$163:$E$163,$B$3)</f>
        <v>-1665.61835852533</v>
      </c>
      <c r="O94" s="37" t="n">
        <f aca="false">SUM(C94:N94)</f>
        <v>-1209678.66615359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-20588.137220339</v>
      </c>
      <c r="D102" s="8" t="n">
        <f aca="false">((D58+IF(INDEX(Assumptions!$C$87:$E$87,$B$3)&gt;=2,C58,0)+IF(INDEX(Assumptions!$C$87:$E$87,$B$3)&gt;=3,0,0))/INDEX(Assumptions!$C$87:$E$87,$B$3))-D58</f>
        <v>-19986.1900881356</v>
      </c>
      <c r="E102" s="8" t="n">
        <f aca="false">((E58+IF(INDEX(Assumptions!$C$87:$E$87,$B$3)&gt;=2,D58,0)+IF(INDEX(Assumptions!$C$87:$E$87,$B$3)&gt;=3,C58,0))/INDEX(Assumptions!$C$87:$E$87,$B$3))-E58</f>
        <v>-22912.2394372881</v>
      </c>
      <c r="F102" s="8" t="n">
        <f aca="false">((F58+IF(INDEX(Assumptions!$C$87:$E$87,$B$3)&gt;=2,E58,0)+IF(INDEX(Assumptions!$C$87:$E$87,$B$3)&gt;=3,D58,0))/INDEX(Assumptions!$C$87:$E$87,$B$3))-F58</f>
        <v>-25329.297661017</v>
      </c>
      <c r="G102" s="8" t="n">
        <f aca="false">((G58+IF(INDEX(Assumptions!$C$87:$E$87,$B$3)&gt;=2,F58,0)+IF(INDEX(Assumptions!$C$87:$E$87,$B$3)&gt;=3,E58,0))/INDEX(Assumptions!$C$87:$E$87,$B$3))-G58</f>
        <v>-38821.3423728814</v>
      </c>
      <c r="H102" s="8" t="n">
        <f aca="false">((H58+IF(INDEX(Assumptions!$C$87:$E$87,$B$3)&gt;=2,G58,0)+IF(INDEX(Assumptions!$C$87:$E$87,$B$3)&gt;=3,F58,0))/INDEX(Assumptions!$C$87:$E$87,$B$3))-H58</f>
        <v>-34863.2135593221</v>
      </c>
      <c r="I102" s="8" t="n">
        <f aca="false">((I58+IF(INDEX(Assumptions!$C$87:$E$87,$B$3)&gt;=2,H58,0)+IF(INDEX(Assumptions!$C$87:$E$87,$B$3)&gt;=3,G58,0))/INDEX(Assumptions!$C$87:$E$87,$B$3))-I58</f>
        <v>-133874.766101695</v>
      </c>
      <c r="J102" s="8" t="n">
        <f aca="false">((J58+IF(INDEX(Assumptions!$C$87:$E$87,$B$3)&gt;=2,I58,0)+IF(INDEX(Assumptions!$C$87:$E$87,$B$3)&gt;=3,H58,0))/INDEX(Assumptions!$C$87:$E$87,$B$3))-J58</f>
        <v>-17528.5423728813</v>
      </c>
      <c r="K102" s="8" t="n">
        <f aca="false">((K58+IF(INDEX(Assumptions!$C$87:$E$87,$B$3)&gt;=2,J58,0)+IF(INDEX(Assumptions!$C$87:$E$87,$B$3)&gt;=3,I58,0))/INDEX(Assumptions!$C$87:$E$87,$B$3))-K58</f>
        <v>20865.7627118644</v>
      </c>
      <c r="L102" s="8" t="n">
        <f aca="false">((L58+IF(INDEX(Assumptions!$C$87:$E$87,$B$3)&gt;=2,K58,0)+IF(INDEX(Assumptions!$C$87:$E$87,$B$3)&gt;=3,J58,0))/INDEX(Assumptions!$C$87:$E$87,$B$3))-L58</f>
        <v>34153.2203389831</v>
      </c>
      <c r="M102" s="8" t="n">
        <f aca="false">((M58+IF(INDEX(Assumptions!$C$87:$E$87,$B$3)&gt;=2,L58,0)+IF(INDEX(Assumptions!$C$87:$E$87,$B$3)&gt;=3,K58,0))/INDEX(Assumptions!$C$87:$E$87,$B$3))-M58</f>
        <v>13287.4576271187</v>
      </c>
      <c r="N102" s="8" t="n">
        <f aca="false">((N58+IF(INDEX(Assumptions!$C$87:$E$87,$B$3)&gt;=2,M58,0)+IF(INDEX(Assumptions!$C$87:$E$87,$B$3)&gt;=3,L58,0))/INDEX(Assumptions!$C$87:$E$87,$B$3))-N58</f>
        <v>11656.2711864407</v>
      </c>
      <c r="O102" s="37" t="n">
        <f aca="false">SUM(C102:N102)</f>
        <v>-233941.016949153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-412861.3011528</v>
      </c>
      <c r="D103" s="37" t="n">
        <f aca="false">D92+D102-D101</f>
        <v>-239690.807569589</v>
      </c>
      <c r="E103" s="37" t="n">
        <f aca="false">E92+E102-E101</f>
        <v>-346994.690935352</v>
      </c>
      <c r="F103" s="37" t="n">
        <f aca="false">F92+F102-F101</f>
        <v>-148904.59073913</v>
      </c>
      <c r="G103" s="37" t="n">
        <f aca="false">G92+G102-G101</f>
        <v>-125561.848796838</v>
      </c>
      <c r="H103" s="37" t="n">
        <f aca="false">H92+H102-H101</f>
        <v>-1551437.21181184</v>
      </c>
      <c r="I103" s="37" t="n">
        <f aca="false">I92+I102-I101</f>
        <v>15399.8300071105</v>
      </c>
      <c r="J103" s="37" t="n">
        <f aca="false">J92+J102-J101</f>
        <v>-172092.132201148</v>
      </c>
      <c r="K103" s="37" t="n">
        <f aca="false">K92+K102-K101</f>
        <v>163965.884644928</v>
      </c>
      <c r="L103" s="37" t="n">
        <f aca="false">L92+L102-L101</f>
        <v>123973.000524212</v>
      </c>
      <c r="M103" s="37" t="n">
        <f aca="false">M92+M102-M101</f>
        <v>93593.5320997926</v>
      </c>
      <c r="N103" s="37" t="n">
        <f aca="false">N92+N102-N101</f>
        <v>84990.6528279153</v>
      </c>
      <c r="O103" s="31" t="n">
        <f aca="false">SUM(C103:N103)</f>
        <v>-2515619.68310274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-412861.3011528</v>
      </c>
      <c r="D104" s="37" t="n">
        <f aca="false">C104+D103</f>
        <v>-652552.108722389</v>
      </c>
      <c r="E104" s="37" t="n">
        <f aca="false">D104+E103</f>
        <v>-999546.79965774</v>
      </c>
      <c r="F104" s="37" t="n">
        <f aca="false">E104+F103</f>
        <v>-1148451.39039687</v>
      </c>
      <c r="G104" s="37" t="n">
        <f aca="false">F104+G103</f>
        <v>-1274013.23919371</v>
      </c>
      <c r="H104" s="37" t="n">
        <f aca="false">G104+H103</f>
        <v>-2825450.45100555</v>
      </c>
      <c r="I104" s="37" t="n">
        <f aca="false">H104+I103</f>
        <v>-2810050.62099844</v>
      </c>
      <c r="J104" s="37" t="n">
        <f aca="false">I104+J103</f>
        <v>-2982142.75319959</v>
      </c>
      <c r="K104" s="37" t="n">
        <f aca="false">J104+K103</f>
        <v>-2818176.86855466</v>
      </c>
      <c r="L104" s="37" t="n">
        <f aca="false">K104+L103</f>
        <v>-2694203.86803045</v>
      </c>
      <c r="M104" s="37" t="n">
        <f aca="false">L104+M103</f>
        <v>-2600610.33593065</v>
      </c>
      <c r="N104" s="37" t="n">
        <f aca="false">M104+N103</f>
        <v>-2515619.68310274</v>
      </c>
      <c r="O104" s="31" t="n">
        <f aca="false">N104</f>
        <v>-2515619.68310274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412861.3011528</v>
      </c>
      <c r="D105" s="37" t="n">
        <f aca="false">-MIN(0,MIN($C$104:D104))</f>
        <v>652552.108722389</v>
      </c>
      <c r="E105" s="37" t="n">
        <f aca="false">-MIN(0,MIN($C$104:E104))</f>
        <v>999546.79965774</v>
      </c>
      <c r="F105" s="37" t="n">
        <f aca="false">-MIN(0,MIN($C$104:F104))</f>
        <v>1148451.39039687</v>
      </c>
      <c r="G105" s="37" t="n">
        <f aca="false">-MIN(0,MIN($C$104:G104))</f>
        <v>1274013.23919371</v>
      </c>
      <c r="H105" s="37" t="n">
        <f aca="false">-MIN(0,MIN($C$104:H104))</f>
        <v>2825450.45100555</v>
      </c>
      <c r="I105" s="37" t="n">
        <f aca="false">-MIN(0,MIN($C$104:I104))</f>
        <v>2825450.45100555</v>
      </c>
      <c r="J105" s="37" t="n">
        <f aca="false">-MIN(0,MIN($C$104:J104))</f>
        <v>2982142.75319959</v>
      </c>
      <c r="K105" s="37" t="n">
        <f aca="false">-MIN(0,MIN($C$104:K104))</f>
        <v>2982142.75319959</v>
      </c>
      <c r="L105" s="37" t="n">
        <f aca="false">-MIN(0,MIN($C$104:L104))</f>
        <v>2982142.75319959</v>
      </c>
      <c r="M105" s="37" t="n">
        <f aca="false">-MIN(0,MIN($C$104:M104))</f>
        <v>2982142.75319959</v>
      </c>
      <c r="N105" s="37" t="n">
        <f aca="false">-MIN(0,MIN($C$104:N104))</f>
        <v>2982142.75319959</v>
      </c>
      <c r="O105" s="31" t="n">
        <f aca="false">MAX(C105:N105)</f>
        <v>2982142.75319959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6096119.31480384</v>
      </c>
    </row>
    <row r="110" customFormat="false" ht="15" hidden="false" customHeight="false" outlineLevel="0" collapsed="false">
      <c r="A110" s="3" t="s">
        <v>28</v>
      </c>
      <c r="B110" s="31" t="n">
        <f aca="false">O92</f>
        <v>-309678.666153587</v>
      </c>
    </row>
    <row r="111" customFormat="false" ht="15" hidden="false" customHeight="false" outlineLevel="0" collapsed="false">
      <c r="A111" s="3" t="s">
        <v>29</v>
      </c>
      <c r="B111" s="30" t="n">
        <f aca="false">O93</f>
        <v>-0.0507993118509938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-1209678.66615359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2982142.75319959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17857.2468004124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78.574564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9.4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122.4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0.695966666666667</v>
      </c>
    </row>
    <row r="121" customFormat="false" ht="15" hidden="false" customHeight="false" outlineLevel="0" collapsed="false">
      <c r="A121" s="3" t="s">
        <v>39</v>
      </c>
      <c r="B121" s="40" t="str">
        <f aca="false">IFERROR(MATCH(1,C35:N35,0),"not in Y1")</f>
        <v>not in Y1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186702.72774317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6.53902715929682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78.4683259115618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12411.3475177305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0.183067375886525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0.479435253148541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17.4608115039862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243460.236299378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-2515619.68310274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1215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1.2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9722.22222222222</v>
      </c>
      <c r="D16" s="8" t="n">
        <f aca="false">INDEX(Assumptions!$C$115:$E$115,$B$3)*INDEX(Assumptions!$C$120:$E$120,$B$3)*$L$3/$F$3</f>
        <v>9722.22222222222</v>
      </c>
      <c r="E16" s="8" t="n">
        <f aca="false">INDEX(Assumptions!$C$115:$E$115,$B$3)*INDEX(Assumptions!$C$120:$E$120,$B$3)*$L$3/$F$3</f>
        <v>9722.22222222222</v>
      </c>
      <c r="F16" s="8" t="n">
        <f aca="false">INDEX(Assumptions!$C$115:$E$115,$B$3)*INDEX(Assumptions!$C$120:$E$120,$B$3)*$L$3/$F$3</f>
        <v>9722.22222222222</v>
      </c>
      <c r="G16" s="8" t="n">
        <f aca="false">INDEX(Assumptions!$C$115:$E$115,$B$3)*INDEX(Assumptions!$C$120:$E$120,$B$3)*$L$3/$F$3</f>
        <v>9722.22222222222</v>
      </c>
      <c r="H16" s="8" t="n">
        <f aca="false">INDEX(Assumptions!$C$115:$E$115,$B$3)*INDEX(Assumptions!$C$120:$E$120,$B$3)*$L$3/$F$3</f>
        <v>9722.22222222222</v>
      </c>
      <c r="I16" s="8" t="n">
        <f aca="false">INDEX(Assumptions!$C$115:$E$115,$B$3)*INDEX(Assumptions!$C$120:$E$120,$B$3)*$L$3/$F$3</f>
        <v>9722.22222222222</v>
      </c>
      <c r="J16" s="8" t="n">
        <f aca="false">INDEX(Assumptions!$C$115:$E$115,$B$3)*INDEX(Assumptions!$C$120:$E$120,$B$3)*$L$3/$F$3</f>
        <v>9722.22222222222</v>
      </c>
      <c r="K16" s="8" t="n">
        <f aca="false">INDEX(Assumptions!$C$115:$E$115,$B$3)*INDEX(Assumptions!$C$120:$E$120,$B$3)*$L$3/$F$3</f>
        <v>9722.22222222222</v>
      </c>
      <c r="L16" s="8" t="n">
        <f aca="false">INDEX(Assumptions!$C$115:$E$115,$B$3)*INDEX(Assumptions!$C$120:$E$120,$B$3)*$L$3/$F$3</f>
        <v>9722.22222222222</v>
      </c>
      <c r="M16" s="8" t="n">
        <f aca="false">INDEX(Assumptions!$C$115:$E$115,$B$3)*INDEX(Assumptions!$C$120:$E$120,$B$3)*$L$3/$F$3</f>
        <v>9722.22222222222</v>
      </c>
      <c r="N16" s="8" t="n">
        <f aca="false">INDEX(Assumptions!$C$115:$E$115,$B$3)*INDEX(Assumptions!$C$120:$E$120,$B$3)*$L$3/$F$3</f>
        <v>9722.22222222222</v>
      </c>
      <c r="O16" s="37" t="n">
        <f aca="false">AVERAGE(C16:N16)</f>
        <v>9722.22222222222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1.08</v>
      </c>
      <c r="D18" s="27" t="n">
        <f aca="false">D15*INDEX(Assumptions!$C$119:$E$119,$B$3)/D16</f>
        <v>2.88</v>
      </c>
      <c r="E18" s="27" t="n">
        <f aca="false">E15*INDEX(Assumptions!$C$119:$E$119,$B$3)/E16</f>
        <v>3.6</v>
      </c>
      <c r="F18" s="27" t="n">
        <f aca="false">F15*INDEX(Assumptions!$C$119:$E$119,$B$3)/F16</f>
        <v>4.32</v>
      </c>
      <c r="G18" s="27" t="n">
        <f aca="false">G15*INDEX(Assumptions!$C$119:$E$119,$B$3)/G16</f>
        <v>5.76</v>
      </c>
      <c r="H18" s="27" t="n">
        <f aca="false">H15*INDEX(Assumptions!$C$119:$E$119,$B$3)/H16</f>
        <v>6.48</v>
      </c>
      <c r="I18" s="27" t="n">
        <f aca="false">I15*INDEX(Assumptions!$C$119:$E$119,$B$3)/I16</f>
        <v>7.2</v>
      </c>
      <c r="J18" s="27" t="n">
        <f aca="false">J15*INDEX(Assumptions!$C$119:$E$119,$B$3)/J16</f>
        <v>7.2</v>
      </c>
      <c r="K18" s="27" t="n">
        <f aca="false">K15*INDEX(Assumptions!$C$119:$E$119,$B$3)/K16</f>
        <v>7.2</v>
      </c>
      <c r="L18" s="27" t="n">
        <f aca="false">L15*INDEX(Assumptions!$C$119:$E$119,$B$3)/L16</f>
        <v>7.2</v>
      </c>
      <c r="M18" s="27" t="n">
        <f aca="false">M15*INDEX(Assumptions!$C$119:$E$119,$B$3)/M16</f>
        <v>7.2</v>
      </c>
      <c r="N18" s="27" t="n">
        <f aca="false">N15*INDEX(Assumptions!$C$119:$E$119,$B$3)/N16</f>
        <v>7.2</v>
      </c>
      <c r="O18" s="35" t="n">
        <f aca="false">SUM(C18:N18)</f>
        <v>67.32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1.402656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2.3358375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3.78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5.4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7.29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9.45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14.04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14.58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13.5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11.88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11.34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10.8</v>
      </c>
      <c r="O19" s="38" t="n">
        <f aca="false">SUM(C19:N19)</f>
        <v>105.7984935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0.8415936</v>
      </c>
      <c r="E24" s="6" t="n">
        <f aca="false">D27+C27+D30+C30+1.25*D28</f>
        <v>2.41141482</v>
      </c>
      <c r="F24" s="6" t="n">
        <f aca="false">E27+D27+E30+D30+1.25*E28</f>
        <v>4.11812172</v>
      </c>
      <c r="G24" s="6" t="n">
        <f aca="false">F27+E27+F30+E30+1.25*F28</f>
        <v>6.2419005</v>
      </c>
      <c r="H24" s="6" t="n">
        <f aca="false">G27+F27+G30+F30+1.25*G28</f>
        <v>8.7156</v>
      </c>
      <c r="I24" s="6" t="n">
        <f aca="false">H27+G27+H30+G30+1.25*H28</f>
        <v>8.62529121338912</v>
      </c>
      <c r="J24" s="6" t="n">
        <f aca="false">I27+H27+I30+H30+1.25*I28</f>
        <v>12.6516238493724</v>
      </c>
      <c r="K24" s="6" t="n">
        <f aca="false">J27+I27+J30+I30+1.25*J28</f>
        <v>18.2518727166647</v>
      </c>
      <c r="L24" s="6" t="n">
        <f aca="false">K27+J27+K30+J30+1.25*K28</f>
        <v>14.8114379118676</v>
      </c>
      <c r="M24" s="6" t="n">
        <f aca="false">L27+K27+L30+K30+1.25*L28</f>
        <v>13.4309240958151</v>
      </c>
      <c r="N24" s="6" t="n">
        <f aca="false">M27+L27+M30+L30+1.25*M28</f>
        <v>14.3155920944127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1.402656</v>
      </c>
      <c r="D25" s="6" t="n">
        <f aca="false">D19*(INDEX(Assumptions!$C$26:$E$26,$B$3)*(1-D23)+INDEX(Assumptions!$C$26:$E$26,$B$3)*D23*1.25+(1-INDEX(Assumptions!$C$26:$E$26,$B$3)))+C29*INDEX(Assumptions!$C$89:$E$89,$B$3)</f>
        <v>2.50415622</v>
      </c>
      <c r="E25" s="6" t="n">
        <f aca="false">E19*(INDEX(Assumptions!$C$26:$E$26,$B$3)*(1-E23)+INDEX(Assumptions!$C$26:$E$26,$B$3)*E23*1.25+(1-INDEX(Assumptions!$C$26:$E$26,$B$3)))+D29*INDEX(Assumptions!$C$89:$E$89,$B$3)</f>
        <v>4.0603005</v>
      </c>
      <c r="F25" s="6" t="n">
        <f aca="false">F19*(INDEX(Assumptions!$C$26:$E$26,$B$3)*(1-F23)+INDEX(Assumptions!$C$26:$E$26,$B$3)*F23*1.25+(1-INDEX(Assumptions!$C$26:$E$26,$B$3)))+E29*INDEX(Assumptions!$C$89:$E$89,$B$3)</f>
        <v>5.8536</v>
      </c>
      <c r="G25" s="6" t="n">
        <f aca="false">G19*(INDEX(Assumptions!$C$26:$E$26,$B$3)*(1-G23)+INDEX(Assumptions!$C$26:$E$26,$B$3)*G23*1.25+(1-INDEX(Assumptions!$C$26:$E$26,$B$3)))+F29*INDEX(Assumptions!$C$89:$E$89,$B$3)</f>
        <v>7.938</v>
      </c>
      <c r="H25" s="6" t="n">
        <f aca="false">H19*(INDEX(Assumptions!$C$26:$E$26,$B$3)*(1-H23)+INDEX(Assumptions!$C$26:$E$26,$B$3)*H23*1.25+(1-INDEX(Assumptions!$C$26:$E$26,$B$3)))+G29*INDEX(Assumptions!$C$89:$E$89,$B$3)</f>
        <v>10.3248</v>
      </c>
      <c r="I25" s="6" t="n">
        <f aca="false">I19*(INDEX(Assumptions!$C$26:$E$26,$B$3)*(1-I23)+INDEX(Assumptions!$C$26:$E$26,$B$3)*I23*1.25+(1-INDEX(Assumptions!$C$26:$E$26,$B$3)))+H29*INDEX(Assumptions!$C$89:$E$89,$B$3)</f>
        <v>14.6643326359833</v>
      </c>
      <c r="J25" s="6" t="n">
        <f aca="false">J19*(INDEX(Assumptions!$C$26:$E$26,$B$3)*(1-J23)+INDEX(Assumptions!$C$26:$E$26,$B$3)*J23*1.25+(1-INDEX(Assumptions!$C$26:$E$26,$B$3)))+I29*INDEX(Assumptions!$C$89:$E$89,$B$3)</f>
        <v>16.2648</v>
      </c>
      <c r="K25" s="6" t="n">
        <f aca="false">K19*(INDEX(Assumptions!$C$26:$E$26,$B$3)*(1-K23)+INDEX(Assumptions!$C$26:$E$26,$B$3)*K23*1.25+(1-INDEX(Assumptions!$C$26:$E$26,$B$3)))+J29*INDEX(Assumptions!$C$89:$E$89,$B$3)</f>
        <v>15.0434508209838</v>
      </c>
      <c r="L25" s="6" t="n">
        <f aca="false">L19*(INDEX(Assumptions!$C$26:$E$26,$B$3)*(1-L23)+INDEX(Assumptions!$C$26:$E$26,$B$3)*L23*1.25+(1-INDEX(Assumptions!$C$26:$E$26,$B$3)))+K29*INDEX(Assumptions!$C$89:$E$89,$B$3)</f>
        <v>13.2675688356447</v>
      </c>
      <c r="M25" s="6" t="n">
        <f aca="false">M19*(INDEX(Assumptions!$C$26:$E$26,$B$3)*(1-M23)+INDEX(Assumptions!$C$26:$E$26,$B$3)*M23*1.25+(1-INDEX(Assumptions!$C$26:$E$26,$B$3)))+L29*INDEX(Assumptions!$C$89:$E$89,$B$3)</f>
        <v>13.074910747051</v>
      </c>
      <c r="N25" s="6" t="n">
        <f aca="false">N19*(INDEX(Assumptions!$C$26:$E$26,$B$3)*(1-N23)+INDEX(Assumptions!$C$26:$E$26,$B$3)*N23*1.25+(1-INDEX(Assumptions!$C$26:$E$26,$B$3)))+M29*INDEX(Assumptions!$C$89:$E$89,$B$3)</f>
        <v>12.5658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0.550557880055788</v>
      </c>
      <c r="I26" s="7" t="n">
        <f aca="false">IF(I25&lt;=0,1,MAX(0,MIN(1,(I22-I24)/I25)))</f>
        <v>1</v>
      </c>
      <c r="J26" s="7" t="n">
        <f aca="false">IF(J25&lt;=0,1,MAX(0,MIN(1,(J22-J24)/J25)))</f>
        <v>0.88217353737074</v>
      </c>
      <c r="K26" s="7" t="n">
        <f aca="false">IF(K25&lt;=0,1,MAX(0,MIN(1,(K22-K24)/K25)))</f>
        <v>0.58152397262021</v>
      </c>
      <c r="L26" s="7" t="n">
        <f aca="false">IF(L25&lt;=0,1,MAX(0,MIN(1,(L22-L24)/L25)))</f>
        <v>0.918673363531872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0.550557880055788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0.8415936</v>
      </c>
      <c r="D27" s="35" t="n">
        <f aca="false">D19*INDEX(Assumptions!$C$26:$E$26,$B$3)*(1-D23)*D26</f>
        <v>1.4015025</v>
      </c>
      <c r="E27" s="35" t="n">
        <f aca="false">E19*INDEX(Assumptions!$C$26:$E$26,$B$3)*(1-E23)*E26</f>
        <v>2.268</v>
      </c>
      <c r="F27" s="35" t="n">
        <f aca="false">F19*INDEX(Assumptions!$C$26:$E$26,$B$3)*(1-F23)*F26</f>
        <v>3.24</v>
      </c>
      <c r="G27" s="35" t="n">
        <f aca="false">G19*INDEX(Assumptions!$C$26:$E$26,$B$3)*(1-G23)*G26</f>
        <v>4.374</v>
      </c>
      <c r="H27" s="35" t="n">
        <f aca="false">H19*INDEX(Assumptions!$C$26:$E$26,$B$3)*(1-H23)*H26</f>
        <v>3.12166317991632</v>
      </c>
      <c r="I27" s="35" t="n">
        <f aca="false">I19*INDEX(Assumptions!$C$26:$E$26,$B$3)*(1-I23)*I26</f>
        <v>8.424</v>
      </c>
      <c r="J27" s="35" t="n">
        <f aca="false">J19*INDEX(Assumptions!$C$26:$E$26,$B$3)*(1-J23)*J26</f>
        <v>7.71725410491924</v>
      </c>
      <c r="K27" s="35" t="n">
        <f aca="false">K19*INDEX(Assumptions!$C$26:$E$26,$B$3)*(1-K23)*K26</f>
        <v>4.7103441782237</v>
      </c>
      <c r="L27" s="35" t="n">
        <f aca="false">L19*INDEX(Assumptions!$C$26:$E$26,$B$3)*(1-L23)*L26</f>
        <v>4.91122780144139</v>
      </c>
      <c r="M27" s="35" t="n">
        <f aca="false">M19*INDEX(Assumptions!$C$26:$E$26,$B$3)*(1-M23)*M26</f>
        <v>5.103</v>
      </c>
      <c r="N27" s="35" t="n">
        <f aca="false">N19*INDEX(Assumptions!$C$26:$E$26,$B$3)*(1-N23)*N26</f>
        <v>4.86</v>
      </c>
      <c r="O27" s="38" t="n">
        <f aca="false">SUM(C27:N27)</f>
        <v>50.9725853645006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1.6370759338138</v>
      </c>
      <c r="M28" s="27" t="n">
        <f aca="false">M19*INDEX(Assumptions!$C$26:$E$26,$B$3)*M23*M26</f>
        <v>1.701</v>
      </c>
      <c r="N28" s="27" t="n">
        <f aca="false">N19*INDEX(Assumptions!$C$26:$E$26,$B$3)*N23*N26</f>
        <v>1.62</v>
      </c>
      <c r="O28" s="35" t="n">
        <f aca="false">SUM(C28:N28)</f>
        <v>4.9580759338138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0.5610624</v>
      </c>
      <c r="D29" s="27" t="n">
        <f aca="false">D19*(1-INDEX(Assumptions!$C$26:$E$26,$B$3))*D26</f>
        <v>0.934335</v>
      </c>
      <c r="E29" s="27" t="n">
        <f aca="false">E19*(1-INDEX(Assumptions!$C$26:$E$26,$B$3))*E26</f>
        <v>1.512</v>
      </c>
      <c r="F29" s="27" t="n">
        <f aca="false">F19*(1-INDEX(Assumptions!$C$26:$E$26,$B$3))*F26</f>
        <v>2.16</v>
      </c>
      <c r="G29" s="27" t="n">
        <f aca="false">G19*(1-INDEX(Assumptions!$C$26:$E$26,$B$3))*G26</f>
        <v>2.916</v>
      </c>
      <c r="H29" s="27" t="n">
        <f aca="false">H19*(1-INDEX(Assumptions!$C$26:$E$26,$B$3))*H26</f>
        <v>2.08110878661088</v>
      </c>
      <c r="I29" s="27" t="n">
        <f aca="false">I19*(1-INDEX(Assumptions!$C$26:$E$26,$B$3))*I26</f>
        <v>5.616</v>
      </c>
      <c r="J29" s="27" t="n">
        <f aca="false">J19*(1-INDEX(Assumptions!$C$26:$E$26,$B$3))*J26</f>
        <v>5.14483606994616</v>
      </c>
      <c r="K29" s="27" t="n">
        <f aca="false">K19*(1-INDEX(Assumptions!$C$26:$E$26,$B$3))*K26</f>
        <v>3.14022945214913</v>
      </c>
      <c r="L29" s="27" t="n">
        <f aca="false">L19*(1-INDEX(Assumptions!$C$26:$E$26,$B$3))*L26</f>
        <v>4.36553582350346</v>
      </c>
      <c r="M29" s="27" t="n">
        <f aca="false">M19*(1-INDEX(Assumptions!$C$26:$E$26,$B$3))*M26</f>
        <v>4.536</v>
      </c>
      <c r="N29" s="27" t="n">
        <f aca="false">N19*(1-INDEX(Assumptions!$C$26:$E$26,$B$3))*N26</f>
        <v>4.32</v>
      </c>
      <c r="O29" s="35" t="n">
        <f aca="false">SUM(C29:N29)</f>
        <v>37.2871075322096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0.16831872</v>
      </c>
      <c r="E30" s="27" t="n">
        <f aca="false">D29*INDEX(Assumptions!$C$89:$E$89,$B$3)*E26</f>
        <v>0.2803005</v>
      </c>
      <c r="F30" s="27" t="n">
        <f aca="false">E29*INDEX(Assumptions!$C$89:$E$89,$B$3)*F26</f>
        <v>0.4536</v>
      </c>
      <c r="G30" s="27" t="n">
        <f aca="false">F29*INDEX(Assumptions!$C$89:$E$89,$B$3)*G26</f>
        <v>0.648</v>
      </c>
      <c r="H30" s="27" t="n">
        <f aca="false">G29*INDEX(Assumptions!$C$89:$E$89,$B$3)*H26</f>
        <v>0.481628033472803</v>
      </c>
      <c r="I30" s="27" t="n">
        <f aca="false">H29*INDEX(Assumptions!$C$89:$E$89,$B$3)*I26</f>
        <v>0.624332635983264</v>
      </c>
      <c r="J30" s="27" t="n">
        <f aca="false">I29*INDEX(Assumptions!$C$89:$E$89,$B$3)*J26</f>
        <v>1.48628597576222</v>
      </c>
      <c r="K30" s="27" t="n">
        <f aca="false">J29*INDEX(Assumptions!$C$89:$E$89,$B$3)*K26</f>
        <v>0.897553652962451</v>
      </c>
      <c r="L30" s="27" t="n">
        <f aca="false">K29*INDEX(Assumptions!$C$89:$E$89,$B$3)*L26</f>
        <v>0.865453545920307</v>
      </c>
      <c r="M30" s="27" t="n">
        <f aca="false">L29*INDEX(Assumptions!$C$89:$E$89,$B$3)*M26</f>
        <v>1.30966074705104</v>
      </c>
      <c r="N30" s="27" t="n">
        <f aca="false">M29*INDEX(Assumptions!$C$89:$E$89,$B$3)*N26</f>
        <v>1.3608</v>
      </c>
      <c r="O30" s="35" t="n">
        <f aca="false">SUM(C30:N30)</f>
        <v>8.57593381115208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1.402656</v>
      </c>
      <c r="D31" s="35" t="n">
        <f aca="false">D27+D28+D29</f>
        <v>2.3358375</v>
      </c>
      <c r="E31" s="35" t="n">
        <f aca="false">E27+E28+E29</f>
        <v>3.78</v>
      </c>
      <c r="F31" s="35" t="n">
        <f aca="false">F27+F28+F29</f>
        <v>5.4</v>
      </c>
      <c r="G31" s="35" t="n">
        <f aca="false">G27+G28+G29</f>
        <v>7.29</v>
      </c>
      <c r="H31" s="35" t="n">
        <f aca="false">H27+H28+H29</f>
        <v>5.2027719665272</v>
      </c>
      <c r="I31" s="35" t="n">
        <f aca="false">I27+I28+I29</f>
        <v>14.04</v>
      </c>
      <c r="J31" s="35" t="n">
        <f aca="false">J27+J28+J29</f>
        <v>12.8620901748654</v>
      </c>
      <c r="K31" s="35" t="n">
        <f aca="false">K27+K28+K29</f>
        <v>7.85057363037283</v>
      </c>
      <c r="L31" s="35" t="n">
        <f aca="false">L27+L28+L29</f>
        <v>10.9138395587586</v>
      </c>
      <c r="M31" s="35" t="n">
        <f aca="false">M27+M28+M29</f>
        <v>11.34</v>
      </c>
      <c r="N31" s="35" t="n">
        <f aca="false">N27+N28+N29</f>
        <v>10.8</v>
      </c>
      <c r="O31" s="38" t="n">
        <f aca="false">SUM(C31:N31)</f>
        <v>93.2177688305241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0.350664</v>
      </c>
      <c r="D32" s="27" t="n">
        <f aca="false">D31*INDEX(Assumptions!$C$74:$E$74,$B$3)</f>
        <v>0.583959375</v>
      </c>
      <c r="E32" s="27" t="n">
        <f aca="false">E31*INDEX(Assumptions!$C$74:$E$74,$B$3)</f>
        <v>0.945</v>
      </c>
      <c r="F32" s="27" t="n">
        <f aca="false">F31*INDEX(Assumptions!$C$74:$E$74,$B$3)</f>
        <v>1.35</v>
      </c>
      <c r="G32" s="27" t="n">
        <f aca="false">G31*INDEX(Assumptions!$C$74:$E$74,$B$3)</f>
        <v>1.8225</v>
      </c>
      <c r="H32" s="27" t="n">
        <f aca="false">H31*INDEX(Assumptions!$C$74:$E$74,$B$3)</f>
        <v>1.3006929916318</v>
      </c>
      <c r="I32" s="27" t="n">
        <f aca="false">I31*INDEX(Assumptions!$C$74:$E$74,$B$3)</f>
        <v>3.51</v>
      </c>
      <c r="J32" s="27" t="n">
        <f aca="false">J31*INDEX(Assumptions!$C$74:$E$74,$B$3)</f>
        <v>3.21552254371635</v>
      </c>
      <c r="K32" s="27" t="n">
        <f aca="false">K31*INDEX(Assumptions!$C$74:$E$74,$B$3)</f>
        <v>1.96264340759321</v>
      </c>
      <c r="L32" s="27" t="n">
        <f aca="false">L31*INDEX(Assumptions!$C$74:$E$74,$B$3)</f>
        <v>2.72845988968966</v>
      </c>
      <c r="M32" s="27" t="n">
        <f aca="false">M31*INDEX(Assumptions!$C$74:$E$74,$B$3)</f>
        <v>2.835</v>
      </c>
      <c r="N32" s="27" t="n">
        <f aca="false">N31*INDEX(Assumptions!$C$74:$E$74,$B$3)</f>
        <v>2.7</v>
      </c>
      <c r="O32" s="35" t="n">
        <f aca="false">SUM(C32:N32)</f>
        <v>23.304442207631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1.402656</v>
      </c>
      <c r="D33" s="6" t="n">
        <f aca="false">D24+D27+D30+D29+1.25*D28</f>
        <v>3.34574982</v>
      </c>
      <c r="E33" s="6" t="n">
        <f aca="false">E24+E27+E30+E29+1.25*E28</f>
        <v>6.47171532</v>
      </c>
      <c r="F33" s="6" t="n">
        <f aca="false">F24+F27+F30+F29+1.25*F28</f>
        <v>9.97172172</v>
      </c>
      <c r="G33" s="6" t="n">
        <f aca="false">G24+G27+G30+G29+1.25*G28</f>
        <v>14.1799005</v>
      </c>
      <c r="H33" s="6" t="n">
        <f aca="false">H24+H27+H30+H29+1.25*H28</f>
        <v>14.4</v>
      </c>
      <c r="I33" s="6" t="n">
        <f aca="false">I24+I27+I30+I29+1.25*I28</f>
        <v>23.2896238493724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26.5058348428661</v>
      </c>
      <c r="N33" s="6" t="n">
        <f aca="false">N24+N27+N30+N29+1.25*N28</f>
        <v>26.8813920944127</v>
      </c>
      <c r="O33" s="39" t="n">
        <f aca="false">AVERAGE(C33:N33)</f>
        <v>17.2873828455543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0.087666</v>
      </c>
      <c r="D34" s="36" t="n">
        <f aca="false">D33/(D20*D21)</f>
        <v>0.20910936375</v>
      </c>
      <c r="E34" s="36" t="n">
        <f aca="false">E33/(E20*E21)</f>
        <v>0.4044822075</v>
      </c>
      <c r="F34" s="36" t="n">
        <f aca="false">F33/(F20*F21)</f>
        <v>0.6232326075</v>
      </c>
      <c r="G34" s="36" t="n">
        <f aca="false">G33/(G20*G21)</f>
        <v>0.88624378125</v>
      </c>
      <c r="H34" s="36" t="n">
        <f aca="false">H33/(H20*H21)</f>
        <v>0.9</v>
      </c>
      <c r="I34" s="36" t="n">
        <f aca="false">I33/(I20*I21)</f>
        <v>0.77632079497908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0.883527828095538</v>
      </c>
      <c r="N34" s="36" t="n">
        <f aca="false">N33/(N20*N21)</f>
        <v>0.896046403147091</v>
      </c>
      <c r="O34" s="30" t="n">
        <f aca="false">N34</f>
        <v>0.896046403147091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4.08</v>
      </c>
      <c r="F37" s="6" t="n">
        <f aca="false">IF(4&gt;=3,INDEX(Assumptions!$C$192:$E$192,$D$3)*INDEX(Assumptions!$C$193:$E$193,$B$3)*MIN(1,(4-2)/6),0)*$F$3</f>
        <v>8.16</v>
      </c>
      <c r="G37" s="6" t="n">
        <f aca="false">IF(5&gt;=3,INDEX(Assumptions!$C$192:$E$192,$D$3)*INDEX(Assumptions!$C$193:$E$193,$B$3)*MIN(1,(5-2)/6),0)*$F$3</f>
        <v>12.24</v>
      </c>
      <c r="H37" s="6" t="n">
        <f aca="false">IF(6&gt;=3,INDEX(Assumptions!$C$192:$E$192,$D$3)*INDEX(Assumptions!$C$193:$E$193,$B$3)*MIN(1,(6-2)/6),0)*$F$3</f>
        <v>16.32</v>
      </c>
      <c r="I37" s="6" t="n">
        <f aca="false">IF(7&gt;=3,INDEX(Assumptions!$C$192:$E$192,$D$3)*INDEX(Assumptions!$C$193:$E$193,$B$3)*MIN(1,(7-2)/6),0)*$F$3</f>
        <v>20.4</v>
      </c>
      <c r="J37" s="6" t="n">
        <f aca="false">IF(8&gt;=3,INDEX(Assumptions!$C$192:$E$192,$D$3)*INDEX(Assumptions!$C$193:$E$193,$B$3)*MIN(1,(8-2)/6),0)*$F$3</f>
        <v>24.48</v>
      </c>
      <c r="K37" s="6" t="n">
        <f aca="false">IF(9&gt;=3,INDEX(Assumptions!$C$192:$E$192,$D$3)*INDEX(Assumptions!$C$193:$E$193,$B$3)*MIN(1,(9-2)/6),0)*$F$3</f>
        <v>24.48</v>
      </c>
      <c r="L37" s="6" t="n">
        <f aca="false">IF(10&gt;=3,INDEX(Assumptions!$C$192:$E$192,$D$3)*INDEX(Assumptions!$C$193:$E$193,$B$3)*MIN(1,(10-2)/6),0)*$F$3</f>
        <v>24.48</v>
      </c>
      <c r="M37" s="6" t="n">
        <f aca="false">IF(11&gt;=3,INDEX(Assumptions!$C$192:$E$192,$D$3)*INDEX(Assumptions!$C$193:$E$193,$B$3)*MIN(1,(11-2)/6),0)*$F$3</f>
        <v>24.48</v>
      </c>
      <c r="N37" s="6" t="n">
        <f aca="false">IF(12&gt;=3,INDEX(Assumptions!$C$192:$E$192,$D$3)*INDEX(Assumptions!$C$193:$E$193,$B$3)*MIN(1,(12-2)/6),0)*$F$3</f>
        <v>24.48</v>
      </c>
      <c r="O37" s="39" t="n">
        <f aca="false">SUM(C37:N37)</f>
        <v>183.6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8.4</v>
      </c>
      <c r="D38" s="6" t="n">
        <f aca="false">INDEX(Assumptions!$C$194:$E$194,$D$3)*D10*MIN(1,2/3)*$F$3</f>
        <v>14.4</v>
      </c>
      <c r="E38" s="6" t="n">
        <f aca="false">INDEX(Assumptions!$C$194:$E$194,$D$3)*E10*MIN(1,3/3)*$F$3</f>
        <v>21.6</v>
      </c>
      <c r="F38" s="6" t="n">
        <f aca="false">INDEX(Assumptions!$C$194:$E$194,$D$3)*F10*MIN(1,4/3)*$F$3</f>
        <v>23.4</v>
      </c>
      <c r="G38" s="6" t="n">
        <f aca="false">INDEX(Assumptions!$C$194:$E$194,$D$3)*G10*MIN(1,5/3)*$F$3</f>
        <v>16.2</v>
      </c>
      <c r="H38" s="6" t="n">
        <f aca="false">INDEX(Assumptions!$C$194:$E$194,$D$3)*H10*MIN(1,6/3)*$F$3</f>
        <v>14.4</v>
      </c>
      <c r="I38" s="6" t="n">
        <f aca="false">INDEX(Assumptions!$C$194:$E$194,$D$3)*I10*MIN(1,7/3)*$F$3</f>
        <v>12.6</v>
      </c>
      <c r="J38" s="6" t="n">
        <f aca="false">INDEX(Assumptions!$C$194:$E$194,$D$3)*J10*MIN(1,8/3)*$F$3</f>
        <v>10.8</v>
      </c>
      <c r="K38" s="6" t="n">
        <f aca="false">INDEX(Assumptions!$C$194:$E$194,$D$3)*K10*MIN(1,9/3)*$F$3</f>
        <v>10.8</v>
      </c>
      <c r="L38" s="6" t="n">
        <f aca="false">INDEX(Assumptions!$C$194:$E$194,$D$3)*L10*MIN(1,10/3)*$F$3</f>
        <v>14.4</v>
      </c>
      <c r="M38" s="6" t="n">
        <f aca="false">INDEX(Assumptions!$C$194:$E$194,$D$3)*M10*MIN(1,11/3)*$F$3</f>
        <v>19.8</v>
      </c>
      <c r="N38" s="6" t="n">
        <f aca="false">INDEX(Assumptions!$C$194:$E$194,$D$3)*N10*MIN(1,12/3)*$F$3</f>
        <v>25.2</v>
      </c>
      <c r="O38" s="39" t="n">
        <f aca="false">SUM(C38:N38)</f>
        <v>192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1.31581238273921</v>
      </c>
      <c r="D39" s="6" t="n">
        <f aca="false">D19*INDEX(Assumptions!$C$31:$E$31,$B$3)/(INDEX(Assumptions!$C$56:$E$56,$B$3)*INDEX(Assumptions!$C$57:$E$57,$B$3)*INDEX(Assumptions!$C$58:$E$58,$B$3))</f>
        <v>2.19121716697936</v>
      </c>
      <c r="E39" s="6" t="n">
        <f aca="false">E19*INDEX(Assumptions!$C$31:$E$31,$B$3)/(INDEX(Assumptions!$C$56:$E$56,$B$3)*INDEX(Assumptions!$C$57:$E$57,$B$3)*INDEX(Assumptions!$C$58:$E$58,$B$3))</f>
        <v>3.54596622889306</v>
      </c>
      <c r="F39" s="6" t="n">
        <f aca="false">F19*INDEX(Assumptions!$C$31:$E$31,$B$3)/(INDEX(Assumptions!$C$56:$E$56,$B$3)*INDEX(Assumptions!$C$57:$E$57,$B$3)*INDEX(Assumptions!$C$58:$E$58,$B$3))</f>
        <v>5.0656660412758</v>
      </c>
      <c r="G39" s="6" t="n">
        <f aca="false">G19*INDEX(Assumptions!$C$31:$E$31,$B$3)/(INDEX(Assumptions!$C$56:$E$56,$B$3)*INDEX(Assumptions!$C$57:$E$57,$B$3)*INDEX(Assumptions!$C$58:$E$58,$B$3))</f>
        <v>6.83864915572233</v>
      </c>
      <c r="H39" s="6" t="n">
        <f aca="false">H19*INDEX(Assumptions!$C$31:$E$31,$B$3)/(INDEX(Assumptions!$C$56:$E$56,$B$3)*INDEX(Assumptions!$C$57:$E$57,$B$3)*INDEX(Assumptions!$C$58:$E$58,$B$3))</f>
        <v>8.86491557223264</v>
      </c>
      <c r="I39" s="6" t="n">
        <f aca="false">I19*INDEX(Assumptions!$C$31:$E$31,$B$3)/(INDEX(Assumptions!$C$56:$E$56,$B$3)*INDEX(Assumptions!$C$57:$E$57,$B$3)*INDEX(Assumptions!$C$58:$E$58,$B$3))</f>
        <v>13.1707317073171</v>
      </c>
      <c r="J39" s="6" t="n">
        <f aca="false">J19*INDEX(Assumptions!$C$31:$E$31,$B$3)/(INDEX(Assumptions!$C$56:$E$56,$B$3)*INDEX(Assumptions!$C$57:$E$57,$B$3)*INDEX(Assumptions!$C$58:$E$58,$B$3))</f>
        <v>13.6772983114447</v>
      </c>
      <c r="K39" s="6" t="n">
        <f aca="false">K19*INDEX(Assumptions!$C$31:$E$31,$B$3)/(INDEX(Assumptions!$C$56:$E$56,$B$3)*INDEX(Assumptions!$C$57:$E$57,$B$3)*INDEX(Assumptions!$C$58:$E$58,$B$3))</f>
        <v>12.6641651031895</v>
      </c>
      <c r="L39" s="6" t="n">
        <f aca="false">L19*INDEX(Assumptions!$C$31:$E$31,$B$3)/(INDEX(Assumptions!$C$56:$E$56,$B$3)*INDEX(Assumptions!$C$57:$E$57,$B$3)*INDEX(Assumptions!$C$58:$E$58,$B$3))</f>
        <v>11.1444652908068</v>
      </c>
      <c r="M39" s="6" t="n">
        <f aca="false">M19*INDEX(Assumptions!$C$31:$E$31,$B$3)/(INDEX(Assumptions!$C$56:$E$56,$B$3)*INDEX(Assumptions!$C$57:$E$57,$B$3)*INDEX(Assumptions!$C$58:$E$58,$B$3))</f>
        <v>10.6378986866792</v>
      </c>
      <c r="N39" s="6" t="n">
        <f aca="false">N19*INDEX(Assumptions!$C$31:$E$31,$B$3)/(INDEX(Assumptions!$C$56:$E$56,$B$3)*INDEX(Assumptions!$C$57:$E$57,$B$3)*INDEX(Assumptions!$C$58:$E$58,$B$3))</f>
        <v>10.1313320825516</v>
      </c>
      <c r="O39" s="39" t="n">
        <f aca="false">SUM(C39:N39)</f>
        <v>99.2481177298311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19.2</v>
      </c>
      <c r="L41" s="6" t="n">
        <f aca="false">L40*INDEX(Assumptions!$C$82:$E$82,$B$3)*$F$3</f>
        <v>19.2</v>
      </c>
      <c r="M41" s="6" t="n">
        <f aca="false">M40*INDEX(Assumptions!$C$82:$E$82,$B$3)*$F$3</f>
        <v>19.2</v>
      </c>
      <c r="N41" s="6" t="n">
        <f aca="false">N40*INDEX(Assumptions!$C$82:$E$82,$B$3)*$F$3</f>
        <v>19.2</v>
      </c>
      <c r="O41" s="39" t="n">
        <f aca="false">SUM(C41:N41)</f>
        <v>76.8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0.2856</v>
      </c>
      <c r="F42" s="27" t="n">
        <f aca="false">F37*0.7*INDEX(Assumptions!$C$73:$E$73,$B$3)</f>
        <v>0.5712</v>
      </c>
      <c r="G42" s="27" t="n">
        <f aca="false">G37*0.7*INDEX(Assumptions!$C$73:$E$73,$B$3)</f>
        <v>0.8568</v>
      </c>
      <c r="H42" s="27" t="n">
        <f aca="false">H37*0.7*INDEX(Assumptions!$C$73:$E$73,$B$3)</f>
        <v>1.1424</v>
      </c>
      <c r="I42" s="27" t="n">
        <f aca="false">I37*0.7*INDEX(Assumptions!$C$73:$E$73,$B$3)</f>
        <v>1.428</v>
      </c>
      <c r="J42" s="27" t="n">
        <f aca="false">J37*0.7*INDEX(Assumptions!$C$73:$E$73,$B$3)</f>
        <v>1.7136</v>
      </c>
      <c r="K42" s="27" t="n">
        <f aca="false">K37*0.7*INDEX(Assumptions!$C$73:$E$73,$B$3)</f>
        <v>1.7136</v>
      </c>
      <c r="L42" s="27" t="n">
        <f aca="false">L37*0.7*INDEX(Assumptions!$C$73:$E$73,$B$3)</f>
        <v>1.7136</v>
      </c>
      <c r="M42" s="27" t="n">
        <f aca="false">M37*0.7*INDEX(Assumptions!$C$73:$E$73,$B$3)</f>
        <v>1.7136</v>
      </c>
      <c r="N42" s="27" t="n">
        <f aca="false">N37*0.7*INDEX(Assumptions!$C$73:$E$73,$B$3)</f>
        <v>1.7136</v>
      </c>
      <c r="O42" s="35" t="n">
        <f aca="false">SUM(C42:N42)</f>
        <v>12.852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42792.8949152542</v>
      </c>
      <c r="D47" s="8" t="n">
        <f aca="false">D27*D44/(1+INDEX(Assumptions!$C$15:$E$15,$B$3)*$H$4)</f>
        <v>71262.8389830509</v>
      </c>
      <c r="E47" s="8" t="n">
        <f aca="false">E27*E44/(1+INDEX(Assumptions!$C$15:$E$15,$B$3)*$H$4)</f>
        <v>115322.033898305</v>
      </c>
      <c r="F47" s="8" t="n">
        <f aca="false">F27*F44/(1+INDEX(Assumptions!$C$15:$E$15,$B$3)*$H$4)</f>
        <v>164745.762711864</v>
      </c>
      <c r="G47" s="8" t="n">
        <f aca="false">G27*G44/(1+INDEX(Assumptions!$C$15:$E$15,$B$3)*$H$4)</f>
        <v>222406.779661017</v>
      </c>
      <c r="H47" s="8" t="n">
        <f aca="false">H27*H44/(1+INDEX(Assumptions!$C$15:$E$15,$B$3)*$H$4)</f>
        <v>158728.636266931</v>
      </c>
      <c r="I47" s="8" t="n">
        <f aca="false">I27*I44/(1+INDEX(Assumptions!$C$15:$E$15,$B$3)*$H$4)</f>
        <v>571118.644067797</v>
      </c>
      <c r="J47" s="8" t="n">
        <f aca="false">J27*J44/(1+INDEX(Assumptions!$C$15:$E$15,$B$3)*$H$4)</f>
        <v>523203.668130118</v>
      </c>
      <c r="K47" s="8" t="n">
        <f aca="false">K27*K44/(1+INDEX(Assumptions!$C$15:$E$15,$B$3)*$H$4)</f>
        <v>319345.368015166</v>
      </c>
      <c r="L47" s="8" t="n">
        <f aca="false">L27*L44/(1+INDEX(Assumptions!$C$15:$E$15,$B$3)*$H$4)</f>
        <v>332964.596707891</v>
      </c>
      <c r="M47" s="8" t="n">
        <f aca="false">M27*M44/(1+INDEX(Assumptions!$C$15:$E$15,$B$3)*$H$4)</f>
        <v>345966.101694915</v>
      </c>
      <c r="N47" s="8" t="n">
        <f aca="false">N27*N44/(1+INDEX(Assumptions!$C$15:$E$15,$B$3)*$H$4)</f>
        <v>329491.525423729</v>
      </c>
      <c r="O47" s="37" t="n">
        <f aca="false">SUM(C47:N47)</f>
        <v>3197348.85047604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110988.19890263</v>
      </c>
      <c r="M48" s="8" t="n">
        <f aca="false">M28*M44/(1+INDEX(Assumptions!$C$15:$E$15,$B$3)*$H$4)</f>
        <v>115322.033898305</v>
      </c>
      <c r="N48" s="8" t="n">
        <f aca="false">N28*N44/(1+INDEX(Assumptions!$C$15:$E$15,$B$3)*$H$4)</f>
        <v>109830.508474576</v>
      </c>
      <c r="O48" s="37" t="n">
        <f aca="false">SUM(C48:N48)</f>
        <v>336140.741275512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2867.12395932203</v>
      </c>
      <c r="E49" s="8" t="n">
        <f aca="false">E30*MAX(0,E44-INDEX(Assumptions!$C$18:$E$18,$B$3)*$H$3)/(1+INDEX(Assumptions!$C$15:$E$15,$B$3)*$H$4)</f>
        <v>4774.61021186441</v>
      </c>
      <c r="F49" s="8" t="n">
        <f aca="false">F30*MAX(0,F44-INDEX(Assumptions!$C$18:$E$18,$B$3)*$H$3)/(1+INDEX(Assumptions!$C$15:$E$15,$B$3)*$H$4)</f>
        <v>7726.57627118644</v>
      </c>
      <c r="G49" s="8" t="n">
        <f aca="false">G30*MAX(0,G44-INDEX(Assumptions!$C$18:$E$18,$B$3)*$H$3)/(1+INDEX(Assumptions!$C$15:$E$15,$B$3)*$H$4)</f>
        <v>11037.9661016949</v>
      </c>
      <c r="H49" s="8" t="n">
        <f aca="false">H30*MAX(0,H44-INDEX(Assumptions!$C$18:$E$18,$B$3)*$H$3)/(1+INDEX(Assumptions!$C$15:$E$15,$B$3)*$H$4)</f>
        <v>8204.00294305369</v>
      </c>
      <c r="I49" s="8" t="n">
        <f aca="false">I30*MAX(0,I44-INDEX(Assumptions!$C$18:$E$18,$B$3)*$H$3)/(1+INDEX(Assumptions!$C$15:$E$15,$B$3)*$H$4)</f>
        <v>21216.7277143465</v>
      </c>
      <c r="J49" s="8" t="n">
        <f aca="false">J30*MAX(0,J44-INDEX(Assumptions!$C$18:$E$18,$B$3)*$H$3)/(1+INDEX(Assumptions!$C$15:$E$15,$B$3)*$H$4)</f>
        <v>50508.5318881908</v>
      </c>
      <c r="K49" s="8" t="n">
        <f aca="false">K30*MAX(0,K44-INDEX(Assumptions!$C$18:$E$18,$B$3)*$H$3)/(1+INDEX(Assumptions!$C$15:$E$15,$B$3)*$H$4)</f>
        <v>30501.6114269443</v>
      </c>
      <c r="L49" s="8" t="n">
        <f aca="false">L30*MAX(0,L44-INDEX(Assumptions!$C$18:$E$18,$B$3)*$H$3)/(1+INDEX(Assumptions!$C$15:$E$15,$B$3)*$H$4)</f>
        <v>29410.7518571223</v>
      </c>
      <c r="M49" s="8" t="n">
        <f aca="false">M30*MAX(0,M44-INDEX(Assumptions!$C$18:$E$18,$B$3)*$H$3)/(1+INDEX(Assumptions!$C$15:$E$15,$B$3)*$H$4)</f>
        <v>44506.2677599547</v>
      </c>
      <c r="N49" s="8" t="n">
        <f aca="false">N30*MAX(0,N44-INDEX(Assumptions!$C$18:$E$18,$B$3)*$H$3)/(1+INDEX(Assumptions!$C$15:$E$15,$B$3)*$H$4)</f>
        <v>46244.1355932203</v>
      </c>
      <c r="O49" s="37" t="n">
        <f aca="false">SUM(C49:N49)</f>
        <v>256998.3057269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18971.5167457627</v>
      </c>
      <c r="D50" s="8" t="n">
        <f aca="false">D29*INDEX(Assumptions!$C$18:$E$18,$B$3)*$H$3/(1+INDEX(Assumptions!$C$15:$E$15,$B$3)*$H$4)</f>
        <v>31593.1919491525</v>
      </c>
      <c r="E50" s="8" t="n">
        <f aca="false">E29*INDEX(Assumptions!$C$18:$E$18,$B$3)*$H$3/(1+INDEX(Assumptions!$C$15:$E$15,$B$3)*$H$4)</f>
        <v>51126.1016949153</v>
      </c>
      <c r="F50" s="8" t="n">
        <f aca="false">F29*INDEX(Assumptions!$C$18:$E$18,$B$3)*$H$3/(1+INDEX(Assumptions!$C$15:$E$15,$B$3)*$H$4)</f>
        <v>73037.2881355932</v>
      </c>
      <c r="G50" s="8" t="n">
        <f aca="false">G29*INDEX(Assumptions!$C$18:$E$18,$B$3)*$H$3/(1+INDEX(Assumptions!$C$15:$E$15,$B$3)*$H$4)</f>
        <v>98600.3389830509</v>
      </c>
      <c r="H50" s="8" t="n">
        <f aca="false">H29*INDEX(Assumptions!$C$18:$E$18,$B$3)*$H$3/(1+INDEX(Assumptions!$C$15:$E$15,$B$3)*$H$4)</f>
        <v>70369.6954116729</v>
      </c>
      <c r="I50" s="8" t="n">
        <f aca="false">I29*INDEX(Assumptions!$C$18:$E$18,$B$3)*$H$3/(1+INDEX(Assumptions!$C$15:$E$15,$B$3)*$H$4)</f>
        <v>189896.949152542</v>
      </c>
      <c r="J50" s="8" t="n">
        <f aca="false">J29*INDEX(Assumptions!$C$18:$E$18,$B$3)*$H$3/(1+INDEX(Assumptions!$C$15:$E$15,$B$3)*$H$4)</f>
        <v>173965.219653264</v>
      </c>
      <c r="K50" s="8" t="n">
        <f aca="false">K29*INDEX(Assumptions!$C$18:$E$18,$B$3)*$H$3/(1+INDEX(Assumptions!$C$15:$E$15,$B$3)*$H$4)</f>
        <v>106182.334865043</v>
      </c>
      <c r="L50" s="8" t="n">
        <f aca="false">L29*INDEX(Assumptions!$C$18:$E$18,$B$3)*$H$3/(1+INDEX(Assumptions!$C$15:$E$15,$B$3)*$H$4)</f>
        <v>147614.304540498</v>
      </c>
      <c r="M50" s="8" t="n">
        <f aca="false">M29*INDEX(Assumptions!$C$18:$E$18,$B$3)*$H$3/(1+INDEX(Assumptions!$C$15:$E$15,$B$3)*$H$4)</f>
        <v>153378.305084746</v>
      </c>
      <c r="N50" s="8" t="n">
        <f aca="false">N29*INDEX(Assumptions!$C$18:$E$18,$B$3)*$H$3/(1+INDEX(Assumptions!$C$15:$E$15,$B$3)*$H$4)</f>
        <v>146074.576271186</v>
      </c>
      <c r="O50" s="37" t="n">
        <f aca="false">SUM(C50:N50)</f>
        <v>1260809.82248743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995.229860980062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1657.35235895117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2682.03242598658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3831.47489426654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5172.49110725983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6705.08106496645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9961.83472509301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10344.9822145197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9578.68723566636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8429.2447673864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8046.09727795974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7662.94978853309</v>
      </c>
      <c r="O51" s="37" t="n">
        <f aca="false">SUM(C51:N51)</f>
        <v>75067.4577215689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34576.2711864407</v>
      </c>
      <c r="F52" s="8" t="n">
        <f aca="false">F37*INDEX(Assumptions!$C$21:$E$21,$B$3)*$H$3/(1+INDEX(Assumptions!$C$15:$E$15,$B$3)*$H$4)</f>
        <v>69152.5423728814</v>
      </c>
      <c r="G52" s="8" t="n">
        <f aca="false">G37*INDEX(Assumptions!$C$21:$E$21,$B$3)*$H$3/(1+INDEX(Assumptions!$C$15:$E$15,$B$3)*$H$4)</f>
        <v>103728.813559322</v>
      </c>
      <c r="H52" s="8" t="n">
        <f aca="false">H37*INDEX(Assumptions!$C$21:$E$21,$B$3)*$H$3/(1+INDEX(Assumptions!$C$15:$E$15,$B$3)*$H$4)</f>
        <v>138305.084745763</v>
      </c>
      <c r="I52" s="8" t="n">
        <f aca="false">I37*INDEX(Assumptions!$C$21:$E$21,$B$3)*$H$3/(1+INDEX(Assumptions!$C$15:$E$15,$B$3)*$H$4)</f>
        <v>172881.355932203</v>
      </c>
      <c r="J52" s="8" t="n">
        <f aca="false">J37*INDEX(Assumptions!$C$21:$E$21,$B$3)*$H$3/(1+INDEX(Assumptions!$C$15:$E$15,$B$3)*$H$4)</f>
        <v>207457.627118644</v>
      </c>
      <c r="K52" s="8" t="n">
        <f aca="false">K37*INDEX(Assumptions!$C$21:$E$21,$B$3)*$H$3/(1+INDEX(Assumptions!$C$15:$E$15,$B$3)*$H$4)</f>
        <v>207457.627118644</v>
      </c>
      <c r="L52" s="8" t="n">
        <f aca="false">L37*INDEX(Assumptions!$C$21:$E$21,$B$3)*$H$3/(1+INDEX(Assumptions!$C$15:$E$15,$B$3)*$H$4)</f>
        <v>207457.627118644</v>
      </c>
      <c r="M52" s="8" t="n">
        <f aca="false">M37*INDEX(Assumptions!$C$21:$E$21,$B$3)*$H$3/(1+INDEX(Assumptions!$C$15:$E$15,$B$3)*$H$4)</f>
        <v>207457.627118644</v>
      </c>
      <c r="N52" s="8" t="n">
        <f aca="false">N37*INDEX(Assumptions!$C$21:$E$21,$B$3)*$H$3/(1+INDEX(Assumptions!$C$15:$E$15,$B$3)*$H$4)</f>
        <v>207457.627118644</v>
      </c>
      <c r="O52" s="37" t="n">
        <f aca="false">SUM(C52:N52)</f>
        <v>1555932.20338983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35586.1016949153</v>
      </c>
      <c r="D53" s="8" t="n">
        <f aca="false">D38*INDEX(Assumptions!$C$22:$E$22,$B$3)*$H$3/(1+INDEX(Assumptions!$C$15:$E$15,$B$3)*$H$4)</f>
        <v>61004.7457627119</v>
      </c>
      <c r="E53" s="8" t="n">
        <f aca="false">E38*INDEX(Assumptions!$C$22:$E$22,$B$3)*$H$3/(1+INDEX(Assumptions!$C$15:$E$15,$B$3)*$H$4)</f>
        <v>91507.1186440678</v>
      </c>
      <c r="F53" s="8" t="n">
        <f aca="false">F38*INDEX(Assumptions!$C$22:$E$22,$B$3)*$H$3/(1+INDEX(Assumptions!$C$15:$E$15,$B$3)*$H$4)</f>
        <v>99132.7118644068</v>
      </c>
      <c r="G53" s="8" t="n">
        <f aca="false">G38*INDEX(Assumptions!$C$22:$E$22,$B$3)*$H$3/(1+INDEX(Assumptions!$C$15:$E$15,$B$3)*$H$4)</f>
        <v>68630.3389830509</v>
      </c>
      <c r="H53" s="8" t="n">
        <f aca="false">H38*INDEX(Assumptions!$C$22:$E$22,$B$3)*$H$3/(1+INDEX(Assumptions!$C$15:$E$15,$B$3)*$H$4)</f>
        <v>61004.7457627119</v>
      </c>
      <c r="I53" s="8" t="n">
        <f aca="false">I38*INDEX(Assumptions!$C$22:$E$22,$B$3)*$H$3/(1+INDEX(Assumptions!$C$15:$E$15,$B$3)*$H$4)</f>
        <v>53379.1525423729</v>
      </c>
      <c r="J53" s="8" t="n">
        <f aca="false">J38*INDEX(Assumptions!$C$22:$E$22,$B$3)*$H$3/(1+INDEX(Assumptions!$C$15:$E$15,$B$3)*$H$4)</f>
        <v>45753.5593220339</v>
      </c>
      <c r="K53" s="8" t="n">
        <f aca="false">K38*INDEX(Assumptions!$C$22:$E$22,$B$3)*$H$3/(1+INDEX(Assumptions!$C$15:$E$15,$B$3)*$H$4)</f>
        <v>45753.5593220339</v>
      </c>
      <c r="L53" s="8" t="n">
        <f aca="false">L38*INDEX(Assumptions!$C$22:$E$22,$B$3)*$H$3/(1+INDEX(Assumptions!$C$15:$E$15,$B$3)*$H$4)</f>
        <v>61004.7457627119</v>
      </c>
      <c r="M53" s="8" t="n">
        <f aca="false">M38*INDEX(Assumptions!$C$22:$E$22,$B$3)*$H$3/(1+INDEX(Assumptions!$C$15:$E$15,$B$3)*$H$4)</f>
        <v>83881.5254237288</v>
      </c>
      <c r="N53" s="8" t="n">
        <f aca="false">N38*INDEX(Assumptions!$C$22:$E$22,$B$3)*$H$3/(1+INDEX(Assumptions!$C$15:$E$15,$B$3)*$H$4)</f>
        <v>106758.305084746</v>
      </c>
      <c r="O53" s="37" t="n">
        <f aca="false">SUM(C53:N53)</f>
        <v>813396.610169492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24390.5084745763</v>
      </c>
      <c r="L54" s="8" t="n">
        <f aca="false">L41*INDEX(Assumptions!$C$83:$E$83,$B$3)/(1+INDEX(Assumptions!$C$15:$E$15,$B$3)*$H$4)</f>
        <v>24390.5084745763</v>
      </c>
      <c r="M54" s="8" t="n">
        <f aca="false">M41*INDEX(Assumptions!$C$83:$E$83,$B$3)/(1+INDEX(Assumptions!$C$15:$E$15,$B$3)*$H$4)</f>
        <v>24390.5084745763</v>
      </c>
      <c r="N54" s="8" t="n">
        <f aca="false">N41*INDEX(Assumptions!$C$83:$E$83,$B$3)/(1+INDEX(Assumptions!$C$15:$E$15,$B$3)*$H$4)</f>
        <v>24390.5084745763</v>
      </c>
      <c r="O54" s="37" t="n">
        <f aca="false">SUM(C54:N54)</f>
        <v>97562.0338983051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2420.09694915254</v>
      </c>
      <c r="F55" s="8" t="n">
        <f aca="false">F42*INDEX(Assumptions!$C$23:$E$23,$B$3)/(1+INDEX(Assumptions!$C$15:$E$15,$B$3)*$H$4)</f>
        <v>4840.19389830509</v>
      </c>
      <c r="G55" s="8" t="n">
        <f aca="false">G42*INDEX(Assumptions!$C$23:$E$23,$B$3)/(1+INDEX(Assumptions!$C$15:$E$15,$B$3)*$H$4)</f>
        <v>7260.29084745763</v>
      </c>
      <c r="H55" s="8" t="n">
        <f aca="false">H42*INDEX(Assumptions!$C$23:$E$23,$B$3)/(1+INDEX(Assumptions!$C$15:$E$15,$B$3)*$H$4)</f>
        <v>9680.38779661017</v>
      </c>
      <c r="I55" s="8" t="n">
        <f aca="false">I42*INDEX(Assumptions!$C$23:$E$23,$B$3)/(1+INDEX(Assumptions!$C$15:$E$15,$B$3)*$H$4)</f>
        <v>12100.4847457627</v>
      </c>
      <c r="J55" s="8" t="n">
        <f aca="false">J42*INDEX(Assumptions!$C$23:$E$23,$B$3)/(1+INDEX(Assumptions!$C$15:$E$15,$B$3)*$H$4)</f>
        <v>14520.5816949153</v>
      </c>
      <c r="K55" s="8" t="n">
        <f aca="false">K42*INDEX(Assumptions!$C$23:$E$23,$B$3)/(1+INDEX(Assumptions!$C$15:$E$15,$B$3)*$H$4)</f>
        <v>14520.5816949153</v>
      </c>
      <c r="L55" s="8" t="n">
        <f aca="false">L42*INDEX(Assumptions!$C$23:$E$23,$B$3)/(1+INDEX(Assumptions!$C$15:$E$15,$B$3)*$H$4)</f>
        <v>14520.5816949153</v>
      </c>
      <c r="M55" s="8" t="n">
        <f aca="false">M42*INDEX(Assumptions!$C$23:$E$23,$B$3)/(1+INDEX(Assumptions!$C$15:$E$15,$B$3)*$H$4)</f>
        <v>14520.5816949153</v>
      </c>
      <c r="N55" s="8" t="n">
        <f aca="false">N42*INDEX(Assumptions!$C$23:$E$23,$B$3)/(1+INDEX(Assumptions!$C$15:$E$15,$B$3)*$H$4)</f>
        <v>14520.5816949153</v>
      </c>
      <c r="O55" s="37" t="n">
        <f aca="false">SUM(C55:N55)</f>
        <v>108904.362711864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8087.04</v>
      </c>
      <c r="J56" s="8" t="n">
        <f aca="false">(J27+J28)*(1-J45)*INDEX(Assumptions!$C$90:$E$90,$B$3)</f>
        <v>7408.56394072247</v>
      </c>
      <c r="K56" s="8" t="n">
        <f aca="false">(K27+K28)*(1-K45)*INDEX(Assumptions!$C$90:$E$90,$B$3)</f>
        <v>4521.93041109475</v>
      </c>
      <c r="L56" s="8" t="n">
        <f aca="false">(L27+L28)*(1-L45)*INDEX(Assumptions!$C$90:$E$90,$B$3)</f>
        <v>6286.37158584498</v>
      </c>
      <c r="M56" s="8" t="n">
        <f aca="false">(M27+M28)*(1-M45)*INDEX(Assumptions!$C$90:$E$90,$B$3)</f>
        <v>6531.84</v>
      </c>
      <c r="N56" s="8" t="n">
        <f aca="false">(N27+N28)*(1-N45)*INDEX(Assumptions!$C$90:$E$90,$B$3)</f>
        <v>6220.8</v>
      </c>
      <c r="O56" s="37" t="n">
        <f aca="false">SUM(C56:N56)</f>
        <v>39056.5459376622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98345.7432169123</v>
      </c>
      <c r="D57" s="37" t="n">
        <f aca="false">SUM(D47:D56)</f>
        <v>168385.253013188</v>
      </c>
      <c r="E57" s="37" t="n">
        <f aca="false">SUM(E47:E56)</f>
        <v>302408.265010732</v>
      </c>
      <c r="F57" s="37" t="n">
        <f aca="false">SUM(F47:F56)</f>
        <v>422466.550148504</v>
      </c>
      <c r="G57" s="37" t="n">
        <f aca="false">SUM(G47:G56)</f>
        <v>516837.019242853</v>
      </c>
      <c r="H57" s="37" t="n">
        <f aca="false">SUM(H47:H56)</f>
        <v>452997.633991709</v>
      </c>
      <c r="I57" s="37" t="n">
        <f aca="false">SUM(I47:I56)</f>
        <v>1038642.18888012</v>
      </c>
      <c r="J57" s="37" t="n">
        <f aca="false">SUM(J47:J56)</f>
        <v>1033162.73396241</v>
      </c>
      <c r="K57" s="37" t="n">
        <f aca="false">SUM(K47:K56)</f>
        <v>762252.208564084</v>
      </c>
      <c r="L57" s="37" t="n">
        <f aca="false">SUM(L47:L56)</f>
        <v>943066.93141222</v>
      </c>
      <c r="M57" s="37" t="n">
        <f aca="false">SUM(M47:M56)</f>
        <v>1004000.88842775</v>
      </c>
      <c r="N57" s="37" t="n">
        <f aca="false">SUM(N47:N56)</f>
        <v>998651.517924126</v>
      </c>
      <c r="O57" s="31" t="n">
        <f aca="false">SUM(C57:N57)</f>
        <v>7741216.9337946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61764.411661017</v>
      </c>
      <c r="D58" s="8" t="n">
        <f aca="false">D47+D48+D49+D50</f>
        <v>105723.154891525</v>
      </c>
      <c r="E58" s="8" t="n">
        <f aca="false">E47+E48+E49+E50</f>
        <v>171222.745805085</v>
      </c>
      <c r="F58" s="8" t="n">
        <f aca="false">F47+F48+F49+F50</f>
        <v>245509.627118644</v>
      </c>
      <c r="G58" s="8" t="n">
        <f aca="false">G47+G48+G49+G50</f>
        <v>332045.084745763</v>
      </c>
      <c r="H58" s="8" t="n">
        <f aca="false">H47+H48+H49+H50</f>
        <v>237302.334621658</v>
      </c>
      <c r="I58" s="8" t="n">
        <f aca="false">I47+I48+I49+I50</f>
        <v>782232.320934686</v>
      </c>
      <c r="J58" s="8" t="n">
        <f aca="false">J47+J48+J49+J50</f>
        <v>747677.419671573</v>
      </c>
      <c r="K58" s="8" t="n">
        <f aca="false">K47+K48+K49+K50</f>
        <v>456029.314307153</v>
      </c>
      <c r="L58" s="8" t="n">
        <f aca="false">L47+L48+L49+L50</f>
        <v>620977.852008141</v>
      </c>
      <c r="M58" s="8" t="n">
        <f aca="false">M47+M48+M49+M50</f>
        <v>659172.708437921</v>
      </c>
      <c r="N58" s="8" t="n">
        <f aca="false">N47+N48+N49+N50</f>
        <v>631640.745762712</v>
      </c>
      <c r="O58" s="37" t="n">
        <f aca="false">SUM(C58:N58)</f>
        <v>5051297.71996588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5049.5616</v>
      </c>
      <c r="D60" s="8" t="n">
        <f aca="false">((D27+D30)*INDEX(Assumptions!$C$91:$E$91,$B$3)+D28*INDEX(Assumptions!$C$93:$E$93,$B$3))*$N$3</f>
        <v>9418.92732</v>
      </c>
      <c r="E60" s="8" t="n">
        <f aca="false">((E27+E30)*INDEX(Assumptions!$C$91:$E$91,$B$3)+E28*INDEX(Assumptions!$C$93:$E$93,$B$3))*$N$3</f>
        <v>15289.803</v>
      </c>
      <c r="F60" s="8" t="n">
        <f aca="false">((F27+F30)*INDEX(Assumptions!$C$91:$E$91,$B$3)+F28*INDEX(Assumptions!$C$93:$E$93,$B$3))*$N$3</f>
        <v>22161.6</v>
      </c>
      <c r="G60" s="8" t="n">
        <f aca="false">((G27+G30)*INDEX(Assumptions!$C$91:$E$91,$B$3)+G28*INDEX(Assumptions!$C$93:$E$93,$B$3))*$N$3</f>
        <v>30132</v>
      </c>
      <c r="H60" s="8" t="n">
        <f aca="false">((H27+H30)*INDEX(Assumptions!$C$91:$E$91,$B$3)+H28*INDEX(Assumptions!$C$93:$E$93,$B$3))*$N$3</f>
        <v>21619.7472803347</v>
      </c>
      <c r="I60" s="8" t="n">
        <f aca="false">((I27+I30)*INDEX(Assumptions!$C$91:$E$91,$B$3)+I28*INDEX(Assumptions!$C$93:$E$93,$B$3))*$N$3</f>
        <v>54289.9958158996</v>
      </c>
      <c r="J60" s="8" t="n">
        <f aca="false">((J27+J30)*INDEX(Assumptions!$C$91:$E$91,$B$3)+J28*INDEX(Assumptions!$C$93:$E$93,$B$3))*$N$3</f>
        <v>55221.2404840888</v>
      </c>
      <c r="K60" s="8" t="n">
        <f aca="false">((K27+K30)*INDEX(Assumptions!$C$91:$E$91,$B$3)+K28*INDEX(Assumptions!$C$93:$E$93,$B$3))*$N$3</f>
        <v>33647.3869871169</v>
      </c>
      <c r="L60" s="8" t="n">
        <f aca="false">((L27+L30)*INDEX(Assumptions!$C$91:$E$91,$B$3)+L28*INDEX(Assumptions!$C$93:$E$93,$B$3))*$N$3</f>
        <v>46938.1575877736</v>
      </c>
      <c r="M60" s="8" t="n">
        <f aca="false">((M27+M30)*INDEX(Assumptions!$C$91:$E$91,$B$3)+M28*INDEX(Assumptions!$C$93:$E$93,$B$3))*$N$3</f>
        <v>51233.4644823062</v>
      </c>
      <c r="N60" s="8" t="n">
        <f aca="false">((N27+N30)*INDEX(Assumptions!$C$91:$E$91,$B$3)+N28*INDEX(Assumptions!$C$93:$E$93,$B$3))*$N$3</f>
        <v>49474.8</v>
      </c>
      <c r="O60" s="37" t="n">
        <f aca="false">SUM(C60:N60)</f>
        <v>394476.68455752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10099.1232</v>
      </c>
      <c r="D61" s="8" t="n">
        <f aca="false">(D27+D28)*D45*INDEX(Assumptions!$C$14:$E$14,$B$3)*$N$3</f>
        <v>16818.03</v>
      </c>
      <c r="E61" s="8" t="n">
        <f aca="false">(E27+E28)*E45*INDEX(Assumptions!$C$14:$E$14,$B$3)*$N$3</f>
        <v>27216</v>
      </c>
      <c r="F61" s="8" t="n">
        <f aca="false">(F27+F28)*F45*INDEX(Assumptions!$C$14:$E$14,$B$3)*$N$3</f>
        <v>38880</v>
      </c>
      <c r="G61" s="8" t="n">
        <f aca="false">(G27+G28)*G45*INDEX(Assumptions!$C$14:$E$14,$B$3)*$N$3</f>
        <v>52488</v>
      </c>
      <c r="H61" s="8" t="n">
        <f aca="false">(H27+H28)*H45*INDEX(Assumptions!$C$14:$E$14,$B$3)*$N$3</f>
        <v>37459.9581589958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182961.111358996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1122.1248</v>
      </c>
      <c r="D62" s="8" t="n">
        <f aca="false">D29*INDEX(Assumptions!$C$92:$E$92,$B$3)*$N$3</f>
        <v>1868.67</v>
      </c>
      <c r="E62" s="8" t="n">
        <f aca="false">E29*INDEX(Assumptions!$C$92:$E$92,$B$3)*$N$3</f>
        <v>3024</v>
      </c>
      <c r="F62" s="8" t="n">
        <f aca="false">F29*INDEX(Assumptions!$C$92:$E$92,$B$3)*$N$3</f>
        <v>4320</v>
      </c>
      <c r="G62" s="8" t="n">
        <f aca="false">G29*INDEX(Assumptions!$C$92:$E$92,$B$3)*$N$3</f>
        <v>5832</v>
      </c>
      <c r="H62" s="8" t="n">
        <f aca="false">H29*INDEX(Assumptions!$C$92:$E$92,$B$3)*$N$3</f>
        <v>4162.21757322176</v>
      </c>
      <c r="I62" s="8" t="n">
        <f aca="false">I29*INDEX(Assumptions!$C$92:$E$92,$B$3)*$N$3</f>
        <v>11232</v>
      </c>
      <c r="J62" s="8" t="n">
        <f aca="false">J29*INDEX(Assumptions!$C$92:$E$92,$B$3)*$N$3</f>
        <v>10289.6721398923</v>
      </c>
      <c r="K62" s="8" t="n">
        <f aca="false">K29*INDEX(Assumptions!$C$92:$E$92,$B$3)*$N$3</f>
        <v>6280.45890429826</v>
      </c>
      <c r="L62" s="8" t="n">
        <f aca="false">L29*INDEX(Assumptions!$C$92:$E$92,$B$3)*$N$3</f>
        <v>8731.07164700691</v>
      </c>
      <c r="M62" s="8" t="n">
        <f aca="false">M29*INDEX(Assumptions!$C$92:$E$92,$B$3)*$N$3</f>
        <v>9072</v>
      </c>
      <c r="N62" s="8" t="n">
        <f aca="false">N29*INDEX(Assumptions!$C$92:$E$92,$B$3)*$N$3</f>
        <v>8640</v>
      </c>
      <c r="O62" s="37" t="n">
        <f aca="false">SUM(C62:N62)</f>
        <v>74574.2150644193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3688.9530956848</v>
      </c>
      <c r="D63" s="8" t="n">
        <f aca="false">(D37*INDEX(Assumptions!$C$94:$E$94,$B$3)+D38*INDEX(Assumptions!$C$95:$E$95,$B$3)+D39*INDEX(Assumptions!$C$96:$E$96,$B$3))*$N$3</f>
        <v>6307.80429174484</v>
      </c>
      <c r="E63" s="8" t="n">
        <f aca="false">(E37*INDEX(Assumptions!$C$94:$E$94,$B$3)+E38*INDEX(Assumptions!$C$95:$E$95,$B$3)+E39*INDEX(Assumptions!$C$96:$E$96,$B$3))*$N$3</f>
        <v>13606.4915572233</v>
      </c>
      <c r="F63" s="8" t="n">
        <f aca="false">(F37*INDEX(Assumptions!$C$94:$E$94,$B$3)+F38*INDEX(Assumptions!$C$95:$E$95,$B$3)+F39*INDEX(Assumptions!$C$96:$E$96,$B$3))*$N$3</f>
        <v>18786.4165103189</v>
      </c>
      <c r="G63" s="8" t="n">
        <f aca="false">(G37*INDEX(Assumptions!$C$94:$E$94,$B$3)+G38*INDEX(Assumptions!$C$95:$E$95,$B$3)+G39*INDEX(Assumptions!$C$96:$E$96,$B$3))*$N$3</f>
        <v>20429.6622889306</v>
      </c>
      <c r="H63" s="8" t="n">
        <f aca="false">(H37*INDEX(Assumptions!$C$94:$E$94,$B$3)+H38*INDEX(Assumptions!$C$95:$E$95,$B$3)+H39*INDEX(Assumptions!$C$96:$E$96,$B$3))*$N$3</f>
        <v>24296.2288930582</v>
      </c>
      <c r="I63" s="8" t="n">
        <f aca="false">(I37*INDEX(Assumptions!$C$94:$E$94,$B$3)+I38*INDEX(Assumptions!$C$95:$E$95,$B$3)+I39*INDEX(Assumptions!$C$96:$E$96,$B$3))*$N$3</f>
        <v>28732.6829268293</v>
      </c>
      <c r="J63" s="8" t="n">
        <f aca="false">(J37*INDEX(Assumptions!$C$94:$E$94,$B$3)+J38*INDEX(Assumptions!$C$95:$E$95,$B$3)+J39*INDEX(Assumptions!$C$96:$E$96,$B$3))*$N$3</f>
        <v>32219.3245778612</v>
      </c>
      <c r="K63" s="8" t="n">
        <f aca="false">(K37*INDEX(Assumptions!$C$94:$E$94,$B$3)+K38*INDEX(Assumptions!$C$95:$E$95,$B$3)+K39*INDEX(Assumptions!$C$96:$E$96,$B$3))*$N$3</f>
        <v>31966.0412757974</v>
      </c>
      <c r="L63" s="8" t="n">
        <f aca="false">(L37*INDEX(Assumptions!$C$94:$E$94,$B$3)+L38*INDEX(Assumptions!$C$95:$E$95,$B$3)+L39*INDEX(Assumptions!$C$96:$E$96,$B$3))*$N$3</f>
        <v>33026.1163227017</v>
      </c>
      <c r="M63" s="8" t="n">
        <f aca="false">(M37*INDEX(Assumptions!$C$94:$E$94,$B$3)+M38*INDEX(Assumptions!$C$95:$E$95,$B$3)+M39*INDEX(Assumptions!$C$96:$E$96,$B$3))*$N$3</f>
        <v>35059.4746716698</v>
      </c>
      <c r="N63" s="8" t="n">
        <f aca="false">(N37*INDEX(Assumptions!$C$94:$E$94,$B$3)+N38*INDEX(Assumptions!$C$95:$E$95,$B$3)+N39*INDEX(Assumptions!$C$96:$E$96,$B$3))*$N$3</f>
        <v>37092.8330206379</v>
      </c>
      <c r="O63" s="37" t="n">
        <f aca="false">SUM(C63:N63)</f>
        <v>285212.029432458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571.2</v>
      </c>
      <c r="F65" s="8" t="n">
        <f aca="false">F42*INDEX(Assumptions!$C$97:$E$97,$B$3)</f>
        <v>1142.4</v>
      </c>
      <c r="G65" s="8" t="n">
        <f aca="false">G42*INDEX(Assumptions!$C$97:$E$97,$B$3)</f>
        <v>1713.6</v>
      </c>
      <c r="H65" s="8" t="n">
        <f aca="false">H42*INDEX(Assumptions!$C$97:$E$97,$B$3)</f>
        <v>2284.8</v>
      </c>
      <c r="I65" s="8" t="n">
        <f aca="false">I42*INDEX(Assumptions!$C$97:$E$97,$B$3)</f>
        <v>2856</v>
      </c>
      <c r="J65" s="8" t="n">
        <f aca="false">J42*INDEX(Assumptions!$C$97:$E$97,$B$3)</f>
        <v>3427.2</v>
      </c>
      <c r="K65" s="8" t="n">
        <f aca="false">K42*INDEX(Assumptions!$C$97:$E$97,$B$3)</f>
        <v>3427.2</v>
      </c>
      <c r="L65" s="8" t="n">
        <f aca="false">L42*INDEX(Assumptions!$C$97:$E$97,$B$3)</f>
        <v>3427.2</v>
      </c>
      <c r="M65" s="8" t="n">
        <f aca="false">M42*INDEX(Assumptions!$C$97:$E$97,$B$3)</f>
        <v>3427.2</v>
      </c>
      <c r="N65" s="8" t="n">
        <f aca="false">N42*INDEX(Assumptions!$C$97:$E$97,$B$3)</f>
        <v>3427.2</v>
      </c>
      <c r="O65" s="37" t="n">
        <f aca="false">SUM(C65:N65)</f>
        <v>25704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3204.63281991913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5504.67570587125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9616.83075512828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13531.7643835047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17017.9876541313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14137.9031618905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36743.681084872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36229.7974518909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25213.4922475919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32031.3368365352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34139.0753961379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33595.1172230094</v>
      </c>
      <c r="O66" s="37" t="n">
        <f aca="false">SUM(C66:N66)</f>
        <v>260966.294720483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841.5936</v>
      </c>
      <c r="D67" s="8" t="n">
        <f aca="false">D31*INDEX(Assumptions!$C$198:$E$198,$B$3)*INDEX(Assumptions!$C$69:$E$69,$B$3)</f>
        <v>1401.5025</v>
      </c>
      <c r="E67" s="8" t="n">
        <f aca="false">E31*INDEX(Assumptions!$C$198:$E$198,$B$3)*INDEX(Assumptions!$C$69:$E$69,$B$3)</f>
        <v>2268</v>
      </c>
      <c r="F67" s="8" t="n">
        <f aca="false">F31*INDEX(Assumptions!$C$198:$E$198,$B$3)*INDEX(Assumptions!$C$69:$E$69,$B$3)</f>
        <v>3240</v>
      </c>
      <c r="G67" s="8" t="n">
        <f aca="false">G31*INDEX(Assumptions!$C$198:$E$198,$B$3)*INDEX(Assumptions!$C$69:$E$69,$B$3)</f>
        <v>4374</v>
      </c>
      <c r="H67" s="8" t="n">
        <f aca="false">H31*INDEX(Assumptions!$C$198:$E$198,$B$3)*INDEX(Assumptions!$C$69:$E$69,$B$3)</f>
        <v>3121.66317991632</v>
      </c>
      <c r="I67" s="8" t="n">
        <f aca="false">I31*INDEX(Assumptions!$C$198:$E$198,$B$3)*INDEX(Assumptions!$C$69:$E$69,$B$3)</f>
        <v>8424</v>
      </c>
      <c r="J67" s="8" t="n">
        <f aca="false">J31*INDEX(Assumptions!$C$198:$E$198,$B$3)*INDEX(Assumptions!$C$69:$E$69,$B$3)</f>
        <v>7717.25410491924</v>
      </c>
      <c r="K67" s="8" t="n">
        <f aca="false">K31*INDEX(Assumptions!$C$198:$E$198,$B$3)*INDEX(Assumptions!$C$69:$E$69,$B$3)</f>
        <v>4710.3441782237</v>
      </c>
      <c r="L67" s="8" t="n">
        <f aca="false">L31*INDEX(Assumptions!$C$198:$E$198,$B$3)*INDEX(Assumptions!$C$69:$E$69,$B$3)</f>
        <v>6548.30373525518</v>
      </c>
      <c r="M67" s="8" t="n">
        <f aca="false">M31*INDEX(Assumptions!$C$198:$E$198,$B$3)*INDEX(Assumptions!$C$69:$E$69,$B$3)</f>
        <v>6804</v>
      </c>
      <c r="N67" s="8" t="n">
        <f aca="false">N31*INDEX(Assumptions!$C$198:$E$198,$B$3)*INDEX(Assumptions!$C$69:$E$69,$B$3)</f>
        <v>6480</v>
      </c>
      <c r="O67" s="37" t="n">
        <f aca="false">SUM(C67:N67)</f>
        <v>55930.6612983144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24005.9891156039</v>
      </c>
      <c r="D68" s="37" t="n">
        <f aca="false">SUM(D60:D67)</f>
        <v>41319.6098176161</v>
      </c>
      <c r="E68" s="37" t="n">
        <f aca="false">SUM(E60:E67)</f>
        <v>71592.3253123516</v>
      </c>
      <c r="F68" s="37" t="n">
        <f aca="false">SUM(F60:F67)</f>
        <v>102062.180893824</v>
      </c>
      <c r="G68" s="37" t="n">
        <f aca="false">SUM(G60:G67)</f>
        <v>131987.249943062</v>
      </c>
      <c r="H68" s="37" t="n">
        <f aca="false">SUM(H60:H67)</f>
        <v>107082.518247417</v>
      </c>
      <c r="I68" s="37" t="n">
        <f aca="false">SUM(I60:I67)</f>
        <v>142278.359827601</v>
      </c>
      <c r="J68" s="37" t="n">
        <f aca="false">SUM(J60:J67)</f>
        <v>145104.488758652</v>
      </c>
      <c r="K68" s="37" t="n">
        <f aca="false">SUM(K60:K67)</f>
        <v>131244.923593028</v>
      </c>
      <c r="L68" s="37" t="n">
        <f aca="false">SUM(L60:L67)</f>
        <v>156702.186129273</v>
      </c>
      <c r="M68" s="37" t="n">
        <f aca="false">SUM(M60:M67)</f>
        <v>165735.214550114</v>
      </c>
      <c r="N68" s="37" t="n">
        <f aca="false">SUM(N60:N67)</f>
        <v>164709.950243647</v>
      </c>
      <c r="O68" s="31" t="n">
        <f aca="false">SUM(C68:N68)</f>
        <v>1383824.99643219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74339.7541013083</v>
      </c>
      <c r="D69" s="37" t="n">
        <f aca="false">D57-D68</f>
        <v>127065.643195572</v>
      </c>
      <c r="E69" s="37" t="n">
        <f aca="false">E57-E68</f>
        <v>230815.939698381</v>
      </c>
      <c r="F69" s="37" t="n">
        <f aca="false">F57-F68</f>
        <v>320404.36925468</v>
      </c>
      <c r="G69" s="37" t="n">
        <f aca="false">G57-G68</f>
        <v>384849.769299791</v>
      </c>
      <c r="H69" s="37" t="n">
        <f aca="false">H57-H68</f>
        <v>345915.115744292</v>
      </c>
      <c r="I69" s="37" t="n">
        <f aca="false">I57-I68</f>
        <v>896363.829052517</v>
      </c>
      <c r="J69" s="37" t="n">
        <f aca="false">J57-J68</f>
        <v>888058.245203756</v>
      </c>
      <c r="K69" s="37" t="n">
        <f aca="false">K57-K68</f>
        <v>631007.284971055</v>
      </c>
      <c r="L69" s="37" t="n">
        <f aca="false">L57-L68</f>
        <v>786364.745282948</v>
      </c>
      <c r="M69" s="37" t="n">
        <f aca="false">M57-M68</f>
        <v>838265.673877631</v>
      </c>
      <c r="N69" s="37" t="n">
        <f aca="false">N57-N68</f>
        <v>833941.567680479</v>
      </c>
      <c r="O69" s="31" t="n">
        <f aca="false">SUM(C69:N69)</f>
        <v>6357391.93736241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0.754612657116833</v>
      </c>
      <c r="E70" s="7" t="n">
        <f aca="false">IFERROR(E69/E57,0)</f>
        <v>0.763259362935035</v>
      </c>
      <c r="F70" s="7" t="n">
        <f aca="false">IFERROR(F69/F57,0)</f>
        <v>0.758413581245788</v>
      </c>
      <c r="G70" s="7" t="n">
        <f aca="false">IFERROR(G69/G57,0)</f>
        <v>0.744625007441576</v>
      </c>
      <c r="H70" s="7" t="n">
        <f aca="false">IFERROR(H69/H57,0)</f>
        <v>0.763613515364681</v>
      </c>
      <c r="I70" s="7" t="n">
        <f aca="false">IFERROR(I69/I57,0)</f>
        <v>0.863015038912479</v>
      </c>
      <c r="J70" s="7" t="n">
        <f aca="false">IFERROR(J69/J57,0)</f>
        <v>0.859553113958975</v>
      </c>
      <c r="K70" s="7" t="n">
        <f aca="false">IFERROR(K69/K57,0)</f>
        <v>0.82781955615417</v>
      </c>
      <c r="L70" s="7" t="n">
        <f aca="false">IFERROR(L69/L57,0)</f>
        <v>0.833837683297181</v>
      </c>
      <c r="M70" s="7" t="n">
        <f aca="false">IFERROR(M69/M57,0)</f>
        <v>0.834925231182162</v>
      </c>
      <c r="N70" s="7" t="n">
        <f aca="false">IFERROR(N69/N57,0)</f>
        <v>0.835067641427086</v>
      </c>
      <c r="O70" s="13" t="n">
        <f aca="false">IFERROR(O69/O57,0)</f>
        <v>0.821239346698703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-217493.245898692</v>
      </c>
      <c r="D92" s="37" t="n">
        <f aca="false">D69-D91</f>
        <v>-184767.356804428</v>
      </c>
      <c r="E92" s="37" t="n">
        <f aca="false">E69-E91</f>
        <v>-256017.060301619</v>
      </c>
      <c r="F92" s="37" t="n">
        <f aca="false">F69-F91</f>
        <v>-26428.6307453198</v>
      </c>
      <c r="G92" s="37" t="n">
        <f aca="false">G69-G91</f>
        <v>18016.7692997912</v>
      </c>
      <c r="H92" s="37" t="n">
        <f aca="false">H69-H91</f>
        <v>-43417.8842557081</v>
      </c>
      <c r="I92" s="37" t="n">
        <f aca="false">I69-I91</f>
        <v>386430.829052517</v>
      </c>
      <c r="J92" s="37" t="n">
        <f aca="false">J69-J91</f>
        <v>378125.245203756</v>
      </c>
      <c r="K92" s="37" t="n">
        <f aca="false">K69-K91</f>
        <v>116074.284971055</v>
      </c>
      <c r="L92" s="37" t="n">
        <f aca="false">L69-L91</f>
        <v>271431.745282948</v>
      </c>
      <c r="M92" s="37" t="n">
        <f aca="false">M69-M91</f>
        <v>323332.673877631</v>
      </c>
      <c r="N92" s="37" t="n">
        <f aca="false">N69-N91</f>
        <v>319008.567680479</v>
      </c>
      <c r="O92" s="31" t="n">
        <f aca="false">SUM(C92:N92)</f>
        <v>1084295.93736241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-2.2115166227275</v>
      </c>
      <c r="D93" s="7" t="n">
        <f aca="false">IFERROR(D92/D57,0)</f>
        <v>-1.09728942112262</v>
      </c>
      <c r="E93" s="7" t="n">
        <f aca="false">IFERROR(E92/E57,0)</f>
        <v>-0.846594124312486</v>
      </c>
      <c r="F93" s="7" t="n">
        <f aca="false">IFERROR(F92/F57,0)</f>
        <v>-0.0625579249671477</v>
      </c>
      <c r="G93" s="7" t="n">
        <f aca="false">IFERROR(G92/G57,0)</f>
        <v>0.0348596726414549</v>
      </c>
      <c r="H93" s="7" t="n">
        <f aca="false">IFERROR(H92/H57,0)</f>
        <v>-0.0958457197074515</v>
      </c>
      <c r="I93" s="7" t="n">
        <f aca="false">IFERROR(I92/I57,0)</f>
        <v>0.372053853761875</v>
      </c>
      <c r="J93" s="7" t="n">
        <f aca="false">IFERROR(J92/J57,0)</f>
        <v>0.36598807987737</v>
      </c>
      <c r="K93" s="7" t="n">
        <f aca="false">IFERROR(K92/K57,0)</f>
        <v>0.152278056615558</v>
      </c>
      <c r="L93" s="7" t="n">
        <f aca="false">IFERROR(L92/L57,0)</f>
        <v>0.287818113690494</v>
      </c>
      <c r="M93" s="7" t="n">
        <f aca="false">IFERROR(M92/M57,0)</f>
        <v>0.322044210920935</v>
      </c>
      <c r="N93" s="7" t="n">
        <f aca="false">IFERROR(N92/N57,0)</f>
        <v>0.319439325885765</v>
      </c>
      <c r="O93" s="7" t="n">
        <f aca="false">IFERROR(O92/O57,0)</f>
        <v>0.140067891991099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-292493.245898692</v>
      </c>
      <c r="D94" s="8" t="n">
        <f aca="false">D92-INDEX(Assumptions!$C$163:$E$163,$B$3)</f>
        <v>-259767.356804428</v>
      </c>
      <c r="E94" s="8" t="n">
        <f aca="false">E92-INDEX(Assumptions!$C$163:$E$163,$B$3)</f>
        <v>-331017.060301619</v>
      </c>
      <c r="F94" s="8" t="n">
        <f aca="false">F92-INDEX(Assumptions!$C$163:$E$163,$B$3)</f>
        <v>-101428.63074532</v>
      </c>
      <c r="G94" s="8" t="n">
        <f aca="false">G92-INDEX(Assumptions!$C$163:$E$163,$B$3)</f>
        <v>-56983.2307002088</v>
      </c>
      <c r="H94" s="8" t="n">
        <f aca="false">H92-INDEX(Assumptions!$C$163:$E$163,$B$3)</f>
        <v>-118417.884255708</v>
      </c>
      <c r="I94" s="8" t="n">
        <f aca="false">I92-INDEX(Assumptions!$C$163:$E$163,$B$3)</f>
        <v>311430.829052517</v>
      </c>
      <c r="J94" s="8" t="n">
        <f aca="false">J92-INDEX(Assumptions!$C$163:$E$163,$B$3)</f>
        <v>303125.245203756</v>
      </c>
      <c r="K94" s="8" t="n">
        <f aca="false">K92-INDEX(Assumptions!$C$163:$E$163,$B$3)</f>
        <v>41074.2849710553</v>
      </c>
      <c r="L94" s="8" t="n">
        <f aca="false">L92-INDEX(Assumptions!$C$163:$E$163,$B$3)</f>
        <v>196431.745282948</v>
      </c>
      <c r="M94" s="8" t="n">
        <f aca="false">M92-INDEX(Assumptions!$C$163:$E$163,$B$3)</f>
        <v>248332.673877631</v>
      </c>
      <c r="N94" s="8" t="n">
        <f aca="false">N92-INDEX(Assumptions!$C$163:$E$163,$B$3)</f>
        <v>244008.567680479</v>
      </c>
      <c r="O94" s="37" t="n">
        <f aca="false">SUM(C94:N94)</f>
        <v>184295.93736241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-30882.2058305085</v>
      </c>
      <c r="D102" s="8" t="n">
        <f aca="false">((D58+IF(INDEX(Assumptions!$C$87:$E$87,$B$3)&gt;=2,C58,0)+IF(INDEX(Assumptions!$C$87:$E$87,$B$3)&gt;=3,0,0))/INDEX(Assumptions!$C$87:$E$87,$B$3))-D58</f>
        <v>-21979.3716152542</v>
      </c>
      <c r="E102" s="8" t="n">
        <f aca="false">((E58+IF(INDEX(Assumptions!$C$87:$E$87,$B$3)&gt;=2,D58,0)+IF(INDEX(Assumptions!$C$87:$E$87,$B$3)&gt;=3,C58,0))/INDEX(Assumptions!$C$87:$E$87,$B$3))-E58</f>
        <v>-32749.7954567797</v>
      </c>
      <c r="F102" s="8" t="n">
        <f aca="false">((F58+IF(INDEX(Assumptions!$C$87:$E$87,$B$3)&gt;=2,E58,0)+IF(INDEX(Assumptions!$C$87:$E$87,$B$3)&gt;=3,D58,0))/INDEX(Assumptions!$C$87:$E$87,$B$3))-F58</f>
        <v>-37143.4406567797</v>
      </c>
      <c r="G102" s="8" t="n">
        <f aca="false">((G58+IF(INDEX(Assumptions!$C$87:$E$87,$B$3)&gt;=2,F58,0)+IF(INDEX(Assumptions!$C$87:$E$87,$B$3)&gt;=3,E58,0))/INDEX(Assumptions!$C$87:$E$87,$B$3))-G58</f>
        <v>-43267.7288135593</v>
      </c>
      <c r="H102" s="8" t="n">
        <f aca="false">((H58+IF(INDEX(Assumptions!$C$87:$E$87,$B$3)&gt;=2,G58,0)+IF(INDEX(Assumptions!$C$87:$E$87,$B$3)&gt;=3,F58,0))/INDEX(Assumptions!$C$87:$E$87,$B$3))-H58</f>
        <v>47371.3750620523</v>
      </c>
      <c r="I102" s="8" t="n">
        <f aca="false">((I58+IF(INDEX(Assumptions!$C$87:$E$87,$B$3)&gt;=2,H58,0)+IF(INDEX(Assumptions!$C$87:$E$87,$B$3)&gt;=3,G58,0))/INDEX(Assumptions!$C$87:$E$87,$B$3))-I58</f>
        <v>-272464.993156514</v>
      </c>
      <c r="J102" s="8" t="n">
        <f aca="false">((J58+IF(INDEX(Assumptions!$C$87:$E$87,$B$3)&gt;=2,I58,0)+IF(INDEX(Assumptions!$C$87:$E$87,$B$3)&gt;=3,H58,0))/INDEX(Assumptions!$C$87:$E$87,$B$3))-J58</f>
        <v>17277.4506315565</v>
      </c>
      <c r="K102" s="8" t="n">
        <f aca="false">((K58+IF(INDEX(Assumptions!$C$87:$E$87,$B$3)&gt;=2,J58,0)+IF(INDEX(Assumptions!$C$87:$E$87,$B$3)&gt;=3,I58,0))/INDEX(Assumptions!$C$87:$E$87,$B$3))-K58</f>
        <v>145824.05268221</v>
      </c>
      <c r="L102" s="8" t="n">
        <f aca="false">((L58+IF(INDEX(Assumptions!$C$87:$E$87,$B$3)&gt;=2,K58,0)+IF(INDEX(Assumptions!$C$87:$E$87,$B$3)&gt;=3,J58,0))/INDEX(Assumptions!$C$87:$E$87,$B$3))-L58</f>
        <v>-82474.2688504942</v>
      </c>
      <c r="M102" s="8" t="n">
        <f aca="false">((M58+IF(INDEX(Assumptions!$C$87:$E$87,$B$3)&gt;=2,L58,0)+IF(INDEX(Assumptions!$C$87:$E$87,$B$3)&gt;=3,K58,0))/INDEX(Assumptions!$C$87:$E$87,$B$3))-M58</f>
        <v>-19097.4282148898</v>
      </c>
      <c r="N102" s="8" t="n">
        <f aca="false">((N58+IF(INDEX(Assumptions!$C$87:$E$87,$B$3)&gt;=2,M58,0)+IF(INDEX(Assumptions!$C$87:$E$87,$B$3)&gt;=3,L58,0))/INDEX(Assumptions!$C$87:$E$87,$B$3))-N58</f>
        <v>13765.9813376046</v>
      </c>
      <c r="O102" s="37" t="n">
        <f aca="false">SUM(C102:N102)</f>
        <v>-315820.372881356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-398375.4517292</v>
      </c>
      <c r="D103" s="37" t="n">
        <f aca="false">D92+D102-D101</f>
        <v>-206746.728419682</v>
      </c>
      <c r="E103" s="37" t="n">
        <f aca="false">E92+E102-E101</f>
        <v>-288766.855758399</v>
      </c>
      <c r="F103" s="37" t="n">
        <f aca="false">F92+F102-F101</f>
        <v>-63572.0714020995</v>
      </c>
      <c r="G103" s="37" t="n">
        <f aca="false">G92+G102-G101</f>
        <v>-25250.9595137681</v>
      </c>
      <c r="H103" s="37" t="n">
        <f aca="false">H92+H102-H101</f>
        <v>-1468046.50919366</v>
      </c>
      <c r="I103" s="37" t="n">
        <f aca="false">I92+I102-I101</f>
        <v>113965.835896003</v>
      </c>
      <c r="J103" s="37" t="n">
        <f aca="false">J92+J102-J101</f>
        <v>45402.6958353121</v>
      </c>
      <c r="K103" s="37" t="n">
        <f aca="false">K92+K102-K101</f>
        <v>261898.337653265</v>
      </c>
      <c r="L103" s="37" t="n">
        <f aca="false">L92+L102-L101</f>
        <v>188957.476432453</v>
      </c>
      <c r="M103" s="37" t="n">
        <f aca="false">M92+M102-M101</f>
        <v>304235.245662741</v>
      </c>
      <c r="N103" s="37" t="n">
        <f aca="false">N92+N102-N101</f>
        <v>332774.549018084</v>
      </c>
      <c r="O103" s="31" t="n">
        <f aca="false">SUM(C103:N103)</f>
        <v>-1203524.43551895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-398375.4517292</v>
      </c>
      <c r="D104" s="37" t="n">
        <f aca="false">C104+D103</f>
        <v>-605122.180148882</v>
      </c>
      <c r="E104" s="37" t="n">
        <f aca="false">D104+E103</f>
        <v>-893889.035907281</v>
      </c>
      <c r="F104" s="37" t="n">
        <f aca="false">E104+F103</f>
        <v>-957461.10730938</v>
      </c>
      <c r="G104" s="37" t="n">
        <f aca="false">F104+G103</f>
        <v>-982712.066823148</v>
      </c>
      <c r="H104" s="37" t="n">
        <f aca="false">G104+H103</f>
        <v>-2450758.5760168</v>
      </c>
      <c r="I104" s="37" t="n">
        <f aca="false">H104+I103</f>
        <v>-2336792.7401208</v>
      </c>
      <c r="J104" s="37" t="n">
        <f aca="false">I104+J103</f>
        <v>-2291390.04428549</v>
      </c>
      <c r="K104" s="37" t="n">
        <f aca="false">J104+K103</f>
        <v>-2029491.70663222</v>
      </c>
      <c r="L104" s="37" t="n">
        <f aca="false">K104+L103</f>
        <v>-1840534.23019977</v>
      </c>
      <c r="M104" s="37" t="n">
        <f aca="false">L104+M103</f>
        <v>-1536298.98453703</v>
      </c>
      <c r="N104" s="37" t="n">
        <f aca="false">M104+N103</f>
        <v>-1203524.43551895</v>
      </c>
      <c r="O104" s="31" t="n">
        <f aca="false">N104</f>
        <v>-1203524.43551895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398375.4517292</v>
      </c>
      <c r="D105" s="37" t="n">
        <f aca="false">-MIN(0,MIN($C$104:D104))</f>
        <v>605122.180148882</v>
      </c>
      <c r="E105" s="37" t="n">
        <f aca="false">-MIN(0,MIN($C$104:E104))</f>
        <v>893889.035907281</v>
      </c>
      <c r="F105" s="37" t="n">
        <f aca="false">-MIN(0,MIN($C$104:F104))</f>
        <v>957461.10730938</v>
      </c>
      <c r="G105" s="37" t="n">
        <f aca="false">-MIN(0,MIN($C$104:G104))</f>
        <v>982712.066823148</v>
      </c>
      <c r="H105" s="37" t="n">
        <f aca="false">-MIN(0,MIN($C$104:H104))</f>
        <v>2450758.5760168</v>
      </c>
      <c r="I105" s="37" t="n">
        <f aca="false">-MIN(0,MIN($C$104:I104))</f>
        <v>2450758.5760168</v>
      </c>
      <c r="J105" s="37" t="n">
        <f aca="false">-MIN(0,MIN($C$104:J104))</f>
        <v>2450758.5760168</v>
      </c>
      <c r="K105" s="37" t="n">
        <f aca="false">-MIN(0,MIN($C$104:K104))</f>
        <v>2450758.5760168</v>
      </c>
      <c r="L105" s="37" t="n">
        <f aca="false">-MIN(0,MIN($C$104:L104))</f>
        <v>2450758.5760168</v>
      </c>
      <c r="M105" s="37" t="n">
        <f aca="false">-MIN(0,MIN($C$104:M104))</f>
        <v>2450758.5760168</v>
      </c>
      <c r="N105" s="37" t="n">
        <f aca="false">-MIN(0,MIN($C$104:N104))</f>
        <v>2450758.5760168</v>
      </c>
      <c r="O105" s="31" t="n">
        <f aca="false">MAX(C105:N105)</f>
        <v>2450758.5760168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1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7741216.9337946</v>
      </c>
    </row>
    <row r="110" customFormat="false" ht="15" hidden="false" customHeight="false" outlineLevel="0" collapsed="false">
      <c r="A110" s="3" t="s">
        <v>28</v>
      </c>
      <c r="B110" s="31" t="n">
        <f aca="false">O92</f>
        <v>1084295.93736241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0.140067891991099</v>
      </c>
    </row>
    <row r="112" customFormat="false" ht="15" hidden="false" customHeight="false" outlineLevel="0" collapsed="false">
      <c r="A112" s="3" t="s">
        <v>30</v>
      </c>
      <c r="B112" s="31" t="n">
        <f aca="false">O94</f>
        <v>184295.93736241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2450758.5760168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549241.423983196</v>
      </c>
    </row>
    <row r="117" customFormat="false" ht="15" hidden="false" customHeight="false" outlineLevel="0" collapsed="false">
      <c r="A117" s="3" t="s">
        <v>35</v>
      </c>
      <c r="B117" s="32" t="n">
        <f aca="false">O31</f>
        <v>93.2177688305241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11.3010838939995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183.6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0.896046403147091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291829.284917767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4.44468830443893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53.3362596532671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10323.4935481377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0.152271529835031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0.408094254212649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17.5757122612393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913772.986841058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5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-1203524.43551895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1216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0.8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48000</v>
      </c>
      <c r="D44" s="8" t="n">
        <f aca="false">IF(2&gt;=INDEX(Assumptions!$C$105:$E$105,$B$3),INDEX(Assumptions!$C$20:$E$20,$B$3),INDEX(Assumptions!$C$10:$E$10,$B$3))*$H$3</f>
        <v>48000</v>
      </c>
      <c r="E44" s="8" t="n">
        <f aca="false">IF(3&gt;=INDEX(Assumptions!$C$105:$E$105,$B$3),INDEX(Assumptions!$C$20:$E$20,$B$3),INDEX(Assumptions!$C$10:$E$10,$B$3))*$H$3</f>
        <v>48000</v>
      </c>
      <c r="F44" s="8" t="n">
        <f aca="false">IF(4&gt;=INDEX(Assumptions!$C$105:$E$105,$B$3),INDEX(Assumptions!$C$20:$E$20,$B$3),INDEX(Assumptions!$C$10:$E$10,$B$3))*$H$3</f>
        <v>48000</v>
      </c>
      <c r="G44" s="8" t="n">
        <f aca="false">IF(5&gt;=INDEX(Assumptions!$C$105:$E$105,$B$3),INDEX(Assumptions!$C$20:$E$20,$B$3),INDEX(Assumptions!$C$10:$E$10,$B$3))*$H$3</f>
        <v>48000</v>
      </c>
      <c r="H44" s="8" t="n">
        <f aca="false">IF(6&gt;=INDEX(Assumptions!$C$105:$E$105,$B$3),INDEX(Assumptions!$C$20:$E$20,$B$3),INDEX(Assumptions!$C$10:$E$10,$B$3))*$H$3</f>
        <v>48000</v>
      </c>
      <c r="I44" s="8" t="n">
        <f aca="false">IF(7&gt;=INDEX(Assumptions!$C$105:$E$105,$B$3),INDEX(Assumptions!$C$20:$E$20,$B$3),INDEX(Assumptions!$C$10:$E$10,$B$3))*$H$3</f>
        <v>64000</v>
      </c>
      <c r="J44" s="8" t="n">
        <f aca="false">IF(8&gt;=INDEX(Assumptions!$C$105:$E$105,$B$3),INDEX(Assumptions!$C$20:$E$20,$B$3),INDEX(Assumptions!$C$10:$E$10,$B$3))*$H$3</f>
        <v>64000</v>
      </c>
      <c r="K44" s="8" t="n">
        <f aca="false">IF(9&gt;=INDEX(Assumptions!$C$105:$E$105,$B$3),INDEX(Assumptions!$C$20:$E$20,$B$3),INDEX(Assumptions!$C$10:$E$10,$B$3))*$H$3</f>
        <v>64000</v>
      </c>
      <c r="L44" s="8" t="n">
        <f aca="false">IF(10&gt;=INDEX(Assumptions!$C$105:$E$105,$B$3),INDEX(Assumptions!$C$20:$E$20,$B$3),INDEX(Assumptions!$C$10:$E$10,$B$3))*$H$3</f>
        <v>64000</v>
      </c>
      <c r="M44" s="8" t="n">
        <f aca="false">IF(11&gt;=INDEX(Assumptions!$C$105:$E$105,$B$3),INDEX(Assumptions!$C$20:$E$20,$B$3),INDEX(Assumptions!$C$10:$E$10,$B$3))*$H$3</f>
        <v>64000</v>
      </c>
      <c r="N44" s="8" t="n">
        <f aca="false">IF(12&gt;=INDEX(Assumptions!$C$105:$E$105,$B$3),INDEX(Assumptions!$C$20:$E$20,$B$3),INDEX(Assumptions!$C$10:$E$10,$B$3))*$H$3</f>
        <v>64000</v>
      </c>
      <c r="O44" s="37" t="n">
        <f aca="false">AVERAGE(C44:N44)</f>
        <v>56000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28528.5966101695</v>
      </c>
      <c r="D47" s="8" t="n">
        <f aca="false">D27*D44/(1+INDEX(Assumptions!$C$15:$E$15,$B$3)*$H$4)</f>
        <v>52787.2881355932</v>
      </c>
      <c r="E47" s="8" t="n">
        <f aca="false">E27*E44/(1+INDEX(Assumptions!$C$15:$E$15,$B$3)*$H$4)</f>
        <v>85423.7288135593</v>
      </c>
      <c r="F47" s="8" t="n">
        <f aca="false">F27*F44/(1+INDEX(Assumptions!$C$15:$E$15,$B$3)*$H$4)</f>
        <v>119105.084745763</v>
      </c>
      <c r="G47" s="8" t="n">
        <f aca="false">G27*G44/(1+INDEX(Assumptions!$C$15:$E$15,$B$3)*$H$4)</f>
        <v>164745.762711864</v>
      </c>
      <c r="H47" s="8" t="n">
        <f aca="false">H27*H44/(1+INDEX(Assumptions!$C$15:$E$15,$B$3)*$H$4)</f>
        <v>143334.940784342</v>
      </c>
      <c r="I47" s="8" t="n">
        <f aca="false">I27*I44/(1+INDEX(Assumptions!$C$15:$E$15,$B$3)*$H$4)</f>
        <v>423050.847457627</v>
      </c>
      <c r="J47" s="8" t="n">
        <f aca="false">J27*J44/(1+INDEX(Assumptions!$C$15:$E$15,$B$3)*$H$4)</f>
        <v>420884.811028915</v>
      </c>
      <c r="K47" s="8" t="n">
        <f aca="false">K27*K44/(1+INDEX(Assumptions!$C$15:$E$15,$B$3)*$H$4)</f>
        <v>267500.383722192</v>
      </c>
      <c r="L47" s="8" t="n">
        <f aca="false">L27*L44/(1+INDEX(Assumptions!$C$15:$E$15,$B$3)*$H$4)</f>
        <v>255349.516956021</v>
      </c>
      <c r="M47" s="8" t="n">
        <f aca="false">M27*M44/(1+INDEX(Assumptions!$C$15:$E$15,$B$3)*$H$4)</f>
        <v>256271.186440678</v>
      </c>
      <c r="N47" s="8" t="n">
        <f aca="false">N27*N44/(1+INDEX(Assumptions!$C$15:$E$15,$B$3)*$H$4)</f>
        <v>244067.79661017</v>
      </c>
      <c r="O47" s="37" t="n">
        <f aca="false">SUM(C47:N47)</f>
        <v>2461049.94401689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85116.5056520069</v>
      </c>
      <c r="M48" s="8" t="n">
        <f aca="false">M28*M44/(1+INDEX(Assumptions!$C$15:$E$15,$B$3)*$H$4)</f>
        <v>85423.7288135593</v>
      </c>
      <c r="N48" s="8" t="n">
        <f aca="false">N28*N44/(1+INDEX(Assumptions!$C$15:$E$15,$B$3)*$H$4)</f>
        <v>81355.9322033898</v>
      </c>
      <c r="O48" s="37" t="n">
        <f aca="false">SUM(C48:N48)</f>
        <v>251896.166668956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1911.41597288136</v>
      </c>
      <c r="E49" s="8" t="n">
        <f aca="false">E30*MAX(0,E44-INDEX(Assumptions!$C$18:$E$18,$B$3)*$H$3)/(1+INDEX(Assumptions!$C$15:$E$15,$B$3)*$H$4)</f>
        <v>3536.74830508475</v>
      </c>
      <c r="F49" s="8" t="n">
        <f aca="false">F30*MAX(0,F44-INDEX(Assumptions!$C$18:$E$18,$B$3)*$H$3)/(1+INDEX(Assumptions!$C$15:$E$15,$B$3)*$H$4)</f>
        <v>5723.38983050848</v>
      </c>
      <c r="G49" s="8" t="n">
        <f aca="false">G30*MAX(0,G44-INDEX(Assumptions!$C$18:$E$18,$B$3)*$H$3)/(1+INDEX(Assumptions!$C$15:$E$15,$B$3)*$H$4)</f>
        <v>7980.0406779661</v>
      </c>
      <c r="H49" s="8" t="n">
        <f aca="false">H30*MAX(0,H44-INDEX(Assumptions!$C$18:$E$18,$B$3)*$H$3)/(1+INDEX(Assumptions!$C$15:$E$15,$B$3)*$H$4)</f>
        <v>7408.36879653925</v>
      </c>
      <c r="I49" s="8" t="n">
        <f aca="false">I30*MAX(0,I44-INDEX(Assumptions!$C$18:$E$18,$B$3)*$H$3)/(1+INDEX(Assumptions!$C$15:$E$15,$B$3)*$H$4)</f>
        <v>19159.103751507</v>
      </c>
      <c r="J49" s="8" t="n">
        <f aca="false">J30*MAX(0,J44-INDEX(Assumptions!$C$18:$E$18,$B$3)*$H$3)/(1+INDEX(Assumptions!$C$15:$E$15,$B$3)*$H$4)</f>
        <v>40630.9725906247</v>
      </c>
      <c r="K49" s="8" t="n">
        <f aca="false">K30*MAX(0,K44-INDEX(Assumptions!$C$18:$E$18,$B$3)*$H$3)/(1+INDEX(Assumptions!$C$15:$E$15,$B$3)*$H$4)</f>
        <v>27746.7942453265</v>
      </c>
      <c r="L49" s="8" t="n">
        <f aca="false">L30*MAX(0,L44-INDEX(Assumptions!$C$18:$E$18,$B$3)*$H$3)/(1+INDEX(Assumptions!$C$15:$E$15,$B$3)*$H$4)</f>
        <v>25505.9007651681</v>
      </c>
      <c r="M49" s="8" t="n">
        <f aca="false">M30*MAX(0,M44-INDEX(Assumptions!$C$18:$E$18,$B$3)*$H$3)/(1+INDEX(Assumptions!$C$15:$E$15,$B$3)*$H$4)</f>
        <v>34131.7187664548</v>
      </c>
      <c r="N49" s="8" t="n">
        <f aca="false">N30*MAX(0,N44-INDEX(Assumptions!$C$18:$E$18,$B$3)*$H$3)/(1+INDEX(Assumptions!$C$15:$E$15,$B$3)*$H$4)</f>
        <v>34254.9152542373</v>
      </c>
      <c r="O49" s="37" t="n">
        <f aca="false">SUM(C49:N49)</f>
        <v>207989.368956298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12647.6778305085</v>
      </c>
      <c r="D50" s="8" t="n">
        <f aca="false">D29*INDEX(Assumptions!$C$18:$E$18,$B$3)*$H$3/(1+INDEX(Assumptions!$C$15:$E$15,$B$3)*$H$4)</f>
        <v>23402.3644067797</v>
      </c>
      <c r="E50" s="8" t="n">
        <f aca="false">E29*INDEX(Assumptions!$C$18:$E$18,$B$3)*$H$3/(1+INDEX(Assumptions!$C$15:$E$15,$B$3)*$H$4)</f>
        <v>37871.186440678</v>
      </c>
      <c r="F50" s="8" t="n">
        <f aca="false">F29*INDEX(Assumptions!$C$18:$E$18,$B$3)*$H$3/(1+INDEX(Assumptions!$C$15:$E$15,$B$3)*$H$4)</f>
        <v>52803.2542372881</v>
      </c>
      <c r="G50" s="8" t="n">
        <f aca="false">G29*INDEX(Assumptions!$C$18:$E$18,$B$3)*$H$3/(1+INDEX(Assumptions!$C$15:$E$15,$B$3)*$H$4)</f>
        <v>73037.2881355932</v>
      </c>
      <c r="H50" s="8" t="n">
        <f aca="false">H29*INDEX(Assumptions!$C$18:$E$18,$B$3)*$H$3/(1+INDEX(Assumptions!$C$15:$E$15,$B$3)*$H$4)</f>
        <v>63545.1570810581</v>
      </c>
      <c r="I50" s="8" t="n">
        <f aca="false">I29*INDEX(Assumptions!$C$18:$E$18,$B$3)*$H$3/(1+INDEX(Assumptions!$C$15:$E$15,$B$3)*$H$4)</f>
        <v>140664.406779661</v>
      </c>
      <c r="J50" s="8" t="n">
        <f aca="false">J29*INDEX(Assumptions!$C$18:$E$18,$B$3)*$H$3/(1+INDEX(Assumptions!$C$15:$E$15,$B$3)*$H$4)</f>
        <v>139944.199667114</v>
      </c>
      <c r="K50" s="8" t="n">
        <f aca="false">K29*INDEX(Assumptions!$C$18:$E$18,$B$3)*$H$3/(1+INDEX(Assumptions!$C$15:$E$15,$B$3)*$H$4)</f>
        <v>88943.8775876287</v>
      </c>
      <c r="L50" s="8" t="n">
        <f aca="false">L29*INDEX(Assumptions!$C$18:$E$18,$B$3)*$H$3/(1+INDEX(Assumptions!$C$15:$E$15,$B$3)*$H$4)</f>
        <v>113204.952517169</v>
      </c>
      <c r="M50" s="8" t="n">
        <f aca="false">M29*INDEX(Assumptions!$C$18:$E$18,$B$3)*$H$3/(1+INDEX(Assumptions!$C$15:$E$15,$B$3)*$H$4)</f>
        <v>113613.559322034</v>
      </c>
      <c r="N50" s="8" t="n">
        <f aca="false">N29*INDEX(Assumptions!$C$18:$E$18,$B$3)*$H$3/(1+INDEX(Assumptions!$C$15:$E$15,$B$3)*$H$4)</f>
        <v>108203.389830508</v>
      </c>
      <c r="O50" s="37" t="n">
        <f aca="false">SUM(C50:N50)</f>
        <v>967881.313836021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23050.8474576271</v>
      </c>
      <c r="F52" s="8" t="n">
        <f aca="false">F37*INDEX(Assumptions!$C$21:$E$21,$B$3)*$H$3/(1+INDEX(Assumptions!$C$15:$E$15,$B$3)*$H$4)</f>
        <v>46101.6949152542</v>
      </c>
      <c r="G52" s="8" t="n">
        <f aca="false">G37*INDEX(Assumptions!$C$21:$E$21,$B$3)*$H$3/(1+INDEX(Assumptions!$C$15:$E$15,$B$3)*$H$4)</f>
        <v>69152.5423728814</v>
      </c>
      <c r="H52" s="8" t="n">
        <f aca="false">H37*INDEX(Assumptions!$C$21:$E$21,$B$3)*$H$3/(1+INDEX(Assumptions!$C$15:$E$15,$B$3)*$H$4)</f>
        <v>92203.3898305085</v>
      </c>
      <c r="I52" s="8" t="n">
        <f aca="false">I37*INDEX(Assumptions!$C$21:$E$21,$B$3)*$H$3/(1+INDEX(Assumptions!$C$15:$E$15,$B$3)*$H$4)</f>
        <v>115254.237288136</v>
      </c>
      <c r="J52" s="8" t="n">
        <f aca="false">J37*INDEX(Assumptions!$C$21:$E$21,$B$3)*$H$3/(1+INDEX(Assumptions!$C$15:$E$15,$B$3)*$H$4)</f>
        <v>138305.084745763</v>
      </c>
      <c r="K52" s="8" t="n">
        <f aca="false">K37*INDEX(Assumptions!$C$21:$E$21,$B$3)*$H$3/(1+INDEX(Assumptions!$C$15:$E$15,$B$3)*$H$4)</f>
        <v>138305.084745763</v>
      </c>
      <c r="L52" s="8" t="n">
        <f aca="false">L37*INDEX(Assumptions!$C$21:$E$21,$B$3)*$H$3/(1+INDEX(Assumptions!$C$15:$E$15,$B$3)*$H$4)</f>
        <v>138305.084745763</v>
      </c>
      <c r="M52" s="8" t="n">
        <f aca="false">M37*INDEX(Assumptions!$C$21:$E$21,$B$3)*$H$3/(1+INDEX(Assumptions!$C$15:$E$15,$B$3)*$H$4)</f>
        <v>138305.084745763</v>
      </c>
      <c r="N52" s="8" t="n">
        <f aca="false">N37*INDEX(Assumptions!$C$21:$E$21,$B$3)*$H$3/(1+INDEX(Assumptions!$C$15:$E$15,$B$3)*$H$4)</f>
        <v>138305.084745763</v>
      </c>
      <c r="O52" s="37" t="n">
        <f aca="false">SUM(C52:N52)</f>
        <v>1037288.13559322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23724.0677966102</v>
      </c>
      <c r="D53" s="8" t="n">
        <f aca="false">D38*INDEX(Assumptions!$C$22:$E$22,$B$3)*$H$3/(1+INDEX(Assumptions!$C$15:$E$15,$B$3)*$H$4)</f>
        <v>40669.8305084746</v>
      </c>
      <c r="E53" s="8" t="n">
        <f aca="false">E38*INDEX(Assumptions!$C$22:$E$22,$B$3)*$H$3/(1+INDEX(Assumptions!$C$15:$E$15,$B$3)*$H$4)</f>
        <v>61004.7457627119</v>
      </c>
      <c r="F53" s="8" t="n">
        <f aca="false">F38*INDEX(Assumptions!$C$22:$E$22,$B$3)*$H$3/(1+INDEX(Assumptions!$C$15:$E$15,$B$3)*$H$4)</f>
        <v>66088.4745762712</v>
      </c>
      <c r="G53" s="8" t="n">
        <f aca="false">G38*INDEX(Assumptions!$C$22:$E$22,$B$3)*$H$3/(1+INDEX(Assumptions!$C$15:$E$15,$B$3)*$H$4)</f>
        <v>45753.5593220339</v>
      </c>
      <c r="H53" s="8" t="n">
        <f aca="false">H38*INDEX(Assumptions!$C$22:$E$22,$B$3)*$H$3/(1+INDEX(Assumptions!$C$15:$E$15,$B$3)*$H$4)</f>
        <v>40669.8305084746</v>
      </c>
      <c r="I53" s="8" t="n">
        <f aca="false">I38*INDEX(Assumptions!$C$22:$E$22,$B$3)*$H$3/(1+INDEX(Assumptions!$C$15:$E$15,$B$3)*$H$4)</f>
        <v>35586.1016949153</v>
      </c>
      <c r="J53" s="8" t="n">
        <f aca="false">J38*INDEX(Assumptions!$C$22:$E$22,$B$3)*$H$3/(1+INDEX(Assumptions!$C$15:$E$15,$B$3)*$H$4)</f>
        <v>30502.3728813559</v>
      </c>
      <c r="K53" s="8" t="n">
        <f aca="false">K38*INDEX(Assumptions!$C$22:$E$22,$B$3)*$H$3/(1+INDEX(Assumptions!$C$15:$E$15,$B$3)*$H$4)</f>
        <v>30502.3728813559</v>
      </c>
      <c r="L53" s="8" t="n">
        <f aca="false">L38*INDEX(Assumptions!$C$22:$E$22,$B$3)*$H$3/(1+INDEX(Assumptions!$C$15:$E$15,$B$3)*$H$4)</f>
        <v>40669.8305084746</v>
      </c>
      <c r="M53" s="8" t="n">
        <f aca="false">M38*INDEX(Assumptions!$C$22:$E$22,$B$3)*$H$3/(1+INDEX(Assumptions!$C$15:$E$15,$B$3)*$H$4)</f>
        <v>55921.0169491525</v>
      </c>
      <c r="N53" s="8" t="n">
        <f aca="false">N38*INDEX(Assumptions!$C$22:$E$22,$B$3)*$H$3/(1+INDEX(Assumptions!$C$15:$E$15,$B$3)*$H$4)</f>
        <v>71172.2033898305</v>
      </c>
      <c r="O53" s="37" t="n">
        <f aca="false">SUM(C53:N53)</f>
        <v>542264.406779661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65729.7004547715</v>
      </c>
      <c r="D57" s="37" t="n">
        <f aca="false">SUM(D47:D56)</f>
        <v>120305.484541276</v>
      </c>
      <c r="E57" s="37" t="n">
        <f aca="false">SUM(E47:E56)</f>
        <v>215387.367594683</v>
      </c>
      <c r="F57" s="37" t="n">
        <f aca="false">SUM(F47:F56)</f>
        <v>297317.911272935</v>
      </c>
      <c r="G57" s="37" t="n">
        <f aca="false">SUM(G47:G56)</f>
        <v>371508.779211054</v>
      </c>
      <c r="H57" s="37" t="n">
        <f aca="false">SUM(H47:H56)</f>
        <v>361437.085224918</v>
      </c>
      <c r="I57" s="37" t="n">
        <f aca="false">SUM(I47:I56)</f>
        <v>760510.355301734</v>
      </c>
      <c r="J57" s="37" t="n">
        <f aca="false">SUM(J47:J56)</f>
        <v>799396.274050413</v>
      </c>
      <c r="K57" s="37" t="n">
        <f aca="false">SUM(K47:K56)</f>
        <v>599028.333296564</v>
      </c>
      <c r="L57" s="37" t="n">
        <f aca="false">SUM(L47:L56)</f>
        <v>704408.804485439</v>
      </c>
      <c r="M57" s="37" t="n">
        <f aca="false">SUM(M47:M56)</f>
        <v>729590.293584402</v>
      </c>
      <c r="N57" s="37" t="n">
        <f aca="false">SUM(N47:N56)</f>
        <v>722640.554386746</v>
      </c>
      <c r="O57" s="31" t="n">
        <f aca="false">SUM(C57:N57)</f>
        <v>5747260.94340494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41176.274440678</v>
      </c>
      <c r="D58" s="8" t="n">
        <f aca="false">D47+D48+D49+D50</f>
        <v>78101.0685152542</v>
      </c>
      <c r="E58" s="8" t="n">
        <f aca="false">E47+E48+E49+E50</f>
        <v>126831.663559322</v>
      </c>
      <c r="F58" s="8" t="n">
        <f aca="false">F47+F48+F49+F50</f>
        <v>177631.728813559</v>
      </c>
      <c r="G58" s="8" t="n">
        <f aca="false">G47+G48+G49+G50</f>
        <v>245763.091525424</v>
      </c>
      <c r="H58" s="8" t="n">
        <f aca="false">H47+H48+H49+H50</f>
        <v>214288.466661939</v>
      </c>
      <c r="I58" s="8" t="n">
        <f aca="false">I47+I48+I49+I50</f>
        <v>582874.357988795</v>
      </c>
      <c r="J58" s="8" t="n">
        <f aca="false">J47+J48+J49+J50</f>
        <v>601459.983286653</v>
      </c>
      <c r="K58" s="8" t="n">
        <f aca="false">K47+K48+K49+K50</f>
        <v>384191.055555147</v>
      </c>
      <c r="L58" s="8" t="n">
        <f aca="false">L47+L48+L49+L50</f>
        <v>479176.875890365</v>
      </c>
      <c r="M58" s="8" t="n">
        <f aca="false">M47+M48+M49+M50</f>
        <v>489440.193342726</v>
      </c>
      <c r="N58" s="8" t="n">
        <f aca="false">N47+N48+N49+N50</f>
        <v>467882.033898305</v>
      </c>
      <c r="O58" s="37" t="n">
        <f aca="false">SUM(C58:N58)</f>
        <v>3888816.79347817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2140.33645073261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3968.73767501412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6920.17572773452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9594.41070604128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12334.3950293809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11642.7645541533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27079.6798775896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28396.0529993332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20233.9228908282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24181.3680035128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24979.1509211192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24481.6810835272</v>
      </c>
      <c r="O66" s="37" t="n">
        <f aca="false">SUM(C66:N66)</f>
        <v>195952.675918967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19474.80003047</v>
      </c>
      <c r="D68" s="37" t="n">
        <f aca="false">SUM(D60:D67)</f>
        <v>36503.8699710742</v>
      </c>
      <c r="E68" s="37" t="n">
        <f aca="false">SUM(E60:E67)</f>
        <v>63074.226243682</v>
      </c>
      <c r="F68" s="37" t="n">
        <f aca="false">SUM(F60:F67)</f>
        <v>88346.875996848</v>
      </c>
      <c r="G68" s="37" t="n">
        <f aca="false">SUM(G60:G67)</f>
        <v>116809.01566728</v>
      </c>
      <c r="H68" s="37" t="n">
        <f aca="false">SUM(H60:H67)</f>
        <v>108908.284829378</v>
      </c>
      <c r="I68" s="37" t="n">
        <f aca="false">SUM(I60:I67)</f>
        <v>122936.841118533</v>
      </c>
      <c r="J68" s="37" t="n">
        <f aca="false">SUM(J60:J67)</f>
        <v>132052.476526877</v>
      </c>
      <c r="K68" s="37" t="n">
        <f aca="false">SUM(K60:K67)</f>
        <v>123245.431018766</v>
      </c>
      <c r="L68" s="37" t="n">
        <f aca="false">SUM(L60:L67)</f>
        <v>141111.402238938</v>
      </c>
      <c r="M68" s="37" t="n">
        <f aca="false">SUM(M60:M67)</f>
        <v>145692.938219164</v>
      </c>
      <c r="N68" s="37" t="n">
        <f aca="false">SUM(N60:N67)</f>
        <v>144292.896843377</v>
      </c>
      <c r="O68" s="31" t="n">
        <f aca="false">SUM(C68:N68)</f>
        <v>1242449.05870439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46254.9004243016</v>
      </c>
      <c r="D69" s="37" t="n">
        <f aca="false">D57-D68</f>
        <v>83801.614570202</v>
      </c>
      <c r="E69" s="37" t="n">
        <f aca="false">E57-E68</f>
        <v>152313.141351001</v>
      </c>
      <c r="F69" s="37" t="n">
        <f aca="false">F57-F68</f>
        <v>208971.035276087</v>
      </c>
      <c r="G69" s="37" t="n">
        <f aca="false">G57-G68</f>
        <v>254699.763543774</v>
      </c>
      <c r="H69" s="37" t="n">
        <f aca="false">H57-H68</f>
        <v>252528.80039554</v>
      </c>
      <c r="I69" s="37" t="n">
        <f aca="false">I57-I68</f>
        <v>637573.514183202</v>
      </c>
      <c r="J69" s="37" t="n">
        <f aca="false">J57-J68</f>
        <v>667343.797523536</v>
      </c>
      <c r="K69" s="37" t="n">
        <f aca="false">K57-K68</f>
        <v>475782.902277798</v>
      </c>
      <c r="L69" s="37" t="n">
        <f aca="false">L57-L68</f>
        <v>563297.402246501</v>
      </c>
      <c r="M69" s="37" t="n">
        <f aca="false">M57-M68</f>
        <v>583897.355365238</v>
      </c>
      <c r="N69" s="37" t="n">
        <f aca="false">N57-N68</f>
        <v>578347.657543369</v>
      </c>
      <c r="O69" s="31" t="n">
        <f aca="false">SUM(C69:N69)</f>
        <v>4504811.88470055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0.703713847838535</v>
      </c>
      <c r="D70" s="7" t="n">
        <f aca="false">IFERROR(D69/D57,0)</f>
        <v>0.69657351773892</v>
      </c>
      <c r="E70" s="7" t="n">
        <f aca="false">IFERROR(E69/E57,0)</f>
        <v>0.707159120109702</v>
      </c>
      <c r="F70" s="7" t="n">
        <f aca="false">IFERROR(F69/F57,0)</f>
        <v>0.702853838779507</v>
      </c>
      <c r="G70" s="7" t="n">
        <f aca="false">IFERROR(G69/G57,0)</f>
        <v>0.685582085259631</v>
      </c>
      <c r="H70" s="7" t="n">
        <f aca="false">IFERROR(H69/H57,0)</f>
        <v>0.698679827606497</v>
      </c>
      <c r="I70" s="7" t="n">
        <f aca="false">IFERROR(I69/I57,0)</f>
        <v>0.838349550060029</v>
      </c>
      <c r="J70" s="7" t="n">
        <f aca="false">IFERROR(J69/J57,0)</f>
        <v>0.834809742284902</v>
      </c>
      <c r="K70" s="7" t="n">
        <f aca="false">IFERROR(K69/K57,0)</f>
        <v>0.794257760162155</v>
      </c>
      <c r="L70" s="7" t="n">
        <f aca="false">IFERROR(L69/L57,0)</f>
        <v>0.799673994219851</v>
      </c>
      <c r="M70" s="7" t="n">
        <f aca="false">IFERROR(M69/M57,0)</f>
        <v>0.800308557418726</v>
      </c>
      <c r="N70" s="7" t="n">
        <f aca="false">IFERROR(N69/N57,0)</f>
        <v>0.800325492435408</v>
      </c>
      <c r="O70" s="13" t="n">
        <f aca="false">IFERROR(O69/O57,0)</f>
        <v>0.783818923320314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-245578.099575698</v>
      </c>
      <c r="D92" s="37" t="n">
        <f aca="false">D69-D91</f>
        <v>-228031.385429798</v>
      </c>
      <c r="E92" s="37" t="n">
        <f aca="false">E69-E91</f>
        <v>-334519.858648999</v>
      </c>
      <c r="F92" s="37" t="n">
        <f aca="false">F69-F91</f>
        <v>-137861.964723913</v>
      </c>
      <c r="G92" s="37" t="n">
        <f aca="false">G69-G91</f>
        <v>-112133.236456226</v>
      </c>
      <c r="H92" s="37" t="n">
        <f aca="false">H69-H91</f>
        <v>-136804.19960446</v>
      </c>
      <c r="I92" s="37" t="n">
        <f aca="false">I69-I91</f>
        <v>127640.514183202</v>
      </c>
      <c r="J92" s="37" t="n">
        <f aca="false">J69-J91</f>
        <v>157410.797523536</v>
      </c>
      <c r="K92" s="37" t="n">
        <f aca="false">K69-K91</f>
        <v>-39150.0977222024</v>
      </c>
      <c r="L92" s="37" t="n">
        <f aca="false">L69-L91</f>
        <v>48364.4022465007</v>
      </c>
      <c r="M92" s="37" t="n">
        <f aca="false">M69-M91</f>
        <v>68964.3553652382</v>
      </c>
      <c r="N92" s="37" t="n">
        <f aca="false">N69-N91</f>
        <v>63414.6575433689</v>
      </c>
      <c r="O92" s="31" t="n">
        <f aca="false">SUM(C92:N92)</f>
        <v>-768284.11529945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-3.73618163290855</v>
      </c>
      <c r="D93" s="7" t="n">
        <f aca="false">IFERROR(D92/D57,0)</f>
        <v>-1.89543632444755</v>
      </c>
      <c r="E93" s="7" t="n">
        <f aca="false">IFERROR(E92/E57,0)</f>
        <v>-1.55310806935762</v>
      </c>
      <c r="F93" s="7" t="n">
        <f aca="false">IFERROR(F92/F57,0)</f>
        <v>-0.463685366729744</v>
      </c>
      <c r="G93" s="7" t="n">
        <f aca="false">IFERROR(G92/G57,0)</f>
        <v>-0.301831996256873</v>
      </c>
      <c r="H93" s="7" t="n">
        <f aca="false">IFERROR(H92/H57,0)</f>
        <v>-0.378500727227058</v>
      </c>
      <c r="I93" s="7" t="n">
        <f aca="false">IFERROR(I92/I57,0)</f>
        <v>0.167835340167801</v>
      </c>
      <c r="J93" s="7" t="n">
        <f aca="false">IFERROR(J92/J57,0)</f>
        <v>0.196912098083671</v>
      </c>
      <c r="K93" s="7" t="n">
        <f aca="false">IFERROR(K92/K57,0)</f>
        <v>-0.0653560032907829</v>
      </c>
      <c r="L93" s="7" t="n">
        <f aca="false">IFERROR(L92/L57,0)</f>
        <v>0.0686595652106169</v>
      </c>
      <c r="M93" s="7" t="n">
        <f aca="false">IFERROR(M92/M57,0)</f>
        <v>0.0945247709182414</v>
      </c>
      <c r="N93" s="7" t="n">
        <f aca="false">IFERROR(N92/N57,0)</f>
        <v>0.0877540807230012</v>
      </c>
      <c r="O93" s="7" t="n">
        <f aca="false">IFERROR(O92/O57,0)</f>
        <v>-0.133678307434617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-320578.099575698</v>
      </c>
      <c r="D94" s="8" t="n">
        <f aca="false">D92-INDEX(Assumptions!$C$163:$E$163,$B$3)</f>
        <v>-303031.385429798</v>
      </c>
      <c r="E94" s="8" t="n">
        <f aca="false">E92-INDEX(Assumptions!$C$163:$E$163,$B$3)</f>
        <v>-409519.858648999</v>
      </c>
      <c r="F94" s="8" t="n">
        <f aca="false">F92-INDEX(Assumptions!$C$163:$E$163,$B$3)</f>
        <v>-212861.964723913</v>
      </c>
      <c r="G94" s="8" t="n">
        <f aca="false">G92-INDEX(Assumptions!$C$163:$E$163,$B$3)</f>
        <v>-187133.236456226</v>
      </c>
      <c r="H94" s="8" t="n">
        <f aca="false">H92-INDEX(Assumptions!$C$163:$E$163,$B$3)</f>
        <v>-211804.19960446</v>
      </c>
      <c r="I94" s="8" t="n">
        <f aca="false">I92-INDEX(Assumptions!$C$163:$E$163,$B$3)</f>
        <v>52640.5141832019</v>
      </c>
      <c r="J94" s="8" t="n">
        <f aca="false">J92-INDEX(Assumptions!$C$163:$E$163,$B$3)</f>
        <v>82410.7975235363</v>
      </c>
      <c r="K94" s="8" t="n">
        <f aca="false">K92-INDEX(Assumptions!$C$163:$E$163,$B$3)</f>
        <v>-114150.097722202</v>
      </c>
      <c r="L94" s="8" t="n">
        <f aca="false">L92-INDEX(Assumptions!$C$163:$E$163,$B$3)</f>
        <v>-26635.5977534993</v>
      </c>
      <c r="M94" s="8" t="n">
        <f aca="false">M92-INDEX(Assumptions!$C$163:$E$163,$B$3)</f>
        <v>-6035.64463476185</v>
      </c>
      <c r="N94" s="8" t="n">
        <f aca="false">N92-INDEX(Assumptions!$C$163:$E$163,$B$3)</f>
        <v>-11585.3424566311</v>
      </c>
      <c r="O94" s="37" t="n">
        <f aca="false">SUM(C94:N94)</f>
        <v>-1668284.11529945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-20588.137220339</v>
      </c>
      <c r="D102" s="8" t="n">
        <f aca="false">((D58+IF(INDEX(Assumptions!$C$87:$E$87,$B$3)&gt;=2,C58,0)+IF(INDEX(Assumptions!$C$87:$E$87,$B$3)&gt;=3,0,0))/INDEX(Assumptions!$C$87:$E$87,$B$3))-D58</f>
        <v>-18462.3970372881</v>
      </c>
      <c r="E102" s="8" t="n">
        <f aca="false">((E58+IF(INDEX(Assumptions!$C$87:$E$87,$B$3)&gt;=2,D58,0)+IF(INDEX(Assumptions!$C$87:$E$87,$B$3)&gt;=3,C58,0))/INDEX(Assumptions!$C$87:$E$87,$B$3))-E58</f>
        <v>-24365.2975220339</v>
      </c>
      <c r="F102" s="8" t="n">
        <f aca="false">((F58+IF(INDEX(Assumptions!$C$87:$E$87,$B$3)&gt;=2,E58,0)+IF(INDEX(Assumptions!$C$87:$E$87,$B$3)&gt;=3,D58,0))/INDEX(Assumptions!$C$87:$E$87,$B$3))-F58</f>
        <v>-25400.0326271186</v>
      </c>
      <c r="G102" s="8" t="n">
        <f aca="false">((G58+IF(INDEX(Assumptions!$C$87:$E$87,$B$3)&gt;=2,F58,0)+IF(INDEX(Assumptions!$C$87:$E$87,$B$3)&gt;=3,E58,0))/INDEX(Assumptions!$C$87:$E$87,$B$3))-G58</f>
        <v>-34065.6813559322</v>
      </c>
      <c r="H102" s="8" t="n">
        <f aca="false">((H58+IF(INDEX(Assumptions!$C$87:$E$87,$B$3)&gt;=2,G58,0)+IF(INDEX(Assumptions!$C$87:$E$87,$B$3)&gt;=3,F58,0))/INDEX(Assumptions!$C$87:$E$87,$B$3))-H58</f>
        <v>15737.3124317424</v>
      </c>
      <c r="I102" s="8" t="n">
        <f aca="false">((I58+IF(INDEX(Assumptions!$C$87:$E$87,$B$3)&gt;=2,H58,0)+IF(INDEX(Assumptions!$C$87:$E$87,$B$3)&gt;=3,G58,0))/INDEX(Assumptions!$C$87:$E$87,$B$3))-I58</f>
        <v>-184292.945663428</v>
      </c>
      <c r="J102" s="8" t="n">
        <f aca="false">((J58+IF(INDEX(Assumptions!$C$87:$E$87,$B$3)&gt;=2,I58,0)+IF(INDEX(Assumptions!$C$87:$E$87,$B$3)&gt;=3,H58,0))/INDEX(Assumptions!$C$87:$E$87,$B$3))-J58</f>
        <v>-9292.81264892919</v>
      </c>
      <c r="K102" s="8" t="n">
        <f aca="false">((K58+IF(INDEX(Assumptions!$C$87:$E$87,$B$3)&gt;=2,J58,0)+IF(INDEX(Assumptions!$C$87:$E$87,$B$3)&gt;=3,I58,0))/INDEX(Assumptions!$C$87:$E$87,$B$3))-K58</f>
        <v>108634.463865753</v>
      </c>
      <c r="L102" s="8" t="n">
        <f aca="false">((L58+IF(INDEX(Assumptions!$C$87:$E$87,$B$3)&gt;=2,K58,0)+IF(INDEX(Assumptions!$C$87:$E$87,$B$3)&gt;=3,J58,0))/INDEX(Assumptions!$C$87:$E$87,$B$3))-L58</f>
        <v>-47492.910167609</v>
      </c>
      <c r="M102" s="8" t="n">
        <f aca="false">((M58+IF(INDEX(Assumptions!$C$87:$E$87,$B$3)&gt;=2,L58,0)+IF(INDEX(Assumptions!$C$87:$E$87,$B$3)&gt;=3,K58,0))/INDEX(Assumptions!$C$87:$E$87,$B$3))-M58</f>
        <v>-5131.65872618061</v>
      </c>
      <c r="N102" s="8" t="n">
        <f aca="false">((N58+IF(INDEX(Assumptions!$C$87:$E$87,$B$3)&gt;=2,M58,0)+IF(INDEX(Assumptions!$C$87:$E$87,$B$3)&gt;=3,L58,0))/INDEX(Assumptions!$C$87:$E$87,$B$3))-N58</f>
        <v>10779.0797222104</v>
      </c>
      <c r="O102" s="37" t="n">
        <f aca="false">SUM(C102:N102)</f>
        <v>-233941.016949153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-416166.236796037</v>
      </c>
      <c r="D103" s="37" t="n">
        <f aca="false">D92+D102-D101</f>
        <v>-246493.782467086</v>
      </c>
      <c r="E103" s="37" t="n">
        <f aca="false">E92+E102-E101</f>
        <v>-358885.156171033</v>
      </c>
      <c r="F103" s="37" t="n">
        <f aca="false">F92+F102-F101</f>
        <v>-163261.997351031</v>
      </c>
      <c r="G103" s="37" t="n">
        <f aca="false">G92+G102-G101</f>
        <v>-146198.917812158</v>
      </c>
      <c r="H103" s="37" t="n">
        <f aca="false">H92+H102-H101</f>
        <v>-1593066.88717272</v>
      </c>
      <c r="I103" s="37" t="n">
        <f aca="false">I92+I102-I101</f>
        <v>-56652.4314802262</v>
      </c>
      <c r="J103" s="37" t="n">
        <f aca="false">J92+J102-J101</f>
        <v>-201882.015125393</v>
      </c>
      <c r="K103" s="37" t="n">
        <f aca="false">K92+K102-K101</f>
        <v>69484.3661435509</v>
      </c>
      <c r="L103" s="37" t="n">
        <f aca="false">L92+L102-L101</f>
        <v>871.492078891723</v>
      </c>
      <c r="M103" s="37" t="n">
        <f aca="false">M92+M102-M101</f>
        <v>63832.6966390575</v>
      </c>
      <c r="N103" s="37" t="n">
        <f aca="false">N92+N102-N101</f>
        <v>74193.7372655793</v>
      </c>
      <c r="O103" s="31" t="n">
        <f aca="false">SUM(C103:N103)</f>
        <v>-2974225.1322486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-416166.236796037</v>
      </c>
      <c r="D104" s="37" t="n">
        <f aca="false">C104+D103</f>
        <v>-662660.019263124</v>
      </c>
      <c r="E104" s="37" t="n">
        <f aca="false">D104+E103</f>
        <v>-1021545.17543416</v>
      </c>
      <c r="F104" s="37" t="n">
        <f aca="false">E104+F103</f>
        <v>-1184807.17278519</v>
      </c>
      <c r="G104" s="37" t="n">
        <f aca="false">F104+G103</f>
        <v>-1331006.09059735</v>
      </c>
      <c r="H104" s="37" t="n">
        <f aca="false">G104+H103</f>
        <v>-2924072.97777006</v>
      </c>
      <c r="I104" s="37" t="n">
        <f aca="false">H104+I103</f>
        <v>-2980725.40925029</v>
      </c>
      <c r="J104" s="37" t="n">
        <f aca="false">I104+J103</f>
        <v>-3182607.42437568</v>
      </c>
      <c r="K104" s="37" t="n">
        <f aca="false">J104+K103</f>
        <v>-3113123.05823213</v>
      </c>
      <c r="L104" s="37" t="n">
        <f aca="false">K104+L103</f>
        <v>-3112251.56615324</v>
      </c>
      <c r="M104" s="37" t="n">
        <f aca="false">L104+M103</f>
        <v>-3048418.86951418</v>
      </c>
      <c r="N104" s="37" t="n">
        <f aca="false">M104+N103</f>
        <v>-2974225.1322486</v>
      </c>
      <c r="O104" s="31" t="n">
        <f aca="false">N104</f>
        <v>-2974225.1322486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416166.236796037</v>
      </c>
      <c r="D105" s="37" t="n">
        <f aca="false">-MIN(0,MIN($C$104:D104))</f>
        <v>662660.019263124</v>
      </c>
      <c r="E105" s="37" t="n">
        <f aca="false">-MIN(0,MIN($C$104:E104))</f>
        <v>1021545.17543416</v>
      </c>
      <c r="F105" s="37" t="n">
        <f aca="false">-MIN(0,MIN($C$104:F104))</f>
        <v>1184807.17278519</v>
      </c>
      <c r="G105" s="37" t="n">
        <f aca="false">-MIN(0,MIN($C$104:G104))</f>
        <v>1331006.09059735</v>
      </c>
      <c r="H105" s="37" t="n">
        <f aca="false">-MIN(0,MIN($C$104:H104))</f>
        <v>2924072.97777006</v>
      </c>
      <c r="I105" s="37" t="n">
        <f aca="false">-MIN(0,MIN($C$104:I104))</f>
        <v>2980725.40925029</v>
      </c>
      <c r="J105" s="37" t="n">
        <f aca="false">-MIN(0,MIN($C$104:J104))</f>
        <v>3182607.42437568</v>
      </c>
      <c r="K105" s="37" t="n">
        <f aca="false">-MIN(0,MIN($C$104:K104))</f>
        <v>3182607.42437568</v>
      </c>
      <c r="L105" s="37" t="n">
        <f aca="false">-MIN(0,MIN($C$104:L104))</f>
        <v>3182607.42437568</v>
      </c>
      <c r="M105" s="37" t="n">
        <f aca="false">-MIN(0,MIN($C$104:M104))</f>
        <v>3182607.42437568</v>
      </c>
      <c r="N105" s="37" t="n">
        <f aca="false">-MIN(0,MIN($C$104:N104))</f>
        <v>3182607.42437568</v>
      </c>
      <c r="O105" s="31" t="n">
        <f aca="false">MAX(C105:N105)</f>
        <v>3182607.42437568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0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5747260.94340494</v>
      </c>
    </row>
    <row r="110" customFormat="false" ht="15" hidden="false" customHeight="false" outlineLevel="0" collapsed="false">
      <c r="A110" s="3" t="s">
        <v>28</v>
      </c>
      <c r="B110" s="31" t="n">
        <f aca="false">O92</f>
        <v>-768284.11529945</v>
      </c>
    </row>
    <row r="111" customFormat="false" ht="15" hidden="false" customHeight="false" outlineLevel="0" collapsed="false">
      <c r="A111" s="3" t="s">
        <v>29</v>
      </c>
      <c r="B111" s="30" t="n">
        <f aca="false">O93</f>
        <v>-0.133678307434617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-1668284.11529945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3182607.42437568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-182607.424375682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38960.2653898305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188745.003645064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8.37232480557174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100.467897666861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0.198204764228607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0.524397462309694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21.9286043418158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180743.415155108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-2974225.1322486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1217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1.15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69000</v>
      </c>
      <c r="D44" s="8" t="n">
        <f aca="false">IF(2&gt;=INDEX(Assumptions!$C$105:$E$105,$B$3),INDEX(Assumptions!$C$20:$E$20,$B$3),INDEX(Assumptions!$C$10:$E$10,$B$3))*$H$3</f>
        <v>69000</v>
      </c>
      <c r="E44" s="8" t="n">
        <f aca="false">IF(3&gt;=INDEX(Assumptions!$C$105:$E$105,$B$3),INDEX(Assumptions!$C$20:$E$20,$B$3),INDEX(Assumptions!$C$10:$E$10,$B$3))*$H$3</f>
        <v>69000</v>
      </c>
      <c r="F44" s="8" t="n">
        <f aca="false">IF(4&gt;=INDEX(Assumptions!$C$105:$E$105,$B$3),INDEX(Assumptions!$C$20:$E$20,$B$3),INDEX(Assumptions!$C$10:$E$10,$B$3))*$H$3</f>
        <v>69000</v>
      </c>
      <c r="G44" s="8" t="n">
        <f aca="false">IF(5&gt;=INDEX(Assumptions!$C$105:$E$105,$B$3),INDEX(Assumptions!$C$20:$E$20,$B$3),INDEX(Assumptions!$C$10:$E$10,$B$3))*$H$3</f>
        <v>69000</v>
      </c>
      <c r="H44" s="8" t="n">
        <f aca="false">IF(6&gt;=INDEX(Assumptions!$C$105:$E$105,$B$3),INDEX(Assumptions!$C$20:$E$20,$B$3),INDEX(Assumptions!$C$10:$E$10,$B$3))*$H$3</f>
        <v>69000</v>
      </c>
      <c r="I44" s="8" t="n">
        <f aca="false">IF(7&gt;=INDEX(Assumptions!$C$105:$E$105,$B$3),INDEX(Assumptions!$C$20:$E$20,$B$3),INDEX(Assumptions!$C$10:$E$10,$B$3))*$H$3</f>
        <v>92000</v>
      </c>
      <c r="J44" s="8" t="n">
        <f aca="false">IF(8&gt;=INDEX(Assumptions!$C$105:$E$105,$B$3),INDEX(Assumptions!$C$20:$E$20,$B$3),INDEX(Assumptions!$C$10:$E$10,$B$3))*$H$3</f>
        <v>92000</v>
      </c>
      <c r="K44" s="8" t="n">
        <f aca="false">IF(9&gt;=INDEX(Assumptions!$C$105:$E$105,$B$3),INDEX(Assumptions!$C$20:$E$20,$B$3),INDEX(Assumptions!$C$10:$E$10,$B$3))*$H$3</f>
        <v>92000</v>
      </c>
      <c r="L44" s="8" t="n">
        <f aca="false">IF(10&gt;=INDEX(Assumptions!$C$105:$E$105,$B$3),INDEX(Assumptions!$C$20:$E$20,$B$3),INDEX(Assumptions!$C$10:$E$10,$B$3))*$H$3</f>
        <v>92000</v>
      </c>
      <c r="M44" s="8" t="n">
        <f aca="false">IF(11&gt;=INDEX(Assumptions!$C$105:$E$105,$B$3),INDEX(Assumptions!$C$20:$E$20,$B$3),INDEX(Assumptions!$C$10:$E$10,$B$3))*$H$3</f>
        <v>92000</v>
      </c>
      <c r="N44" s="8" t="n">
        <f aca="false">IF(12&gt;=INDEX(Assumptions!$C$105:$E$105,$B$3),INDEX(Assumptions!$C$20:$E$20,$B$3),INDEX(Assumptions!$C$10:$E$10,$B$3))*$H$3</f>
        <v>92000</v>
      </c>
      <c r="O44" s="37" t="n">
        <f aca="false">AVERAGE(C44:N44)</f>
        <v>80500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41009.8576271187</v>
      </c>
      <c r="D47" s="8" t="n">
        <f aca="false">D27*D44/(1+INDEX(Assumptions!$C$15:$E$15,$B$3)*$H$4)</f>
        <v>75881.7266949152</v>
      </c>
      <c r="E47" s="8" t="n">
        <f aca="false">E27*E44/(1+INDEX(Assumptions!$C$15:$E$15,$B$3)*$H$4)</f>
        <v>122796.610169492</v>
      </c>
      <c r="F47" s="8" t="n">
        <f aca="false">F27*F44/(1+INDEX(Assumptions!$C$15:$E$15,$B$3)*$H$4)</f>
        <v>171213.559322034</v>
      </c>
      <c r="G47" s="8" t="n">
        <f aca="false">G27*G44/(1+INDEX(Assumptions!$C$15:$E$15,$B$3)*$H$4)</f>
        <v>236822.033898305</v>
      </c>
      <c r="H47" s="8" t="n">
        <f aca="false">H27*H44/(1+INDEX(Assumptions!$C$15:$E$15,$B$3)*$H$4)</f>
        <v>206043.977377491</v>
      </c>
      <c r="I47" s="8" t="n">
        <f aca="false">I27*I44/(1+INDEX(Assumptions!$C$15:$E$15,$B$3)*$H$4)</f>
        <v>608135.593220339</v>
      </c>
      <c r="J47" s="8" t="n">
        <f aca="false">J27*J44/(1+INDEX(Assumptions!$C$15:$E$15,$B$3)*$H$4)</f>
        <v>605021.915854065</v>
      </c>
      <c r="K47" s="8" t="n">
        <f aca="false">K27*K44/(1+INDEX(Assumptions!$C$15:$E$15,$B$3)*$H$4)</f>
        <v>384531.801600651</v>
      </c>
      <c r="L47" s="8" t="n">
        <f aca="false">L27*L44/(1+INDEX(Assumptions!$C$15:$E$15,$B$3)*$H$4)</f>
        <v>367064.93062428</v>
      </c>
      <c r="M47" s="8" t="n">
        <f aca="false">M27*M44/(1+INDEX(Assumptions!$C$15:$E$15,$B$3)*$H$4)</f>
        <v>368389.830508475</v>
      </c>
      <c r="N47" s="8" t="n">
        <f aca="false">N27*N44/(1+INDEX(Assumptions!$C$15:$E$15,$B$3)*$H$4)</f>
        <v>350847.457627119</v>
      </c>
      <c r="O47" s="37" t="n">
        <f aca="false">SUM(C47:N47)</f>
        <v>3537759.29452428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122354.97687476</v>
      </c>
      <c r="M48" s="8" t="n">
        <f aca="false">M28*M44/(1+INDEX(Assumptions!$C$15:$E$15,$B$3)*$H$4)</f>
        <v>122796.610169492</v>
      </c>
      <c r="N48" s="8" t="n">
        <f aca="false">N28*N44/(1+INDEX(Assumptions!$C$15:$E$15,$B$3)*$H$4)</f>
        <v>116949.152542373</v>
      </c>
      <c r="O48" s="37" t="n">
        <f aca="false">SUM(C48:N48)</f>
        <v>362100.739586624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2747.66046101695</v>
      </c>
      <c r="E49" s="8" t="n">
        <f aca="false">E30*MAX(0,E44-INDEX(Assumptions!$C$18:$E$18,$B$3)*$H$3)/(1+INDEX(Assumptions!$C$15:$E$15,$B$3)*$H$4)</f>
        <v>5084.07568855932</v>
      </c>
      <c r="F49" s="8" t="n">
        <f aca="false">F30*MAX(0,F44-INDEX(Assumptions!$C$18:$E$18,$B$3)*$H$3)/(1+INDEX(Assumptions!$C$15:$E$15,$B$3)*$H$4)</f>
        <v>8227.37288135593</v>
      </c>
      <c r="G49" s="8" t="n">
        <f aca="false">G30*MAX(0,G44-INDEX(Assumptions!$C$18:$E$18,$B$3)*$H$3)/(1+INDEX(Assumptions!$C$15:$E$15,$B$3)*$H$4)</f>
        <v>11471.3084745763</v>
      </c>
      <c r="H49" s="8" t="n">
        <f aca="false">H30*MAX(0,H44-INDEX(Assumptions!$C$18:$E$18,$B$3)*$H$3)/(1+INDEX(Assumptions!$C$15:$E$15,$B$3)*$H$4)</f>
        <v>10649.5301450252</v>
      </c>
      <c r="I49" s="8" t="n">
        <f aca="false">I30*MAX(0,I44-INDEX(Assumptions!$C$18:$E$18,$B$3)*$H$3)/(1+INDEX(Assumptions!$C$15:$E$15,$B$3)*$H$4)</f>
        <v>27541.2116427913</v>
      </c>
      <c r="J49" s="8" t="n">
        <f aca="false">J30*MAX(0,J44-INDEX(Assumptions!$C$18:$E$18,$B$3)*$H$3)/(1+INDEX(Assumptions!$C$15:$E$15,$B$3)*$H$4)</f>
        <v>58407.023099023</v>
      </c>
      <c r="K49" s="8" t="n">
        <f aca="false">K30*MAX(0,K44-INDEX(Assumptions!$C$18:$E$18,$B$3)*$H$3)/(1+INDEX(Assumptions!$C$15:$E$15,$B$3)*$H$4)</f>
        <v>39886.0167276568</v>
      </c>
      <c r="L49" s="8" t="n">
        <f aca="false">L30*MAX(0,L44-INDEX(Assumptions!$C$18:$E$18,$B$3)*$H$3)/(1+INDEX(Assumptions!$C$15:$E$15,$B$3)*$H$4)</f>
        <v>36664.7323499291</v>
      </c>
      <c r="M49" s="8" t="n">
        <f aca="false">M30*MAX(0,M44-INDEX(Assumptions!$C$18:$E$18,$B$3)*$H$3)/(1+INDEX(Assumptions!$C$15:$E$15,$B$3)*$H$4)</f>
        <v>49064.3457267787</v>
      </c>
      <c r="N49" s="8" t="n">
        <f aca="false">N30*MAX(0,N44-INDEX(Assumptions!$C$18:$E$18,$B$3)*$H$3)/(1+INDEX(Assumptions!$C$15:$E$15,$B$3)*$H$4)</f>
        <v>49241.4406779661</v>
      </c>
      <c r="O49" s="37" t="n">
        <f aca="false">SUM(C49:N49)</f>
        <v>298984.717874679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18181.0368813559</v>
      </c>
      <c r="D50" s="8" t="n">
        <f aca="false">D29*INDEX(Assumptions!$C$18:$E$18,$B$3)*$H$3/(1+INDEX(Assumptions!$C$15:$E$15,$B$3)*$H$4)</f>
        <v>33640.8988347458</v>
      </c>
      <c r="E50" s="8" t="n">
        <f aca="false">E29*INDEX(Assumptions!$C$18:$E$18,$B$3)*$H$3/(1+INDEX(Assumptions!$C$15:$E$15,$B$3)*$H$4)</f>
        <v>54439.8305084746</v>
      </c>
      <c r="F50" s="8" t="n">
        <f aca="false">F29*INDEX(Assumptions!$C$18:$E$18,$B$3)*$H$3/(1+INDEX(Assumptions!$C$15:$E$15,$B$3)*$H$4)</f>
        <v>75904.6779661017</v>
      </c>
      <c r="G50" s="8" t="n">
        <f aca="false">G29*INDEX(Assumptions!$C$18:$E$18,$B$3)*$H$3/(1+INDEX(Assumptions!$C$15:$E$15,$B$3)*$H$4)</f>
        <v>104991.101694915</v>
      </c>
      <c r="H50" s="8" t="n">
        <f aca="false">H29*INDEX(Assumptions!$C$18:$E$18,$B$3)*$H$3/(1+INDEX(Assumptions!$C$15:$E$15,$B$3)*$H$4)</f>
        <v>91346.163304021</v>
      </c>
      <c r="I50" s="8" t="n">
        <f aca="false">I29*INDEX(Assumptions!$C$18:$E$18,$B$3)*$H$3/(1+INDEX(Assumptions!$C$15:$E$15,$B$3)*$H$4)</f>
        <v>202205.084745763</v>
      </c>
      <c r="J50" s="8" t="n">
        <f aca="false">J29*INDEX(Assumptions!$C$18:$E$18,$B$3)*$H$3/(1+INDEX(Assumptions!$C$15:$E$15,$B$3)*$H$4)</f>
        <v>201169.787021477</v>
      </c>
      <c r="K50" s="8" t="n">
        <f aca="false">K29*INDEX(Assumptions!$C$18:$E$18,$B$3)*$H$3/(1+INDEX(Assumptions!$C$15:$E$15,$B$3)*$H$4)</f>
        <v>127856.824032216</v>
      </c>
      <c r="L50" s="8" t="n">
        <f aca="false">L29*INDEX(Assumptions!$C$18:$E$18,$B$3)*$H$3/(1+INDEX(Assumptions!$C$15:$E$15,$B$3)*$H$4)</f>
        <v>162732.119243431</v>
      </c>
      <c r="M50" s="8" t="n">
        <f aca="false">M29*INDEX(Assumptions!$C$18:$E$18,$B$3)*$H$3/(1+INDEX(Assumptions!$C$15:$E$15,$B$3)*$H$4)</f>
        <v>163319.491525424</v>
      </c>
      <c r="N50" s="8" t="n">
        <f aca="false">N29*INDEX(Assumptions!$C$18:$E$18,$B$3)*$H$3/(1+INDEX(Assumptions!$C$15:$E$15,$B$3)*$H$4)</f>
        <v>155542.372881356</v>
      </c>
      <c r="O50" s="37" t="n">
        <f aca="false">SUM(C50:N50)</f>
        <v>1391329.38863928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33135.593220339</v>
      </c>
      <c r="F52" s="8" t="n">
        <f aca="false">F37*INDEX(Assumptions!$C$21:$E$21,$B$3)*$H$3/(1+INDEX(Assumptions!$C$15:$E$15,$B$3)*$H$4)</f>
        <v>66271.186440678</v>
      </c>
      <c r="G52" s="8" t="n">
        <f aca="false">G37*INDEX(Assumptions!$C$21:$E$21,$B$3)*$H$3/(1+INDEX(Assumptions!$C$15:$E$15,$B$3)*$H$4)</f>
        <v>99406.779661017</v>
      </c>
      <c r="H52" s="8" t="n">
        <f aca="false">H37*INDEX(Assumptions!$C$21:$E$21,$B$3)*$H$3/(1+INDEX(Assumptions!$C$15:$E$15,$B$3)*$H$4)</f>
        <v>132542.372881356</v>
      </c>
      <c r="I52" s="8" t="n">
        <f aca="false">I37*INDEX(Assumptions!$C$21:$E$21,$B$3)*$H$3/(1+INDEX(Assumptions!$C$15:$E$15,$B$3)*$H$4)</f>
        <v>165677.966101695</v>
      </c>
      <c r="J52" s="8" t="n">
        <f aca="false">J37*INDEX(Assumptions!$C$21:$E$21,$B$3)*$H$3/(1+INDEX(Assumptions!$C$15:$E$15,$B$3)*$H$4)</f>
        <v>198813.559322034</v>
      </c>
      <c r="K52" s="8" t="n">
        <f aca="false">K37*INDEX(Assumptions!$C$21:$E$21,$B$3)*$H$3/(1+INDEX(Assumptions!$C$15:$E$15,$B$3)*$H$4)</f>
        <v>198813.559322034</v>
      </c>
      <c r="L52" s="8" t="n">
        <f aca="false">L37*INDEX(Assumptions!$C$21:$E$21,$B$3)*$H$3/(1+INDEX(Assumptions!$C$15:$E$15,$B$3)*$H$4)</f>
        <v>198813.559322034</v>
      </c>
      <c r="M52" s="8" t="n">
        <f aca="false">M37*INDEX(Assumptions!$C$21:$E$21,$B$3)*$H$3/(1+INDEX(Assumptions!$C$15:$E$15,$B$3)*$H$4)</f>
        <v>198813.559322034</v>
      </c>
      <c r="N52" s="8" t="n">
        <f aca="false">N37*INDEX(Assumptions!$C$21:$E$21,$B$3)*$H$3/(1+INDEX(Assumptions!$C$15:$E$15,$B$3)*$H$4)</f>
        <v>198813.559322034</v>
      </c>
      <c r="O52" s="37" t="n">
        <f aca="false">SUM(C52:N52)</f>
        <v>1491101.69491525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34103.3474576271</v>
      </c>
      <c r="D53" s="8" t="n">
        <f aca="false">D38*INDEX(Assumptions!$C$22:$E$22,$B$3)*$H$3/(1+INDEX(Assumptions!$C$15:$E$15,$B$3)*$H$4)</f>
        <v>58462.8813559322</v>
      </c>
      <c r="E53" s="8" t="n">
        <f aca="false">E38*INDEX(Assumptions!$C$22:$E$22,$B$3)*$H$3/(1+INDEX(Assumptions!$C$15:$E$15,$B$3)*$H$4)</f>
        <v>87694.3220338983</v>
      </c>
      <c r="F53" s="8" t="n">
        <f aca="false">F38*INDEX(Assumptions!$C$22:$E$22,$B$3)*$H$3/(1+INDEX(Assumptions!$C$15:$E$15,$B$3)*$H$4)</f>
        <v>95002.1822033898</v>
      </c>
      <c r="G53" s="8" t="n">
        <f aca="false">G38*INDEX(Assumptions!$C$22:$E$22,$B$3)*$H$3/(1+INDEX(Assumptions!$C$15:$E$15,$B$3)*$H$4)</f>
        <v>65770.7415254237</v>
      </c>
      <c r="H53" s="8" t="n">
        <f aca="false">H38*INDEX(Assumptions!$C$22:$E$22,$B$3)*$H$3/(1+INDEX(Assumptions!$C$15:$E$15,$B$3)*$H$4)</f>
        <v>58462.8813559322</v>
      </c>
      <c r="I53" s="8" t="n">
        <f aca="false">I38*INDEX(Assumptions!$C$22:$E$22,$B$3)*$H$3/(1+INDEX(Assumptions!$C$15:$E$15,$B$3)*$H$4)</f>
        <v>51155.0211864407</v>
      </c>
      <c r="J53" s="8" t="n">
        <f aca="false">J38*INDEX(Assumptions!$C$22:$E$22,$B$3)*$H$3/(1+INDEX(Assumptions!$C$15:$E$15,$B$3)*$H$4)</f>
        <v>43847.1610169492</v>
      </c>
      <c r="K53" s="8" t="n">
        <f aca="false">K38*INDEX(Assumptions!$C$22:$E$22,$B$3)*$H$3/(1+INDEX(Assumptions!$C$15:$E$15,$B$3)*$H$4)</f>
        <v>43847.1610169492</v>
      </c>
      <c r="L53" s="8" t="n">
        <f aca="false">L38*INDEX(Assumptions!$C$22:$E$22,$B$3)*$H$3/(1+INDEX(Assumptions!$C$15:$E$15,$B$3)*$H$4)</f>
        <v>58462.8813559322</v>
      </c>
      <c r="M53" s="8" t="n">
        <f aca="false">M38*INDEX(Assumptions!$C$22:$E$22,$B$3)*$H$3/(1+INDEX(Assumptions!$C$15:$E$15,$B$3)*$H$4)</f>
        <v>80386.4618644068</v>
      </c>
      <c r="N53" s="8" t="n">
        <f aca="false">N38*INDEX(Assumptions!$C$22:$E$22,$B$3)*$H$3/(1+INDEX(Assumptions!$C$15:$E$15,$B$3)*$H$4)</f>
        <v>102310.042372881</v>
      </c>
      <c r="O53" s="37" t="n">
        <f aca="false">SUM(C53:N53)</f>
        <v>779505.084745763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94123.6001835851</v>
      </c>
      <c r="D57" s="37" t="n">
        <f aca="false">SUM(D47:D56)</f>
        <v>172267.752864158</v>
      </c>
      <c r="E57" s="37" t="n">
        <f aca="false">SUM(E47:E56)</f>
        <v>307650.542435785</v>
      </c>
      <c r="F57" s="37" t="n">
        <f aca="false">SUM(F47:F56)</f>
        <v>424114.99178141</v>
      </c>
      <c r="G57" s="37" t="n">
        <f aca="false">SUM(G47:G56)</f>
        <v>529301.551244952</v>
      </c>
      <c r="H57" s="37" t="n">
        <f aca="false">SUM(H47:H56)</f>
        <v>513320.323287821</v>
      </c>
      <c r="I57" s="37" t="n">
        <f aca="false">SUM(I47:I56)</f>
        <v>1081510.53522692</v>
      </c>
      <c r="J57" s="37" t="n">
        <f aca="false">SUM(J47:J56)</f>
        <v>1136388.27945019</v>
      </c>
      <c r="K57" s="37" t="n">
        <f aca="false">SUM(K47:K56)</f>
        <v>840965.182813805</v>
      </c>
      <c r="L57" s="37" t="n">
        <f aca="false">SUM(L47:L56)</f>
        <v>992350.213111202</v>
      </c>
      <c r="M57" s="37" t="n">
        <f aca="false">SUM(M47:M56)</f>
        <v>1028694.29766337</v>
      </c>
      <c r="N57" s="37" t="n">
        <f aca="false">SUM(N47:N56)</f>
        <v>1018985.25777658</v>
      </c>
      <c r="O57" s="31" t="n">
        <f aca="false">SUM(C57:N57)</f>
        <v>8139672.52783977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59190.8945084746</v>
      </c>
      <c r="D58" s="8" t="n">
        <f aca="false">D47+D48+D49+D50</f>
        <v>112270.285990678</v>
      </c>
      <c r="E58" s="8" t="n">
        <f aca="false">E47+E48+E49+E50</f>
        <v>182320.516366525</v>
      </c>
      <c r="F58" s="8" t="n">
        <f aca="false">F47+F48+F49+F50</f>
        <v>255345.610169492</v>
      </c>
      <c r="G58" s="8" t="n">
        <f aca="false">G47+G48+G49+G50</f>
        <v>353284.444067797</v>
      </c>
      <c r="H58" s="8" t="n">
        <f aca="false">H47+H48+H49+H50</f>
        <v>308039.670826537</v>
      </c>
      <c r="I58" s="8" t="n">
        <f aca="false">I47+I48+I49+I50</f>
        <v>837881.889608893</v>
      </c>
      <c r="J58" s="8" t="n">
        <f aca="false">J47+J48+J49+J50</f>
        <v>864598.725974564</v>
      </c>
      <c r="K58" s="8" t="n">
        <f aca="false">K47+K48+K49+K50</f>
        <v>552274.642360524</v>
      </c>
      <c r="L58" s="8" t="n">
        <f aca="false">L47+L48+L49+L50</f>
        <v>688816.759092399</v>
      </c>
      <c r="M58" s="8" t="n">
        <f aca="false">M47+M48+M49+M50</f>
        <v>703570.277930169</v>
      </c>
      <c r="N58" s="8" t="n">
        <f aca="false">N47+N48+N49+N50</f>
        <v>672580.423728814</v>
      </c>
      <c r="O58" s="37" t="n">
        <f aca="false">SUM(C58:N58)</f>
        <v>5590174.14062487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3068.17052433261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5689.21581236412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9901.28896445327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13714.5690560413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17618.7741293809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16589.0805599325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38650.3746517789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40518.5709844057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28611.0062628853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34283.1128423056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35433.3641641135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34724.8878335272</v>
      </c>
      <c r="O66" s="37" t="n">
        <f aca="false">SUM(C66:N66)</f>
        <v>278802.415785521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20402.6341040699</v>
      </c>
      <c r="D68" s="37" t="n">
        <f aca="false">SUM(D60:D67)</f>
        <v>38224.3481084242</v>
      </c>
      <c r="E68" s="37" t="n">
        <f aca="false">SUM(E60:E67)</f>
        <v>66055.3394804007</v>
      </c>
      <c r="F68" s="37" t="n">
        <f aca="false">SUM(F60:F67)</f>
        <v>92467.034346848</v>
      </c>
      <c r="G68" s="37" t="n">
        <f aca="false">SUM(G60:G67)</f>
        <v>122093.39476728</v>
      </c>
      <c r="H68" s="37" t="n">
        <f aca="false">SUM(H60:H67)</f>
        <v>113854.600835157</v>
      </c>
      <c r="I68" s="37" t="n">
        <f aca="false">SUM(I60:I67)</f>
        <v>134507.535892722</v>
      </c>
      <c r="J68" s="37" t="n">
        <f aca="false">SUM(J60:J67)</f>
        <v>144174.994511949</v>
      </c>
      <c r="K68" s="37" t="n">
        <f aca="false">SUM(K60:K67)</f>
        <v>131622.514390823</v>
      </c>
      <c r="L68" s="37" t="n">
        <f aca="false">SUM(L60:L67)</f>
        <v>151213.147077731</v>
      </c>
      <c r="M68" s="37" t="n">
        <f aca="false">SUM(M60:M67)</f>
        <v>156147.151462159</v>
      </c>
      <c r="N68" s="37" t="n">
        <f aca="false">SUM(N60:N67)</f>
        <v>154536.103593377</v>
      </c>
      <c r="O68" s="31" t="n">
        <f aca="false">SUM(C68:N68)</f>
        <v>1325298.79857094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73720.9660795151</v>
      </c>
      <c r="D69" s="37" t="n">
        <f aca="false">D57-D68</f>
        <v>134043.404755733</v>
      </c>
      <c r="E69" s="37" t="n">
        <f aca="false">E57-E68</f>
        <v>241595.202955384</v>
      </c>
      <c r="F69" s="37" t="n">
        <f aca="false">F57-F68</f>
        <v>331647.957434562</v>
      </c>
      <c r="G69" s="37" t="n">
        <f aca="false">G57-G68</f>
        <v>407208.156477672</v>
      </c>
      <c r="H69" s="37" t="n">
        <f aca="false">H57-H68</f>
        <v>399465.722452664</v>
      </c>
      <c r="I69" s="37" t="n">
        <f aca="false">I57-I68</f>
        <v>947002.999334195</v>
      </c>
      <c r="J69" s="37" t="n">
        <f aca="false">J57-J68</f>
        <v>992213.284938239</v>
      </c>
      <c r="K69" s="37" t="n">
        <f aca="false">K57-K68</f>
        <v>709342.668422982</v>
      </c>
      <c r="L69" s="37" t="n">
        <f aca="false">L57-L68</f>
        <v>841137.066033471</v>
      </c>
      <c r="M69" s="37" t="n">
        <f aca="false">M57-M68</f>
        <v>872547.146201212</v>
      </c>
      <c r="N69" s="37" t="n">
        <f aca="false">N57-N68</f>
        <v>864449.154183199</v>
      </c>
      <c r="O69" s="31" t="n">
        <f aca="false">SUM(C69:N69)</f>
        <v>6814373.72926883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0.78323572340757</v>
      </c>
      <c r="D70" s="7" t="n">
        <f aca="false">IFERROR(D69/D57,0)</f>
        <v>0.778110833438652</v>
      </c>
      <c r="E70" s="7" t="n">
        <f aca="false">IFERROR(E69/E57,0)</f>
        <v>0.785291002715562</v>
      </c>
      <c r="F70" s="7" t="n">
        <f aca="false">IFERROR(F69/F57,0)</f>
        <v>0.781976501329371</v>
      </c>
      <c r="G70" s="7" t="n">
        <f aca="false">IFERROR(G69/G57,0)</f>
        <v>0.769331122343949</v>
      </c>
      <c r="H70" s="7" t="n">
        <f aca="false">IFERROR(H69/H57,0)</f>
        <v>0.778199701687404</v>
      </c>
      <c r="I70" s="7" t="n">
        <f aca="false">IFERROR(I69/I57,0)</f>
        <v>0.875629934696383</v>
      </c>
      <c r="J70" s="7" t="n">
        <f aca="false">IFERROR(J69/J57,0)</f>
        <v>0.873128756148643</v>
      </c>
      <c r="K70" s="7" t="n">
        <f aca="false">IFERROR(K69/K57,0)</f>
        <v>0.843486368900048</v>
      </c>
      <c r="L70" s="7" t="n">
        <f aca="false">IFERROR(L69/L57,0)</f>
        <v>0.847621187480124</v>
      </c>
      <c r="M70" s="7" t="n">
        <f aca="false">IFERROR(M69/M57,0)</f>
        <v>0.848208401838292</v>
      </c>
      <c r="N70" s="7" t="n">
        <f aca="false">IFERROR(N69/N57,0)</f>
        <v>0.848343140968914</v>
      </c>
      <c r="O70" s="13" t="n">
        <f aca="false">IFERROR(O69/O57,0)</f>
        <v>0.837180329547893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-218112.033920485</v>
      </c>
      <c r="D92" s="37" t="n">
        <f aca="false">D69-D91</f>
        <v>-177789.595244267</v>
      </c>
      <c r="E92" s="37" t="n">
        <f aca="false">E69-E91</f>
        <v>-245237.797044616</v>
      </c>
      <c r="F92" s="37" t="n">
        <f aca="false">F69-F91</f>
        <v>-15185.042565438</v>
      </c>
      <c r="G92" s="37" t="n">
        <f aca="false">G69-G91</f>
        <v>40375.1564776722</v>
      </c>
      <c r="H92" s="37" t="n">
        <f aca="false">H69-H91</f>
        <v>10132.7224526643</v>
      </c>
      <c r="I92" s="37" t="n">
        <f aca="false">I69-I91</f>
        <v>437069.999334195</v>
      </c>
      <c r="J92" s="37" t="n">
        <f aca="false">J69-J91</f>
        <v>482280.284938239</v>
      </c>
      <c r="K92" s="37" t="n">
        <f aca="false">K69-K91</f>
        <v>194409.668422982</v>
      </c>
      <c r="L92" s="37" t="n">
        <f aca="false">L69-L91</f>
        <v>326204.066033471</v>
      </c>
      <c r="M92" s="37" t="n">
        <f aca="false">M69-M91</f>
        <v>357614.146201212</v>
      </c>
      <c r="N92" s="37" t="n">
        <f aca="false">N69-N91</f>
        <v>349516.154183199</v>
      </c>
      <c r="O92" s="31" t="n">
        <f aca="false">SUM(C92:N92)</f>
        <v>1541277.72926883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-2.31729378705303</v>
      </c>
      <c r="D93" s="7" t="n">
        <f aca="false">IFERROR(D92/D57,0)</f>
        <v>-1.03205383647434</v>
      </c>
      <c r="E93" s="7" t="n">
        <f aca="false">IFERROR(E92/E57,0)</f>
        <v>-0.797131040637784</v>
      </c>
      <c r="F93" s="7" t="n">
        <f aca="false">IFERROR(F92/F57,0)</f>
        <v>-0.0358040693201065</v>
      </c>
      <c r="G93" s="7" t="n">
        <f aca="false">IFERROR(G92/G57,0)</f>
        <v>0.0762800645165449</v>
      </c>
      <c r="H93" s="7" t="n">
        <f aca="false">IFERROR(H92/H57,0)</f>
        <v>0.0197395699974709</v>
      </c>
      <c r="I93" s="7" t="n">
        <f aca="false">IFERROR(I92/I57,0)</f>
        <v>0.404129211041381</v>
      </c>
      <c r="J93" s="7" t="n">
        <f aca="false">IFERROR(J92/J57,0)</f>
        <v>0.424397447298187</v>
      </c>
      <c r="K93" s="7" t="n">
        <f aca="false">IFERROR(K92/K57,0)</f>
        <v>0.231174455727765</v>
      </c>
      <c r="L93" s="7" t="n">
        <f aca="false">IFERROR(L92/L57,0)</f>
        <v>0.32871869398885</v>
      </c>
      <c r="M93" s="7" t="n">
        <f aca="false">IFERROR(M92/M57,0)</f>
        <v>0.347638892344903</v>
      </c>
      <c r="N93" s="7" t="n">
        <f aca="false">IFERROR(N92/N57,0)</f>
        <v>0.34300413231281</v>
      </c>
      <c r="O93" s="7" t="n">
        <f aca="false">IFERROR(O92/O57,0)</f>
        <v>0.189353776088321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-293112.033920485</v>
      </c>
      <c r="D94" s="8" t="n">
        <f aca="false">D92-INDEX(Assumptions!$C$163:$E$163,$B$3)</f>
        <v>-252789.595244267</v>
      </c>
      <c r="E94" s="8" t="n">
        <f aca="false">E92-INDEX(Assumptions!$C$163:$E$163,$B$3)</f>
        <v>-320237.797044616</v>
      </c>
      <c r="F94" s="8" t="n">
        <f aca="false">F92-INDEX(Assumptions!$C$163:$E$163,$B$3)</f>
        <v>-90185.042565438</v>
      </c>
      <c r="G94" s="8" t="n">
        <f aca="false">G92-INDEX(Assumptions!$C$163:$E$163,$B$3)</f>
        <v>-34624.8435223278</v>
      </c>
      <c r="H94" s="8" t="n">
        <f aca="false">H92-INDEX(Assumptions!$C$163:$E$163,$B$3)</f>
        <v>-64867.2775473357</v>
      </c>
      <c r="I94" s="8" t="n">
        <f aca="false">I92-INDEX(Assumptions!$C$163:$E$163,$B$3)</f>
        <v>362069.999334195</v>
      </c>
      <c r="J94" s="8" t="n">
        <f aca="false">J92-INDEX(Assumptions!$C$163:$E$163,$B$3)</f>
        <v>407280.284938239</v>
      </c>
      <c r="K94" s="8" t="n">
        <f aca="false">K92-INDEX(Assumptions!$C$163:$E$163,$B$3)</f>
        <v>119409.668422982</v>
      </c>
      <c r="L94" s="8" t="n">
        <f aca="false">L92-INDEX(Assumptions!$C$163:$E$163,$B$3)</f>
        <v>251204.066033471</v>
      </c>
      <c r="M94" s="8" t="n">
        <f aca="false">M92-INDEX(Assumptions!$C$163:$E$163,$B$3)</f>
        <v>282614.146201212</v>
      </c>
      <c r="N94" s="8" t="n">
        <f aca="false">N92-INDEX(Assumptions!$C$163:$E$163,$B$3)</f>
        <v>274516.154183199</v>
      </c>
      <c r="O94" s="37" t="n">
        <f aca="false">SUM(C94:N94)</f>
        <v>641277.729268829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-29595.4472542373</v>
      </c>
      <c r="D102" s="8" t="n">
        <f aca="false">((D58+IF(INDEX(Assumptions!$C$87:$E$87,$B$3)&gt;=2,C58,0)+IF(INDEX(Assumptions!$C$87:$E$87,$B$3)&gt;=3,0,0))/INDEX(Assumptions!$C$87:$E$87,$B$3))-D58</f>
        <v>-26539.6957411017</v>
      </c>
      <c r="E102" s="8" t="n">
        <f aca="false">((E58+IF(INDEX(Assumptions!$C$87:$E$87,$B$3)&gt;=2,D58,0)+IF(INDEX(Assumptions!$C$87:$E$87,$B$3)&gt;=3,C58,0))/INDEX(Assumptions!$C$87:$E$87,$B$3))-E58</f>
        <v>-35025.1151879237</v>
      </c>
      <c r="F102" s="8" t="n">
        <f aca="false">((F58+IF(INDEX(Assumptions!$C$87:$E$87,$B$3)&gt;=2,E58,0)+IF(INDEX(Assumptions!$C$87:$E$87,$B$3)&gt;=3,D58,0))/INDEX(Assumptions!$C$87:$E$87,$B$3))-F58</f>
        <v>-36512.5469014831</v>
      </c>
      <c r="G102" s="8" t="n">
        <f aca="false">((G58+IF(INDEX(Assumptions!$C$87:$E$87,$B$3)&gt;=2,F58,0)+IF(INDEX(Assumptions!$C$87:$E$87,$B$3)&gt;=3,E58,0))/INDEX(Assumptions!$C$87:$E$87,$B$3))-G58</f>
        <v>-48969.4169491525</v>
      </c>
      <c r="H102" s="8" t="n">
        <f aca="false">((H58+IF(INDEX(Assumptions!$C$87:$E$87,$B$3)&gt;=2,G58,0)+IF(INDEX(Assumptions!$C$87:$E$87,$B$3)&gt;=3,F58,0))/INDEX(Assumptions!$C$87:$E$87,$B$3))-H58</f>
        <v>22622.3866206297</v>
      </c>
      <c r="I102" s="8" t="n">
        <f aca="false">((I58+IF(INDEX(Assumptions!$C$87:$E$87,$B$3)&gt;=2,H58,0)+IF(INDEX(Assumptions!$C$87:$E$87,$B$3)&gt;=3,G58,0))/INDEX(Assumptions!$C$87:$E$87,$B$3))-I58</f>
        <v>-264921.109391178</v>
      </c>
      <c r="J102" s="8" t="n">
        <f aca="false">((J58+IF(INDEX(Assumptions!$C$87:$E$87,$B$3)&gt;=2,I58,0)+IF(INDEX(Assumptions!$C$87:$E$87,$B$3)&gt;=3,H58,0))/INDEX(Assumptions!$C$87:$E$87,$B$3))-J58</f>
        <v>-13358.4181828356</v>
      </c>
      <c r="K102" s="8" t="n">
        <f aca="false">((K58+IF(INDEX(Assumptions!$C$87:$E$87,$B$3)&gt;=2,J58,0)+IF(INDEX(Assumptions!$C$87:$E$87,$B$3)&gt;=3,I58,0))/INDEX(Assumptions!$C$87:$E$87,$B$3))-K58</f>
        <v>156162.04180702</v>
      </c>
      <c r="L102" s="8" t="n">
        <f aca="false">((L58+IF(INDEX(Assumptions!$C$87:$E$87,$B$3)&gt;=2,K58,0)+IF(INDEX(Assumptions!$C$87:$E$87,$B$3)&gt;=3,J58,0))/INDEX(Assumptions!$C$87:$E$87,$B$3))-L58</f>
        <v>-68271.0583659379</v>
      </c>
      <c r="M102" s="8" t="n">
        <f aca="false">((M58+IF(INDEX(Assumptions!$C$87:$E$87,$B$3)&gt;=2,L58,0)+IF(INDEX(Assumptions!$C$87:$E$87,$B$3)&gt;=3,K58,0))/INDEX(Assumptions!$C$87:$E$87,$B$3))-M58</f>
        <v>-7376.75941888464</v>
      </c>
      <c r="N102" s="8" t="n">
        <f aca="false">((N58+IF(INDEX(Assumptions!$C$87:$E$87,$B$3)&gt;=2,M58,0)+IF(INDEX(Assumptions!$C$87:$E$87,$B$3)&gt;=3,L58,0))/INDEX(Assumptions!$C$87:$E$87,$B$3))-N58</f>
        <v>15494.9271006775</v>
      </c>
      <c r="O102" s="37" t="n">
        <f aca="false">SUM(C102:N102)</f>
        <v>-336290.211864407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-397707.481174722</v>
      </c>
      <c r="D103" s="37" t="n">
        <f aca="false">D92+D102-D101</f>
        <v>-204329.290985368</v>
      </c>
      <c r="E103" s="37" t="n">
        <f aca="false">E92+E102-E101</f>
        <v>-280262.91223254</v>
      </c>
      <c r="F103" s="37" t="n">
        <f aca="false">F92+F102-F101</f>
        <v>-51697.5894669211</v>
      </c>
      <c r="G103" s="37" t="n">
        <f aca="false">G92+G102-G101</f>
        <v>-8594.26047148032</v>
      </c>
      <c r="H103" s="37" t="n">
        <f aca="false">H92+H102-H101</f>
        <v>-1439244.89092671</v>
      </c>
      <c r="I103" s="37" t="n">
        <f aca="false">I92+I102-I101</f>
        <v>172148.889943017</v>
      </c>
      <c r="J103" s="37" t="n">
        <f aca="false">J92+J102-J101</f>
        <v>118921.866755403</v>
      </c>
      <c r="K103" s="37" t="n">
        <f aca="false">K92+K102-K101</f>
        <v>350571.710230002</v>
      </c>
      <c r="L103" s="37" t="n">
        <f aca="false">L92+L102-L101</f>
        <v>257933.007667533</v>
      </c>
      <c r="M103" s="37" t="n">
        <f aca="false">M92+M102-M101</f>
        <v>350237.386782327</v>
      </c>
      <c r="N103" s="37" t="n">
        <f aca="false">N92+N102-N101</f>
        <v>365011.081283877</v>
      </c>
      <c r="O103" s="31" t="n">
        <f aca="false">SUM(C103:N103)</f>
        <v>-767012.482595578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-397707.481174722</v>
      </c>
      <c r="D104" s="37" t="n">
        <f aca="false">C104+D103</f>
        <v>-602036.772160091</v>
      </c>
      <c r="E104" s="37" t="n">
        <f aca="false">D104+E103</f>
        <v>-882299.68439263</v>
      </c>
      <c r="F104" s="37" t="n">
        <f aca="false">E104+F103</f>
        <v>-933997.273859551</v>
      </c>
      <c r="G104" s="37" t="n">
        <f aca="false">F104+G103</f>
        <v>-942591.534331032</v>
      </c>
      <c r="H104" s="37" t="n">
        <f aca="false">G104+H103</f>
        <v>-2381836.42525774</v>
      </c>
      <c r="I104" s="37" t="n">
        <f aca="false">H104+I103</f>
        <v>-2209687.53531472</v>
      </c>
      <c r="J104" s="37" t="n">
        <f aca="false">I104+J103</f>
        <v>-2090765.66855932</v>
      </c>
      <c r="K104" s="37" t="n">
        <f aca="false">J104+K103</f>
        <v>-1740193.95832932</v>
      </c>
      <c r="L104" s="37" t="n">
        <f aca="false">K104+L103</f>
        <v>-1482260.95066178</v>
      </c>
      <c r="M104" s="37" t="n">
        <f aca="false">L104+M103</f>
        <v>-1132023.56387945</v>
      </c>
      <c r="N104" s="37" t="n">
        <f aca="false">M104+N103</f>
        <v>-767012.482595578</v>
      </c>
      <c r="O104" s="31" t="n">
        <f aca="false">N104</f>
        <v>-767012.482595578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397707.481174722</v>
      </c>
      <c r="D105" s="37" t="n">
        <f aca="false">-MIN(0,MIN($C$104:D104))</f>
        <v>602036.772160091</v>
      </c>
      <c r="E105" s="37" t="n">
        <f aca="false">-MIN(0,MIN($C$104:E104))</f>
        <v>882299.68439263</v>
      </c>
      <c r="F105" s="37" t="n">
        <f aca="false">-MIN(0,MIN($C$104:F104))</f>
        <v>933997.273859551</v>
      </c>
      <c r="G105" s="37" t="n">
        <f aca="false">-MIN(0,MIN($C$104:G104))</f>
        <v>942591.534331032</v>
      </c>
      <c r="H105" s="37" t="n">
        <f aca="false">-MIN(0,MIN($C$104:H104))</f>
        <v>2381836.42525774</v>
      </c>
      <c r="I105" s="37" t="n">
        <f aca="false">-MIN(0,MIN($C$104:I104))</f>
        <v>2381836.42525774</v>
      </c>
      <c r="J105" s="37" t="n">
        <f aca="false">-MIN(0,MIN($C$104:J104))</f>
        <v>2381836.42525774</v>
      </c>
      <c r="K105" s="37" t="n">
        <f aca="false">-MIN(0,MIN($C$104:K104))</f>
        <v>2381836.42525774</v>
      </c>
      <c r="L105" s="37" t="n">
        <f aca="false">-MIN(0,MIN($C$104:L104))</f>
        <v>2381836.42525774</v>
      </c>
      <c r="M105" s="37" t="n">
        <f aca="false">-MIN(0,MIN($C$104:M104))</f>
        <v>2381836.42525774</v>
      </c>
      <c r="N105" s="37" t="n">
        <f aca="false">-MIN(0,MIN($C$104:N104))</f>
        <v>2381836.42525774</v>
      </c>
      <c r="O105" s="31" t="n">
        <f aca="false">MAX(C105:N105)</f>
        <v>2381836.42525774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1</v>
      </c>
      <c r="H106" s="8" t="n">
        <f aca="false">IF(H92&gt;=0,1,0)</f>
        <v>1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8139672.52783977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1541277.72926883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0.189353776088321</v>
      </c>
    </row>
    <row r="112" customFormat="false" ht="15" hidden="false" customHeight="false" outlineLevel="0" collapsed="false">
      <c r="A112" s="3" t="s">
        <v>30</v>
      </c>
      <c r="B112" s="31" t="n">
        <f aca="false">O94</f>
        <v>641277.729268829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2381836.42525774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618163.574742262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58622.0689978814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278228.464204386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4.03780589532193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48.4536707438632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0.137881575115553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0.369230007003104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15.2546812812632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1033334.36641788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5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-767012.482595578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1218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0.8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2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4</v>
      </c>
      <c r="K72" s="8" t="n">
        <f aca="false">ROUNDUP(K33/(INDEX(Assumptions!$C$102:$E$102,$B$3)*$J$3),0)</f>
        <v>4</v>
      </c>
      <c r="L72" s="8" t="n">
        <f aca="false">ROUNDUP(L33/(INDEX(Assumptions!$C$102:$E$102,$B$3)*$J$3),0)</f>
        <v>4</v>
      </c>
      <c r="M72" s="8" t="n">
        <f aca="false">ROUNDUP(M33/(INDEX(Assumptions!$C$102:$E$102,$B$3)*$J$3),0)</f>
        <v>4</v>
      </c>
      <c r="N72" s="8" t="n">
        <f aca="false">ROUNDUP(N33/(INDEX(Assumptions!$C$102:$E$102,$B$3)*$J$3),0)</f>
        <v>4</v>
      </c>
      <c r="O72" s="37" t="n">
        <f aca="false">MAX(C72:N72)</f>
        <v>4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0.666666666666667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2.26666666666667</v>
      </c>
      <c r="K73" s="6" t="n">
        <f aca="false">K72*(1-K11)</f>
        <v>2.4</v>
      </c>
      <c r="L73" s="6" t="n">
        <f aca="false">L72*(1-L11)</f>
        <v>2.53333333333333</v>
      </c>
      <c r="M73" s="6" t="n">
        <f aca="false">M72*(1-M11)</f>
        <v>2.66666666666667</v>
      </c>
      <c r="N73" s="6" t="n">
        <f aca="false">N72*(1-N11)</f>
        <v>2.8</v>
      </c>
      <c r="O73" s="39" t="n">
        <f aca="false">MAX(C73:N73)</f>
        <v>2.8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1</v>
      </c>
      <c r="K75" s="8" t="n">
        <f aca="false">IF(K74=0,0,MAX(0,ROUNDUP((K73-K74*INDEX(Assumptions!$C$101:$E$101,$B$3))/INDEX(Assumptions!$C$101:$E$101,$B$3)-0.1,0)))</f>
        <v>1</v>
      </c>
      <c r="L75" s="8" t="n">
        <f aca="false">IF(L74=0,0,MAX(0,ROUNDUP((L73-L74*INDEX(Assumptions!$C$101:$E$101,$B$3))/INDEX(Assumptions!$C$101:$E$101,$B$3)-0.1,0)))</f>
        <v>1</v>
      </c>
      <c r="M75" s="8" t="n">
        <f aca="false">IF(M74=0,0,MAX(0,ROUNDUP((M73-M74*INDEX(Assumptions!$C$101:$E$101,$B$3))/INDEX(Assumptions!$C$101:$E$101,$B$3)-0.1,0)))</f>
        <v>1</v>
      </c>
      <c r="N75" s="8" t="n">
        <f aca="false">IF(N74=0,0,MAX(0,ROUNDUP((N73-N74*INDEX(Assumptions!$C$101:$E$101,$B$3))/INDEX(Assumptions!$C$101:$E$101,$B$3)-0.1,0)))</f>
        <v>1</v>
      </c>
      <c r="O75" s="37" t="n">
        <f aca="false">MAX(C75:N75)</f>
        <v>1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134000</v>
      </c>
      <c r="K77" s="8" t="n">
        <f aca="false">K74*INDEX(Assumptions!$C$98:$E$98,$B$3)+K75*INDEX(Assumptions!$C$99:$E$99,$B$3)+K76*INDEX(Assumptions!$C$100:$E$100,$B$3)</f>
        <v>134000</v>
      </c>
      <c r="L77" s="8" t="n">
        <f aca="false">L74*INDEX(Assumptions!$C$98:$E$98,$B$3)+L75*INDEX(Assumptions!$C$99:$E$99,$B$3)+L76*INDEX(Assumptions!$C$100:$E$100,$B$3)</f>
        <v>134000</v>
      </c>
      <c r="M77" s="8" t="n">
        <f aca="false">M74*INDEX(Assumptions!$C$98:$E$98,$B$3)+M75*INDEX(Assumptions!$C$99:$E$99,$B$3)+M76*INDEX(Assumptions!$C$100:$E$100,$B$3)</f>
        <v>134000</v>
      </c>
      <c r="N77" s="8" t="n">
        <f aca="false">N74*INDEX(Assumptions!$C$98:$E$98,$B$3)+N75*INDEX(Assumptions!$C$99:$E$99,$B$3)+N76*INDEX(Assumptions!$C$100:$E$100,$B$3)</f>
        <v>134000</v>
      </c>
      <c r="O77" s="37" t="n">
        <f aca="false">SUM(C77:N77)</f>
        <v>1174000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279500</v>
      </c>
      <c r="K82" s="37" t="n">
        <f aca="false">SUM(K77:K81)</f>
        <v>279500</v>
      </c>
      <c r="L82" s="37" t="n">
        <f aca="false">SUM(L77:L81)</f>
        <v>279500</v>
      </c>
      <c r="M82" s="37" t="n">
        <f aca="false">SUM(M77:M81)</f>
        <v>279500</v>
      </c>
      <c r="N82" s="37" t="n">
        <f aca="false">SUM(N77:N81)</f>
        <v>279500</v>
      </c>
      <c r="O82" s="31" t="n">
        <f aca="false">SUM(C82:N82)</f>
        <v>2664500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547933</v>
      </c>
      <c r="K91" s="37" t="n">
        <f aca="false">K82+SUM(K84:K90)</f>
        <v>552933</v>
      </c>
      <c r="L91" s="37" t="n">
        <f aca="false">L82+SUM(L84:L90)</f>
        <v>552933</v>
      </c>
      <c r="M91" s="37" t="n">
        <f aca="false">M82+SUM(M84:M90)</f>
        <v>552933</v>
      </c>
      <c r="N91" s="37" t="n">
        <f aca="false">N82+SUM(N84:N90)</f>
        <v>552933</v>
      </c>
      <c r="O91" s="31" t="n">
        <f aca="false">SUM(C91:N91)</f>
        <v>5463096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-229883.204915576</v>
      </c>
      <c r="D92" s="37" t="n">
        <f aca="false">D69-D91</f>
        <v>-199321.791038066</v>
      </c>
      <c r="E92" s="37" t="n">
        <f aca="false">E69-E91</f>
        <v>-283501.537732209</v>
      </c>
      <c r="F92" s="37" t="n">
        <f aca="false">F69-F91</f>
        <v>-67760.8663476415</v>
      </c>
      <c r="G92" s="37" t="n">
        <f aca="false">G69-G91</f>
        <v>-24985.5833511413</v>
      </c>
      <c r="H92" s="37" t="n">
        <f aca="false">H69-H91</f>
        <v>-52840.2441432459</v>
      </c>
      <c r="I92" s="37" t="n">
        <f aca="false">I69-I91</f>
        <v>304457.362840912</v>
      </c>
      <c r="J92" s="37" t="n">
        <f aca="false">J69-J91</f>
        <v>305050.504617652</v>
      </c>
      <c r="K92" s="37" t="n">
        <f aca="false">K69-K91</f>
        <v>56312.6257893313</v>
      </c>
      <c r="L92" s="37" t="n">
        <f aca="false">L69-L91</f>
        <v>169129.924410484</v>
      </c>
      <c r="M92" s="37" t="n">
        <f aca="false">M69-M91</f>
        <v>195907.092985795</v>
      </c>
      <c r="N92" s="37" t="n">
        <f aca="false">N69-N91</f>
        <v>188901.227051843</v>
      </c>
      <c r="O92" s="31" t="n">
        <f aca="false">SUM(C92:N92)</f>
        <v>361465.510168139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-2.8050003678375</v>
      </c>
      <c r="D93" s="7" t="n">
        <f aca="false">IFERROR(D92/D57,0)</f>
        <v>-1.32882780382482</v>
      </c>
      <c r="E93" s="7" t="n">
        <f aca="false">IFERROR(E92/E57,0)</f>
        <v>-1.05741077511732</v>
      </c>
      <c r="F93" s="7" t="n">
        <f aca="false">IFERROR(F92/F57,0)</f>
        <v>-0.183249711690377</v>
      </c>
      <c r="G93" s="7" t="n">
        <f aca="false">IFERROR(G92/G57,0)</f>
        <v>-0.0541192939551171</v>
      </c>
      <c r="H93" s="7" t="n">
        <f aca="false">IFERROR(H92/H57,0)</f>
        <v>-0.117887107151984</v>
      </c>
      <c r="I93" s="7" t="n">
        <f aca="false">IFERROR(I92/I57,0)</f>
        <v>0.322539224792692</v>
      </c>
      <c r="J93" s="7" t="n">
        <f aca="false">IFERROR(J92/J57,0)</f>
        <v>0.307522017780852</v>
      </c>
      <c r="K93" s="7" t="n">
        <f aca="false">IFERROR(K92/K57,0)</f>
        <v>0.0763790981460043</v>
      </c>
      <c r="L93" s="7" t="n">
        <f aca="false">IFERROR(L92/L57,0)</f>
        <v>0.194637846298806</v>
      </c>
      <c r="M93" s="7" t="n">
        <f aca="false">IFERROR(M92/M57,0)</f>
        <v>0.217552025520531</v>
      </c>
      <c r="N93" s="7" t="n">
        <f aca="false">IFERROR(N92/N57,0)</f>
        <v>0.211777333056526</v>
      </c>
      <c r="O93" s="7" t="n">
        <f aca="false">IFERROR(O92/O57,0)</f>
        <v>0.0508079225300828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-304883.204915576</v>
      </c>
      <c r="D94" s="8" t="n">
        <f aca="false">D92-INDEX(Assumptions!$C$163:$E$163,$B$3)</f>
        <v>-274321.791038066</v>
      </c>
      <c r="E94" s="8" t="n">
        <f aca="false">E92-INDEX(Assumptions!$C$163:$E$163,$B$3)</f>
        <v>-358501.537732209</v>
      </c>
      <c r="F94" s="8" t="n">
        <f aca="false">F92-INDEX(Assumptions!$C$163:$E$163,$B$3)</f>
        <v>-142760.866347641</v>
      </c>
      <c r="G94" s="8" t="n">
        <f aca="false">G92-INDEX(Assumptions!$C$163:$E$163,$B$3)</f>
        <v>-99985.5833511413</v>
      </c>
      <c r="H94" s="8" t="n">
        <f aca="false">H92-INDEX(Assumptions!$C$163:$E$163,$B$3)</f>
        <v>-127840.244143246</v>
      </c>
      <c r="I94" s="8" t="n">
        <f aca="false">I92-INDEX(Assumptions!$C$163:$E$163,$B$3)</f>
        <v>229457.362840912</v>
      </c>
      <c r="J94" s="8" t="n">
        <f aca="false">J92-INDEX(Assumptions!$C$163:$E$163,$B$3)</f>
        <v>230050.504617652</v>
      </c>
      <c r="K94" s="8" t="n">
        <f aca="false">K92-INDEX(Assumptions!$C$163:$E$163,$B$3)</f>
        <v>-18687.3742106687</v>
      </c>
      <c r="L94" s="8" t="n">
        <f aca="false">L92-INDEX(Assumptions!$C$163:$E$163,$B$3)</f>
        <v>94129.924410484</v>
      </c>
      <c r="M94" s="8" t="n">
        <f aca="false">M92-INDEX(Assumptions!$C$163:$E$163,$B$3)</f>
        <v>120907.092985795</v>
      </c>
      <c r="N94" s="8" t="n">
        <f aca="false">N92-INDEX(Assumptions!$C$163:$E$163,$B$3)</f>
        <v>113901.227051843</v>
      </c>
      <c r="O94" s="37" t="n">
        <f aca="false">SUM(C94:N94)</f>
        <v>-538534.489831862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-405618.376441</v>
      </c>
      <c r="D103" s="37" t="n">
        <f aca="false">D92+D102-D101</f>
        <v>-222399.787334676</v>
      </c>
      <c r="E103" s="37" t="n">
        <f aca="false">E92+E102-E101</f>
        <v>-313958.159634751</v>
      </c>
      <c r="F103" s="37" t="n">
        <f aca="false">F92+F102-F101</f>
        <v>-99510.9071315398</v>
      </c>
      <c r="G103" s="37" t="n">
        <f aca="false">G92+G102-G101</f>
        <v>-67567.6850460565</v>
      </c>
      <c r="H103" s="37" t="n">
        <f aca="false">H92+H102-H101</f>
        <v>-1505168.60360357</v>
      </c>
      <c r="I103" s="37" t="n">
        <f aca="false">I92+I102-I101</f>
        <v>74091.1807616272</v>
      </c>
      <c r="J103" s="37" t="n">
        <f aca="false">J92+J102-J101</f>
        <v>-56565.5111935092</v>
      </c>
      <c r="K103" s="37" t="n">
        <f aca="false">K92+K102-K101</f>
        <v>192105.705621523</v>
      </c>
      <c r="L103" s="37" t="n">
        <f aca="false">L92+L102-L101</f>
        <v>109763.786700973</v>
      </c>
      <c r="M103" s="37" t="n">
        <f aca="false">M92+M102-M101</f>
        <v>189492.519578069</v>
      </c>
      <c r="N103" s="37" t="n">
        <f aca="false">N92+N102-N101</f>
        <v>202375.076704607</v>
      </c>
      <c r="O103" s="31" t="n">
        <f aca="false">SUM(C103:N103)</f>
        <v>-1902960.7610183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-405618.376441</v>
      </c>
      <c r="D104" s="37" t="n">
        <f aca="false">C104+D103</f>
        <v>-628018.163775676</v>
      </c>
      <c r="E104" s="37" t="n">
        <f aca="false">D104+E103</f>
        <v>-941976.323410427</v>
      </c>
      <c r="F104" s="37" t="n">
        <f aca="false">E104+F103</f>
        <v>-1041487.23054197</v>
      </c>
      <c r="G104" s="37" t="n">
        <f aca="false">F104+G103</f>
        <v>-1109054.91558802</v>
      </c>
      <c r="H104" s="37" t="n">
        <f aca="false">G104+H103</f>
        <v>-2614223.51919159</v>
      </c>
      <c r="I104" s="37" t="n">
        <f aca="false">H104+I103</f>
        <v>-2540132.33842996</v>
      </c>
      <c r="J104" s="37" t="n">
        <f aca="false">I104+J103</f>
        <v>-2596697.84962347</v>
      </c>
      <c r="K104" s="37" t="n">
        <f aca="false">J104+K103</f>
        <v>-2404592.14400195</v>
      </c>
      <c r="L104" s="37" t="n">
        <f aca="false">K104+L103</f>
        <v>-2294828.35730098</v>
      </c>
      <c r="M104" s="37" t="n">
        <f aca="false">L104+M103</f>
        <v>-2105335.83772291</v>
      </c>
      <c r="N104" s="37" t="n">
        <f aca="false">M104+N103</f>
        <v>-1902960.7610183</v>
      </c>
      <c r="O104" s="31" t="n">
        <f aca="false">N104</f>
        <v>-1902960.7610183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405618.376441</v>
      </c>
      <c r="D105" s="37" t="n">
        <f aca="false">-MIN(0,MIN($C$104:D104))</f>
        <v>628018.163775676</v>
      </c>
      <c r="E105" s="37" t="n">
        <f aca="false">-MIN(0,MIN($C$104:E104))</f>
        <v>941976.323410427</v>
      </c>
      <c r="F105" s="37" t="n">
        <f aca="false">-MIN(0,MIN($C$104:F104))</f>
        <v>1041487.23054197</v>
      </c>
      <c r="G105" s="37" t="n">
        <f aca="false">-MIN(0,MIN($C$104:G104))</f>
        <v>1109054.91558802</v>
      </c>
      <c r="H105" s="37" t="n">
        <f aca="false">-MIN(0,MIN($C$104:H104))</f>
        <v>2614223.51919159</v>
      </c>
      <c r="I105" s="37" t="n">
        <f aca="false">-MIN(0,MIN($C$104:I104))</f>
        <v>2614223.51919159</v>
      </c>
      <c r="J105" s="37" t="n">
        <f aca="false">-MIN(0,MIN($C$104:J104))</f>
        <v>2614223.51919159</v>
      </c>
      <c r="K105" s="37" t="n">
        <f aca="false">-MIN(0,MIN($C$104:K104))</f>
        <v>2614223.51919159</v>
      </c>
      <c r="L105" s="37" t="n">
        <f aca="false">-MIN(0,MIN($C$104:L104))</f>
        <v>2614223.51919159</v>
      </c>
      <c r="M105" s="37" t="n">
        <f aca="false">-MIN(0,MIN($C$104:M104))</f>
        <v>2614223.51919159</v>
      </c>
      <c r="N105" s="37" t="n">
        <f aca="false">-MIN(0,MIN($C$104:N104))</f>
        <v>2614223.51919159</v>
      </c>
      <c r="O105" s="31" t="n">
        <f aca="false">MAX(C105:N105)</f>
        <v>2614223.51919159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361465.510168139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0.0508079225300828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-538534.489831862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2614223.51919159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385776.480808409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4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552933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6.23669612914324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74.8403535497189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553938.244448122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-1902960.7610183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1219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1.2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2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1.06666666666667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1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78000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966000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223500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2456500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491933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5255096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-229883.204915576</v>
      </c>
      <c r="D92" s="37" t="n">
        <f aca="false">D69-D91</f>
        <v>-199321.791038066</v>
      </c>
      <c r="E92" s="37" t="n">
        <f aca="false">E69-E91</f>
        <v>-283501.537732209</v>
      </c>
      <c r="F92" s="37" t="n">
        <f aca="false">F69-F91</f>
        <v>-67760.8663476415</v>
      </c>
      <c r="G92" s="37" t="n">
        <f aca="false">G69-G91</f>
        <v>-24985.5833511413</v>
      </c>
      <c r="H92" s="37" t="n">
        <f aca="false">H69-H91</f>
        <v>-52840.2441432459</v>
      </c>
      <c r="I92" s="37" t="n">
        <f aca="false">I69-I91</f>
        <v>322457.362840912</v>
      </c>
      <c r="J92" s="37" t="n">
        <f aca="false">J69-J91</f>
        <v>343050.504617652</v>
      </c>
      <c r="K92" s="37" t="n">
        <f aca="false">K69-K91</f>
        <v>94312.6257893313</v>
      </c>
      <c r="L92" s="37" t="n">
        <f aca="false">L69-L91</f>
        <v>207129.924410484</v>
      </c>
      <c r="M92" s="37" t="n">
        <f aca="false">M69-M91</f>
        <v>233907.092985795</v>
      </c>
      <c r="N92" s="37" t="n">
        <f aca="false">N69-N91</f>
        <v>226901.227051843</v>
      </c>
      <c r="O92" s="31" t="n">
        <f aca="false">SUM(C92:N92)</f>
        <v>569465.510168139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-2.8050003678375</v>
      </c>
      <c r="D93" s="7" t="n">
        <f aca="false">IFERROR(D92/D57,0)</f>
        <v>-1.32882780382482</v>
      </c>
      <c r="E93" s="7" t="n">
        <f aca="false">IFERROR(E92/E57,0)</f>
        <v>-1.05741077511732</v>
      </c>
      <c r="F93" s="7" t="n">
        <f aca="false">IFERROR(F92/F57,0)</f>
        <v>-0.183249711690377</v>
      </c>
      <c r="G93" s="7" t="n">
        <f aca="false">IFERROR(G92/G57,0)</f>
        <v>-0.0541192939551171</v>
      </c>
      <c r="H93" s="7" t="n">
        <f aca="false">IFERROR(H92/H57,0)</f>
        <v>-0.117887107151984</v>
      </c>
      <c r="I93" s="7" t="n">
        <f aca="false">IFERROR(I92/I57,0)</f>
        <v>0.341608253020799</v>
      </c>
      <c r="J93" s="7" t="n">
        <f aca="false">IFERROR(J92/J57,0)</f>
        <v>0.345829893030294</v>
      </c>
      <c r="K93" s="7" t="n">
        <f aca="false">IFERROR(K92/K57,0)</f>
        <v>0.12792003925584</v>
      </c>
      <c r="L93" s="7" t="n">
        <f aca="false">IFERROR(L92/L57,0)</f>
        <v>0.238368949384997</v>
      </c>
      <c r="M93" s="7" t="n">
        <f aca="false">IFERROR(M92/M57,0)</f>
        <v>0.259750482165384</v>
      </c>
      <c r="N93" s="7" t="n">
        <f aca="false">IFERROR(N92/N57,0)</f>
        <v>0.254379166733019</v>
      </c>
      <c r="O93" s="7" t="n">
        <f aca="false">IFERROR(O92/O57,0)</f>
        <v>0.0800445926658902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-304883.204915576</v>
      </c>
      <c r="D94" s="8" t="n">
        <f aca="false">D92-INDEX(Assumptions!$C$163:$E$163,$B$3)</f>
        <v>-274321.791038066</v>
      </c>
      <c r="E94" s="8" t="n">
        <f aca="false">E92-INDEX(Assumptions!$C$163:$E$163,$B$3)</f>
        <v>-358501.537732209</v>
      </c>
      <c r="F94" s="8" t="n">
        <f aca="false">F92-INDEX(Assumptions!$C$163:$E$163,$B$3)</f>
        <v>-142760.866347641</v>
      </c>
      <c r="G94" s="8" t="n">
        <f aca="false">G92-INDEX(Assumptions!$C$163:$E$163,$B$3)</f>
        <v>-99985.5833511413</v>
      </c>
      <c r="H94" s="8" t="n">
        <f aca="false">H92-INDEX(Assumptions!$C$163:$E$163,$B$3)</f>
        <v>-127840.244143246</v>
      </c>
      <c r="I94" s="8" t="n">
        <f aca="false">I92-INDEX(Assumptions!$C$163:$E$163,$B$3)</f>
        <v>247457.362840912</v>
      </c>
      <c r="J94" s="8" t="n">
        <f aca="false">J92-INDEX(Assumptions!$C$163:$E$163,$B$3)</f>
        <v>268050.504617652</v>
      </c>
      <c r="K94" s="8" t="n">
        <f aca="false">K92-INDEX(Assumptions!$C$163:$E$163,$B$3)</f>
        <v>19312.6257893313</v>
      </c>
      <c r="L94" s="8" t="n">
        <f aca="false">L92-INDEX(Assumptions!$C$163:$E$163,$B$3)</f>
        <v>132129.924410484</v>
      </c>
      <c r="M94" s="8" t="n">
        <f aca="false">M92-INDEX(Assumptions!$C$163:$E$163,$B$3)</f>
        <v>158907.092985795</v>
      </c>
      <c r="N94" s="8" t="n">
        <f aca="false">N92-INDEX(Assumptions!$C$163:$E$163,$B$3)</f>
        <v>151901.227051843</v>
      </c>
      <c r="O94" s="37" t="n">
        <f aca="false">SUM(C94:N94)</f>
        <v>-330534.489831861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-405618.376441</v>
      </c>
      <c r="D103" s="37" t="n">
        <f aca="false">D92+D102-D101</f>
        <v>-222399.787334676</v>
      </c>
      <c r="E103" s="37" t="n">
        <f aca="false">E92+E102-E101</f>
        <v>-313958.159634751</v>
      </c>
      <c r="F103" s="37" t="n">
        <f aca="false">F92+F102-F101</f>
        <v>-99510.9071315398</v>
      </c>
      <c r="G103" s="37" t="n">
        <f aca="false">G92+G102-G101</f>
        <v>-67567.6850460565</v>
      </c>
      <c r="H103" s="37" t="n">
        <f aca="false">H92+H102-H101</f>
        <v>-1505168.60360357</v>
      </c>
      <c r="I103" s="37" t="n">
        <f aca="false">I92+I102-I101</f>
        <v>92091.1807616272</v>
      </c>
      <c r="J103" s="37" t="n">
        <f aca="false">J92+J102-J101</f>
        <v>-18565.5111935092</v>
      </c>
      <c r="K103" s="37" t="n">
        <f aca="false">K92+K102-K101</f>
        <v>230105.705621523</v>
      </c>
      <c r="L103" s="37" t="n">
        <f aca="false">L92+L102-L101</f>
        <v>147763.786700973</v>
      </c>
      <c r="M103" s="37" t="n">
        <f aca="false">M92+M102-M101</f>
        <v>227492.519578069</v>
      </c>
      <c r="N103" s="37" t="n">
        <f aca="false">N92+N102-N101</f>
        <v>240375.076704607</v>
      </c>
      <c r="O103" s="31" t="n">
        <f aca="false">SUM(C103:N103)</f>
        <v>-1694960.7610183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-405618.376441</v>
      </c>
      <c r="D104" s="37" t="n">
        <f aca="false">C104+D103</f>
        <v>-628018.163775676</v>
      </c>
      <c r="E104" s="37" t="n">
        <f aca="false">D104+E103</f>
        <v>-941976.323410427</v>
      </c>
      <c r="F104" s="37" t="n">
        <f aca="false">E104+F103</f>
        <v>-1041487.23054197</v>
      </c>
      <c r="G104" s="37" t="n">
        <f aca="false">F104+G103</f>
        <v>-1109054.91558802</v>
      </c>
      <c r="H104" s="37" t="n">
        <f aca="false">G104+H103</f>
        <v>-2614223.51919159</v>
      </c>
      <c r="I104" s="37" t="n">
        <f aca="false">H104+I103</f>
        <v>-2522132.33842996</v>
      </c>
      <c r="J104" s="37" t="n">
        <f aca="false">I104+J103</f>
        <v>-2540697.84962347</v>
      </c>
      <c r="K104" s="37" t="n">
        <f aca="false">J104+K103</f>
        <v>-2310592.14400195</v>
      </c>
      <c r="L104" s="37" t="n">
        <f aca="false">K104+L103</f>
        <v>-2162828.35730098</v>
      </c>
      <c r="M104" s="37" t="n">
        <f aca="false">L104+M103</f>
        <v>-1935335.83772291</v>
      </c>
      <c r="N104" s="37" t="n">
        <f aca="false">M104+N103</f>
        <v>-1694960.7610183</v>
      </c>
      <c r="O104" s="31" t="n">
        <f aca="false">N104</f>
        <v>-1694960.7610183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405618.376441</v>
      </c>
      <c r="D105" s="37" t="n">
        <f aca="false">-MIN(0,MIN($C$104:D104))</f>
        <v>628018.163775676</v>
      </c>
      <c r="E105" s="37" t="n">
        <f aca="false">-MIN(0,MIN($C$104:E104))</f>
        <v>941976.323410427</v>
      </c>
      <c r="F105" s="37" t="n">
        <f aca="false">-MIN(0,MIN($C$104:F104))</f>
        <v>1041487.23054197</v>
      </c>
      <c r="G105" s="37" t="n">
        <f aca="false">-MIN(0,MIN($C$104:G104))</f>
        <v>1109054.91558802</v>
      </c>
      <c r="H105" s="37" t="n">
        <f aca="false">-MIN(0,MIN($C$104:H104))</f>
        <v>2614223.51919159</v>
      </c>
      <c r="I105" s="37" t="n">
        <f aca="false">-MIN(0,MIN($C$104:I104))</f>
        <v>2614223.51919159</v>
      </c>
      <c r="J105" s="37" t="n">
        <f aca="false">-MIN(0,MIN($C$104:J104))</f>
        <v>2614223.51919159</v>
      </c>
      <c r="K105" s="37" t="n">
        <f aca="false">-MIN(0,MIN($C$104:K104))</f>
        <v>2614223.51919159</v>
      </c>
      <c r="L105" s="37" t="n">
        <f aca="false">-MIN(0,MIN($C$104:L104))</f>
        <v>2614223.51919159</v>
      </c>
      <c r="M105" s="37" t="n">
        <f aca="false">-MIN(0,MIN($C$104:M104))</f>
        <v>2614223.51919159</v>
      </c>
      <c r="N105" s="37" t="n">
        <f aca="false">-MIN(0,MIN($C$104:N104))</f>
        <v>2614223.51919159</v>
      </c>
      <c r="O105" s="31" t="n">
        <f aca="false">MAX(C105:N105)</f>
        <v>2614223.51919159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569465.510168139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0.0800445926658902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-330534.489831861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2614223.51919159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385776.480808409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5.47965738818625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65.755888658235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667938.244448122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-1694960.7610183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1220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1.3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15166.6666666667</v>
      </c>
      <c r="D16" s="8" t="n">
        <f aca="false">INDEX(Assumptions!$C$115:$E$115,$B$3)*INDEX(Assumptions!$C$120:$E$120,$B$3)*$L$3/$F$3</f>
        <v>15166.6666666667</v>
      </c>
      <c r="E16" s="8" t="n">
        <f aca="false">INDEX(Assumptions!$C$115:$E$115,$B$3)*INDEX(Assumptions!$C$120:$E$120,$B$3)*$L$3/$F$3</f>
        <v>15166.6666666667</v>
      </c>
      <c r="F16" s="8" t="n">
        <f aca="false">INDEX(Assumptions!$C$115:$E$115,$B$3)*INDEX(Assumptions!$C$120:$E$120,$B$3)*$L$3/$F$3</f>
        <v>15166.6666666667</v>
      </c>
      <c r="G16" s="8" t="n">
        <f aca="false">INDEX(Assumptions!$C$115:$E$115,$B$3)*INDEX(Assumptions!$C$120:$E$120,$B$3)*$L$3/$F$3</f>
        <v>15166.6666666667</v>
      </c>
      <c r="H16" s="8" t="n">
        <f aca="false">INDEX(Assumptions!$C$115:$E$115,$B$3)*INDEX(Assumptions!$C$120:$E$120,$B$3)*$L$3/$F$3</f>
        <v>15166.6666666667</v>
      </c>
      <c r="I16" s="8" t="n">
        <f aca="false">INDEX(Assumptions!$C$115:$E$115,$B$3)*INDEX(Assumptions!$C$120:$E$120,$B$3)*$L$3/$F$3</f>
        <v>15166.6666666667</v>
      </c>
      <c r="J16" s="8" t="n">
        <f aca="false">INDEX(Assumptions!$C$115:$E$115,$B$3)*INDEX(Assumptions!$C$120:$E$120,$B$3)*$L$3/$F$3</f>
        <v>15166.6666666667</v>
      </c>
      <c r="K16" s="8" t="n">
        <f aca="false">INDEX(Assumptions!$C$115:$E$115,$B$3)*INDEX(Assumptions!$C$120:$E$120,$B$3)*$L$3/$F$3</f>
        <v>15166.6666666667</v>
      </c>
      <c r="L16" s="8" t="n">
        <f aca="false">INDEX(Assumptions!$C$115:$E$115,$B$3)*INDEX(Assumptions!$C$120:$E$120,$B$3)*$L$3/$F$3</f>
        <v>15166.6666666667</v>
      </c>
      <c r="M16" s="8" t="n">
        <f aca="false">INDEX(Assumptions!$C$115:$E$115,$B$3)*INDEX(Assumptions!$C$120:$E$120,$B$3)*$L$3/$F$3</f>
        <v>15166.6666666667</v>
      </c>
      <c r="N16" s="8" t="n">
        <f aca="false">INDEX(Assumptions!$C$115:$E$115,$B$3)*INDEX(Assumptions!$C$120:$E$120,$B$3)*$L$3/$F$3</f>
        <v>15166.6666666667</v>
      </c>
      <c r="O16" s="37" t="n">
        <f aca="false">AVERAGE(C16:N16)</f>
        <v>15166.6666666667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0.692307692307692</v>
      </c>
      <c r="D18" s="27" t="n">
        <f aca="false">D15*INDEX(Assumptions!$C$119:$E$119,$B$3)/D16</f>
        <v>1.84615384615385</v>
      </c>
      <c r="E18" s="27" t="n">
        <f aca="false">E15*INDEX(Assumptions!$C$119:$E$119,$B$3)/E16</f>
        <v>2.30769230769231</v>
      </c>
      <c r="F18" s="27" t="n">
        <f aca="false">F15*INDEX(Assumptions!$C$119:$E$119,$B$3)/F16</f>
        <v>2.76923076923077</v>
      </c>
      <c r="G18" s="27" t="n">
        <f aca="false">G15*INDEX(Assumptions!$C$119:$E$119,$B$3)/G16</f>
        <v>3.69230769230769</v>
      </c>
      <c r="H18" s="27" t="n">
        <f aca="false">H15*INDEX(Assumptions!$C$119:$E$119,$B$3)/H16</f>
        <v>4.15384615384615</v>
      </c>
      <c r="I18" s="27" t="n">
        <f aca="false">I15*INDEX(Assumptions!$C$119:$E$119,$B$3)/I16</f>
        <v>4.61538461538462</v>
      </c>
      <c r="J18" s="27" t="n">
        <f aca="false">J15*INDEX(Assumptions!$C$119:$E$119,$B$3)/J16</f>
        <v>4.61538461538462</v>
      </c>
      <c r="K18" s="27" t="n">
        <f aca="false">K15*INDEX(Assumptions!$C$119:$E$119,$B$3)/K16</f>
        <v>4.61538461538462</v>
      </c>
      <c r="L18" s="27" t="n">
        <f aca="false">L15*INDEX(Assumptions!$C$119:$E$119,$B$3)/L16</f>
        <v>4.61538461538462</v>
      </c>
      <c r="M18" s="27" t="n">
        <f aca="false">M15*INDEX(Assumptions!$C$119:$E$119,$B$3)/M16</f>
        <v>4.61538461538462</v>
      </c>
      <c r="N18" s="27" t="n">
        <f aca="false">N15*INDEX(Assumptions!$C$119:$E$119,$B$3)/N16</f>
        <v>4.61538461538462</v>
      </c>
      <c r="O18" s="35" t="n">
        <f aca="false">SUM(C18:N18)</f>
        <v>43.1538461538462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1.04110769230769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1.92989423076923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3.01538461538462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4.21538461538462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6.02307692307692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7.65384615384615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11.2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11.6307692307692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10.7692307692308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9.47692307692308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9.04615384615385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8.61538461538462</v>
      </c>
      <c r="O19" s="38" t="n">
        <f aca="false">SUM(C19:N19)</f>
        <v>84.6171557692308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0.624664615384616</v>
      </c>
      <c r="E24" s="6" t="n">
        <f aca="false">D27+C27+D30+C30+1.25*D28</f>
        <v>1.90753407692308</v>
      </c>
      <c r="F24" s="6" t="n">
        <f aca="false">E27+D27+E30+D30+1.25*E28</f>
        <v>3.32368753846154</v>
      </c>
      <c r="G24" s="6" t="n">
        <f aca="false">F27+E27+F30+E30+1.25*F28</f>
        <v>4.931895</v>
      </c>
      <c r="H24" s="6" t="n">
        <f aca="false">G27+F27+G30+F30+1.25*G28</f>
        <v>7.01076923076923</v>
      </c>
      <c r="I24" s="6" t="n">
        <f aca="false">H27+G27+H30+G30+1.25*H28</f>
        <v>8.80826020027578</v>
      </c>
      <c r="J24" s="6" t="n">
        <f aca="false">I27+H27+I30+H30+1.25*I28</f>
        <v>12.2187667555777</v>
      </c>
      <c r="K24" s="6" t="n">
        <f aca="false">J27+I27+J30+I30+1.25*J28</f>
        <v>15.8526604014557</v>
      </c>
      <c r="L24" s="6" t="n">
        <f aca="false">K27+J27+K30+J30+1.25*K28</f>
        <v>15.5224429222238</v>
      </c>
      <c r="M24" s="6" t="n">
        <f aca="false">L27+K27+L30+K30+1.25*L28</f>
        <v>14.4257273097354</v>
      </c>
      <c r="N24" s="6" t="n">
        <f aca="false">M27+L27+M30+L30+1.25*M28</f>
        <v>12.3529766952038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1.04110769230769</v>
      </c>
      <c r="D25" s="6" t="n">
        <f aca="false">D19*(INDEX(Assumptions!$C$26:$E$26,$B$3)*(1-D23)+INDEX(Assumptions!$C$26:$E$26,$B$3)*D23*1.25+(1-INDEX(Assumptions!$C$26:$E$26,$B$3)))+C29*INDEX(Assumptions!$C$89:$E$89,$B$3)</f>
        <v>2.05482715384615</v>
      </c>
      <c r="E25" s="6" t="n">
        <f aca="false">E19*(INDEX(Assumptions!$C$26:$E$26,$B$3)*(1-E23)+INDEX(Assumptions!$C$26:$E$26,$B$3)*E23*1.25+(1-INDEX(Assumptions!$C$26:$E$26,$B$3)))+D29*INDEX(Assumptions!$C$89:$E$89,$B$3)</f>
        <v>3.24697192307692</v>
      </c>
      <c r="F25" s="6" t="n">
        <f aca="false">F19*(INDEX(Assumptions!$C$26:$E$26,$B$3)*(1-F23)+INDEX(Assumptions!$C$26:$E$26,$B$3)*F23*1.25+(1-INDEX(Assumptions!$C$26:$E$26,$B$3)))+E29*INDEX(Assumptions!$C$89:$E$89,$B$3)</f>
        <v>4.57723076923077</v>
      </c>
      <c r="G25" s="6" t="n">
        <f aca="false">G19*(INDEX(Assumptions!$C$26:$E$26,$B$3)*(1-G23)+INDEX(Assumptions!$C$26:$E$26,$B$3)*G23*1.25+(1-INDEX(Assumptions!$C$26:$E$26,$B$3)))+F29*INDEX(Assumptions!$C$89:$E$89,$B$3)</f>
        <v>6.52892307692308</v>
      </c>
      <c r="H25" s="6" t="n">
        <f aca="false">H19*(INDEX(Assumptions!$C$26:$E$26,$B$3)*(1-H23)+INDEX(Assumptions!$C$26:$E$26,$B$3)*H23*1.25+(1-INDEX(Assumptions!$C$26:$E$26,$B$3)))+G29*INDEX(Assumptions!$C$89:$E$89,$B$3)</f>
        <v>8.37661538461538</v>
      </c>
      <c r="I25" s="6" t="n">
        <f aca="false">I19*(INDEX(Assumptions!$C$26:$E$26,$B$3)*(1-I23)+INDEX(Assumptions!$C$26:$E$26,$B$3)*I23*1.25+(1-INDEX(Assumptions!$C$26:$E$26,$B$3)))+H29*INDEX(Assumptions!$C$89:$E$89,$B$3)</f>
        <v>12.0101988629942</v>
      </c>
      <c r="J25" s="6" t="n">
        <f aca="false">J19*(INDEX(Assumptions!$C$26:$E$26,$B$3)*(1-J23)+INDEX(Assumptions!$C$26:$E$26,$B$3)*J23*1.25+(1-INDEX(Assumptions!$C$26:$E$26,$B$3)))+I29*INDEX(Assumptions!$C$89:$E$89,$B$3)</f>
        <v>12.9747692307692</v>
      </c>
      <c r="K25" s="6" t="n">
        <f aca="false">K19*(INDEX(Assumptions!$C$26:$E$26,$B$3)*(1-K23)+INDEX(Assumptions!$C$26:$E$26,$B$3)*K23*1.25+(1-INDEX(Assumptions!$C$26:$E$26,$B$3)))+J29*INDEX(Assumptions!$C$89:$E$89,$B$3)</f>
        <v>12.1649230769231</v>
      </c>
      <c r="L25" s="6" t="n">
        <f aca="false">L19*(INDEX(Assumptions!$C$26:$E$26,$B$3)*(1-L23)+INDEX(Assumptions!$C$26:$E$26,$B$3)*L23*1.25+(1-INDEX(Assumptions!$C$26:$E$26,$B$3)))+K29*INDEX(Assumptions!$C$89:$E$89,$B$3)</f>
        <v>11.0165151567423</v>
      </c>
      <c r="M25" s="6" t="n">
        <f aca="false">M19*(INDEX(Assumptions!$C$26:$E$26,$B$3)*(1-M23)+INDEX(Assumptions!$C$26:$E$26,$B$3)*M23*1.25+(1-INDEX(Assumptions!$C$26:$E$26,$B$3)))+L29*INDEX(Assumptions!$C$89:$E$89,$B$3)</f>
        <v>10.5226153846154</v>
      </c>
      <c r="N25" s="6" t="n">
        <f aca="false">N19*(INDEX(Assumptions!$C$26:$E$26,$B$3)*(1-N23)+INDEX(Assumptions!$C$26:$E$26,$B$3)*N23*1.25+(1-INDEX(Assumptions!$C$26:$E$26,$B$3)))+M29*INDEX(Assumptions!$C$89:$E$89,$B$3)</f>
        <v>10.024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0.882126065236556</v>
      </c>
      <c r="I26" s="7" t="n">
        <f aca="false">IF(I25&lt;=0,1,MAX(0,MIN(1,(I22-I24)/I25)))</f>
        <v>1</v>
      </c>
      <c r="J26" s="7" t="n">
        <f aca="false">IF(J25&lt;=0,1,MAX(0,MIN(1,(J22-J24)/J25)))</f>
        <v>1</v>
      </c>
      <c r="K26" s="7" t="n">
        <f aca="false">IF(K25&lt;=0,1,MAX(0,MIN(1,(K22-K24)/K25)))</f>
        <v>0.916351014145813</v>
      </c>
      <c r="L26" s="7" t="n">
        <f aca="false">IF(L25&lt;=0,1,MAX(0,MIN(1,(L22-L24)/L25)))</f>
        <v>1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0.882126065236556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0.624664615384616</v>
      </c>
      <c r="D27" s="35" t="n">
        <f aca="false">D19*INDEX(Assumptions!$C$26:$E$26,$B$3)*(1-D23)*D26</f>
        <v>1.15793653846154</v>
      </c>
      <c r="E27" s="35" t="n">
        <f aca="false">E19*INDEX(Assumptions!$C$26:$E$26,$B$3)*(1-E23)*E26</f>
        <v>1.80923076923077</v>
      </c>
      <c r="F27" s="35" t="n">
        <f aca="false">F19*INDEX(Assumptions!$C$26:$E$26,$B$3)*(1-F23)*F26</f>
        <v>2.52923076923077</v>
      </c>
      <c r="G27" s="35" t="n">
        <f aca="false">G19*INDEX(Assumptions!$C$26:$E$26,$B$3)*(1-G23)*G26</f>
        <v>3.61384615384615</v>
      </c>
      <c r="H27" s="35" t="n">
        <f aca="false">H19*INDEX(Assumptions!$C$26:$E$26,$B$3)*(1-H23)*H26</f>
        <v>4.05099431497095</v>
      </c>
      <c r="I27" s="35" t="n">
        <f aca="false">I19*INDEX(Assumptions!$C$26:$E$26,$B$3)*(1-I23)*I26</f>
        <v>6.72</v>
      </c>
      <c r="J27" s="35" t="n">
        <f aca="false">J19*INDEX(Assumptions!$C$26:$E$26,$B$3)*(1-J23)*J26</f>
        <v>6.97846153846154</v>
      </c>
      <c r="K27" s="35" t="n">
        <f aca="false">K19*INDEX(Assumptions!$C$26:$E$26,$B$3)*(1-K23)*K26</f>
        <v>5.92103732217295</v>
      </c>
      <c r="L27" s="35" t="n">
        <f aca="false">L19*INDEX(Assumptions!$C$26:$E$26,$B$3)*(1-L23)*L26</f>
        <v>4.26461538461539</v>
      </c>
      <c r="M27" s="35" t="n">
        <f aca="false">M19*INDEX(Assumptions!$C$26:$E$26,$B$3)*(1-M23)*M26</f>
        <v>4.07076923076923</v>
      </c>
      <c r="N27" s="35" t="n">
        <f aca="false">N19*INDEX(Assumptions!$C$26:$E$26,$B$3)*(1-N23)*N26</f>
        <v>3.87692307692308</v>
      </c>
      <c r="O27" s="38" t="n">
        <f aca="false">SUM(C27:N27)</f>
        <v>45.617709714067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1.42153846153846</v>
      </c>
      <c r="M28" s="27" t="n">
        <f aca="false">M19*INDEX(Assumptions!$C$26:$E$26,$B$3)*M23*M26</f>
        <v>1.35692307692308</v>
      </c>
      <c r="N28" s="27" t="n">
        <f aca="false">N19*INDEX(Assumptions!$C$26:$E$26,$B$3)*N23*N26</f>
        <v>1.29230769230769</v>
      </c>
      <c r="O28" s="35" t="n">
        <f aca="false">SUM(C28:N28)</f>
        <v>4.07076923076923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0.416443076923077</v>
      </c>
      <c r="D29" s="27" t="n">
        <f aca="false">D19*(1-INDEX(Assumptions!$C$26:$E$26,$B$3))*D26</f>
        <v>0.771957692307692</v>
      </c>
      <c r="E29" s="27" t="n">
        <f aca="false">E19*(1-INDEX(Assumptions!$C$26:$E$26,$B$3))*E26</f>
        <v>1.20615384615385</v>
      </c>
      <c r="F29" s="27" t="n">
        <f aca="false">F19*(1-INDEX(Assumptions!$C$26:$E$26,$B$3))*F26</f>
        <v>1.68615384615385</v>
      </c>
      <c r="G29" s="27" t="n">
        <f aca="false">G19*(1-INDEX(Assumptions!$C$26:$E$26,$B$3))*G26</f>
        <v>2.40923076923077</v>
      </c>
      <c r="H29" s="27" t="n">
        <f aca="false">H19*(1-INDEX(Assumptions!$C$26:$E$26,$B$3))*H26</f>
        <v>2.7006628766473</v>
      </c>
      <c r="I29" s="27" t="n">
        <f aca="false">I19*(1-INDEX(Assumptions!$C$26:$E$26,$B$3))*I26</f>
        <v>4.48</v>
      </c>
      <c r="J29" s="27" t="n">
        <f aca="false">J19*(1-INDEX(Assumptions!$C$26:$E$26,$B$3))*J26</f>
        <v>4.65230769230769</v>
      </c>
      <c r="K29" s="27" t="n">
        <f aca="false">K19*(1-INDEX(Assumptions!$C$26:$E$26,$B$3))*K26</f>
        <v>3.94735821478196</v>
      </c>
      <c r="L29" s="27" t="n">
        <f aca="false">L19*(1-INDEX(Assumptions!$C$26:$E$26,$B$3))*L26</f>
        <v>3.79076923076923</v>
      </c>
      <c r="M29" s="27" t="n">
        <f aca="false">M19*(1-INDEX(Assumptions!$C$26:$E$26,$B$3))*M26</f>
        <v>3.61846153846154</v>
      </c>
      <c r="N29" s="27" t="n">
        <f aca="false">N19*(1-INDEX(Assumptions!$C$26:$E$26,$B$3))*N26</f>
        <v>3.44615384615385</v>
      </c>
      <c r="O29" s="35" t="n">
        <f aca="false">SUM(C29:N29)</f>
        <v>33.1256526298908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0.124932923076923</v>
      </c>
      <c r="E30" s="27" t="n">
        <f aca="false">D29*INDEX(Assumptions!$C$89:$E$89,$B$3)*E26</f>
        <v>0.231587307692308</v>
      </c>
      <c r="F30" s="27" t="n">
        <f aca="false">E29*INDEX(Assumptions!$C$89:$E$89,$B$3)*F26</f>
        <v>0.361846153846154</v>
      </c>
      <c r="G30" s="27" t="n">
        <f aca="false">F29*INDEX(Assumptions!$C$89:$E$89,$B$3)*G26</f>
        <v>0.505846153846154</v>
      </c>
      <c r="H30" s="27" t="n">
        <f aca="false">G29*INDEX(Assumptions!$C$89:$E$89,$B$3)*H26</f>
        <v>0.637573577612514</v>
      </c>
      <c r="I30" s="27" t="n">
        <f aca="false">H29*INDEX(Assumptions!$C$89:$E$89,$B$3)*I26</f>
        <v>0.810198862994191</v>
      </c>
      <c r="J30" s="27" t="n">
        <f aca="false">I29*INDEX(Assumptions!$C$89:$E$89,$B$3)*J26</f>
        <v>1.344</v>
      </c>
      <c r="K30" s="27" t="n">
        <f aca="false">J29*INDEX(Assumptions!$C$89:$E$89,$B$3)*K26</f>
        <v>1.27894406158936</v>
      </c>
      <c r="L30" s="27" t="n">
        <f aca="false">K29*INDEX(Assumptions!$C$89:$E$89,$B$3)*L26</f>
        <v>1.18420746443459</v>
      </c>
      <c r="M30" s="27" t="n">
        <f aca="false">L29*INDEX(Assumptions!$C$89:$E$89,$B$3)*M26</f>
        <v>1.13723076923077</v>
      </c>
      <c r="N30" s="27" t="n">
        <f aca="false">M29*INDEX(Assumptions!$C$89:$E$89,$B$3)*N26</f>
        <v>1.08553846153846</v>
      </c>
      <c r="O30" s="35" t="n">
        <f aca="false">SUM(C30:N30)</f>
        <v>8.70190573586142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1.04110769230769</v>
      </c>
      <c r="D31" s="35" t="n">
        <f aca="false">D27+D28+D29</f>
        <v>1.92989423076923</v>
      </c>
      <c r="E31" s="35" t="n">
        <f aca="false">E27+E28+E29</f>
        <v>3.01538461538462</v>
      </c>
      <c r="F31" s="35" t="n">
        <f aca="false">F27+F28+F29</f>
        <v>4.21538461538462</v>
      </c>
      <c r="G31" s="35" t="n">
        <f aca="false">G27+G28+G29</f>
        <v>6.02307692307692</v>
      </c>
      <c r="H31" s="35" t="n">
        <f aca="false">H27+H28+H29</f>
        <v>6.75165719161826</v>
      </c>
      <c r="I31" s="35" t="n">
        <f aca="false">I27+I28+I29</f>
        <v>11.2</v>
      </c>
      <c r="J31" s="35" t="n">
        <f aca="false">J27+J28+J29</f>
        <v>11.6307692307692</v>
      </c>
      <c r="K31" s="35" t="n">
        <f aca="false">K27+K28+K29</f>
        <v>9.86839553695491</v>
      </c>
      <c r="L31" s="35" t="n">
        <f aca="false">L27+L28+L29</f>
        <v>9.47692307692308</v>
      </c>
      <c r="M31" s="35" t="n">
        <f aca="false">M27+M28+M29</f>
        <v>9.04615384615385</v>
      </c>
      <c r="N31" s="35" t="n">
        <f aca="false">N27+N28+N29</f>
        <v>8.61538461538462</v>
      </c>
      <c r="O31" s="38" t="n">
        <f aca="false">SUM(C31:N31)</f>
        <v>82.814131574727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0.260276923076923</v>
      </c>
      <c r="D32" s="27" t="n">
        <f aca="false">D31*INDEX(Assumptions!$C$74:$E$74,$B$3)</f>
        <v>0.482473557692308</v>
      </c>
      <c r="E32" s="27" t="n">
        <f aca="false">E31*INDEX(Assumptions!$C$74:$E$74,$B$3)</f>
        <v>0.753846153846154</v>
      </c>
      <c r="F32" s="27" t="n">
        <f aca="false">F31*INDEX(Assumptions!$C$74:$E$74,$B$3)</f>
        <v>1.05384615384615</v>
      </c>
      <c r="G32" s="27" t="n">
        <f aca="false">G31*INDEX(Assumptions!$C$74:$E$74,$B$3)</f>
        <v>1.50576923076923</v>
      </c>
      <c r="H32" s="27" t="n">
        <f aca="false">H31*INDEX(Assumptions!$C$74:$E$74,$B$3)</f>
        <v>1.68791429790456</v>
      </c>
      <c r="I32" s="27" t="n">
        <f aca="false">I31*INDEX(Assumptions!$C$74:$E$74,$B$3)</f>
        <v>2.8</v>
      </c>
      <c r="J32" s="27" t="n">
        <f aca="false">J31*INDEX(Assumptions!$C$74:$E$74,$B$3)</f>
        <v>2.90769230769231</v>
      </c>
      <c r="K32" s="27" t="n">
        <f aca="false">K31*INDEX(Assumptions!$C$74:$E$74,$B$3)</f>
        <v>2.46709888423873</v>
      </c>
      <c r="L32" s="27" t="n">
        <f aca="false">L31*INDEX(Assumptions!$C$74:$E$74,$B$3)</f>
        <v>2.36923076923077</v>
      </c>
      <c r="M32" s="27" t="n">
        <f aca="false">M31*INDEX(Assumptions!$C$74:$E$74,$B$3)</f>
        <v>2.26153846153846</v>
      </c>
      <c r="N32" s="27" t="n">
        <f aca="false">N31*INDEX(Assumptions!$C$74:$E$74,$B$3)</f>
        <v>2.15384615384615</v>
      </c>
      <c r="O32" s="35" t="n">
        <f aca="false">SUM(C32:N32)</f>
        <v>20.7035328936818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1.04110769230769</v>
      </c>
      <c r="D33" s="6" t="n">
        <f aca="false">D24+D27+D30+D29+1.25*D28</f>
        <v>2.67949176923077</v>
      </c>
      <c r="E33" s="6" t="n">
        <f aca="false">E24+E27+E30+E29+1.25*E28</f>
        <v>5.154506</v>
      </c>
      <c r="F33" s="6" t="n">
        <f aca="false">F24+F27+F30+F29+1.25*F28</f>
        <v>7.90091830769231</v>
      </c>
      <c r="G33" s="6" t="n">
        <f aca="false">G24+G27+G30+G29+1.25*G28</f>
        <v>11.4608180769231</v>
      </c>
      <c r="H33" s="6" t="n">
        <f aca="false">H24+H27+H30+H29+1.25*H28</f>
        <v>14.4</v>
      </c>
      <c r="I33" s="6" t="n">
        <f aca="false">I24+I27+I30+I29+1.25*I28</f>
        <v>20.81845906327</v>
      </c>
      <c r="J33" s="6" t="n">
        <f aca="false">J24+J27+J30+J29+1.25*J28</f>
        <v>25.1935359863469</v>
      </c>
      <c r="K33" s="6" t="n">
        <f aca="false">K24+K27+K30+K29+1.25*K28</f>
        <v>27</v>
      </c>
      <c r="L33" s="6" t="n">
        <f aca="false">L24+L27+L30+L29+1.25*L28</f>
        <v>26.5389580789661</v>
      </c>
      <c r="M33" s="6" t="n">
        <f aca="false">M24+M27+M30+M29+1.25*M28</f>
        <v>24.9483426943507</v>
      </c>
      <c r="N33" s="6" t="n">
        <f aca="false">N24+N27+N30+N29+1.25*N28</f>
        <v>22.3769766952038</v>
      </c>
      <c r="O33" s="39" t="n">
        <f aca="false">AVERAGE(C33:N33)</f>
        <v>15.7927595303576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0.0650692307692308</v>
      </c>
      <c r="D34" s="36" t="n">
        <f aca="false">D33/(D20*D21)</f>
        <v>0.167468235576923</v>
      </c>
      <c r="E34" s="36" t="n">
        <f aca="false">E33/(E20*E21)</f>
        <v>0.322156625</v>
      </c>
      <c r="F34" s="36" t="n">
        <f aca="false">F33/(F20*F21)</f>
        <v>0.493807394230769</v>
      </c>
      <c r="G34" s="36" t="n">
        <f aca="false">G33/(G20*G21)</f>
        <v>0.716301129807692</v>
      </c>
      <c r="H34" s="36" t="n">
        <f aca="false">H33/(H20*H21)</f>
        <v>0.9</v>
      </c>
      <c r="I34" s="36" t="n">
        <f aca="false">I33/(I20*I21)</f>
        <v>0.693948635442332</v>
      </c>
      <c r="J34" s="36" t="n">
        <f aca="false">J33/(J20*J21)</f>
        <v>0.83978453287823</v>
      </c>
      <c r="K34" s="36" t="n">
        <f aca="false">K33/(K20*K21)</f>
        <v>0.9</v>
      </c>
      <c r="L34" s="36" t="n">
        <f aca="false">L33/(L20*L21)</f>
        <v>0.884631935965538</v>
      </c>
      <c r="M34" s="36" t="n">
        <f aca="false">M33/(M20*M21)</f>
        <v>0.831611423145025</v>
      </c>
      <c r="N34" s="36" t="n">
        <f aca="false">N33/(N20*N21)</f>
        <v>0.745899223173461</v>
      </c>
      <c r="O34" s="30" t="n">
        <f aca="false">N34</f>
        <v>0.745899223173461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0</v>
      </c>
      <c r="K35" s="8" t="n">
        <f aca="false">IF(K26&lt;0.999,1,0)</f>
        <v>1</v>
      </c>
      <c r="L35" s="8" t="n">
        <f aca="false">IF(L26&lt;0.999,1,0)</f>
        <v>0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2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0.976648867080387</v>
      </c>
      <c r="D39" s="6" t="n">
        <f aca="false">D19*INDEX(Assumptions!$C$31:$E$31,$B$3)/(INDEX(Assumptions!$C$56:$E$56,$B$3)*INDEX(Assumptions!$C$57:$E$57,$B$3)*INDEX(Assumptions!$C$58:$E$58,$B$3))</f>
        <v>1.81040734593736</v>
      </c>
      <c r="E39" s="6" t="n">
        <f aca="false">E19*INDEX(Assumptions!$C$31:$E$31,$B$3)/(INDEX(Assumptions!$C$56:$E$56,$B$3)*INDEX(Assumptions!$C$57:$E$57,$B$3)*INDEX(Assumptions!$C$58:$E$58,$B$3))</f>
        <v>2.82869100880358</v>
      </c>
      <c r="F39" s="6" t="n">
        <f aca="false">F19*INDEX(Assumptions!$C$31:$E$31,$B$3)/(INDEX(Assumptions!$C$56:$E$56,$B$3)*INDEX(Assumptions!$C$57:$E$57,$B$3)*INDEX(Assumptions!$C$58:$E$58,$B$3))</f>
        <v>3.95439457353153</v>
      </c>
      <c r="G39" s="6" t="n">
        <f aca="false">G19*INDEX(Assumptions!$C$31:$E$31,$B$3)/(INDEX(Assumptions!$C$56:$E$56,$B$3)*INDEX(Assumptions!$C$57:$E$57,$B$3)*INDEX(Assumptions!$C$58:$E$58,$B$3))</f>
        <v>5.65016596911531</v>
      </c>
      <c r="H39" s="6" t="n">
        <f aca="false">H19*INDEX(Assumptions!$C$31:$E$31,$B$3)/(INDEX(Assumptions!$C$56:$E$56,$B$3)*INDEX(Assumptions!$C$57:$E$57,$B$3)*INDEX(Assumptions!$C$58:$E$58,$B$3))</f>
        <v>7.17996824938664</v>
      </c>
      <c r="I39" s="6" t="n">
        <f aca="false">I19*INDEX(Assumptions!$C$31:$E$31,$B$3)/(INDEX(Assumptions!$C$56:$E$56,$B$3)*INDEX(Assumptions!$C$57:$E$57,$B$3)*INDEX(Assumptions!$C$58:$E$58,$B$3))</f>
        <v>10.5065666041276</v>
      </c>
      <c r="J39" s="6" t="n">
        <f aca="false">J19*INDEX(Assumptions!$C$31:$E$31,$B$3)/(INDEX(Assumptions!$C$56:$E$56,$B$3)*INDEX(Assumptions!$C$57:$E$57,$B$3)*INDEX(Assumptions!$C$58:$E$58,$B$3))</f>
        <v>10.9106653196709</v>
      </c>
      <c r="K39" s="6" t="n">
        <f aca="false">K19*INDEX(Assumptions!$C$31:$E$31,$B$3)/(INDEX(Assumptions!$C$56:$E$56,$B$3)*INDEX(Assumptions!$C$57:$E$57,$B$3)*INDEX(Assumptions!$C$58:$E$58,$B$3))</f>
        <v>10.1024678885842</v>
      </c>
      <c r="L39" s="6" t="n">
        <f aca="false">L19*INDEX(Assumptions!$C$31:$E$31,$B$3)/(INDEX(Assumptions!$C$56:$E$56,$B$3)*INDEX(Assumptions!$C$57:$E$57,$B$3)*INDEX(Assumptions!$C$58:$E$58,$B$3))</f>
        <v>8.89017174195411</v>
      </c>
      <c r="M39" s="6" t="n">
        <f aca="false">M19*INDEX(Assumptions!$C$31:$E$31,$B$3)/(INDEX(Assumptions!$C$56:$E$56,$B$3)*INDEX(Assumptions!$C$57:$E$57,$B$3)*INDEX(Assumptions!$C$58:$E$58,$B$3))</f>
        <v>8.48607302641074</v>
      </c>
      <c r="N39" s="6" t="n">
        <f aca="false">N19*INDEX(Assumptions!$C$31:$E$31,$B$3)/(INDEX(Assumptions!$C$56:$E$56,$B$3)*INDEX(Assumptions!$C$57:$E$57,$B$3)*INDEX(Assumptions!$C$58:$E$58,$B$3))</f>
        <v>8.08197431086737</v>
      </c>
      <c r="O39" s="39" t="n">
        <f aca="false">SUM(C39:N39)</f>
        <v>79.3781949054698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31762.6075619296</v>
      </c>
      <c r="D47" s="8" t="n">
        <f aca="false">D27*D44/(1+INDEX(Assumptions!$C$15:$E$15,$B$3)*$H$4)</f>
        <v>58878.1290743155</v>
      </c>
      <c r="E47" s="8" t="n">
        <f aca="false">E27*E44/(1+INDEX(Assumptions!$C$15:$E$15,$B$3)*$H$4)</f>
        <v>91994.7848761408</v>
      </c>
      <c r="F47" s="8" t="n">
        <f aca="false">F27*F44/(1+INDEX(Assumptions!$C$15:$E$15,$B$3)*$H$4)</f>
        <v>128604.954367666</v>
      </c>
      <c r="G47" s="8" t="n">
        <f aca="false">G27*G44/(1+INDEX(Assumptions!$C$15:$E$15,$B$3)*$H$4)</f>
        <v>183754.889178618</v>
      </c>
      <c r="H47" s="8" t="n">
        <f aca="false">H27*H44/(1+INDEX(Assumptions!$C$15:$E$15,$B$3)*$H$4)</f>
        <v>205982.761778184</v>
      </c>
      <c r="I47" s="8" t="n">
        <f aca="false">I27*I44/(1+INDEX(Assumptions!$C$15:$E$15,$B$3)*$H$4)</f>
        <v>455593.220338983</v>
      </c>
      <c r="J47" s="8" t="n">
        <f aca="false">J27*J44/(1+INDEX(Assumptions!$C$15:$E$15,$B$3)*$H$4)</f>
        <v>473116.036505867</v>
      </c>
      <c r="K47" s="8" t="n">
        <f aca="false">K27*K44/(1+INDEX(Assumptions!$C$15:$E$15,$B$3)*$H$4)</f>
        <v>401426.259130369</v>
      </c>
      <c r="L47" s="8" t="n">
        <f aca="false">L27*L44/(1+INDEX(Assumptions!$C$15:$E$15,$B$3)*$H$4)</f>
        <v>289126.466753586</v>
      </c>
      <c r="M47" s="8" t="n">
        <f aca="false">M27*M44/(1+INDEX(Assumptions!$C$15:$E$15,$B$3)*$H$4)</f>
        <v>275984.354628423</v>
      </c>
      <c r="N47" s="8" t="n">
        <f aca="false">N27*N44/(1+INDEX(Assumptions!$C$15:$E$15,$B$3)*$H$4)</f>
        <v>262842.24250326</v>
      </c>
      <c r="O47" s="37" t="n">
        <f aca="false">SUM(C47:N47)</f>
        <v>2859066.70669734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96375.4889178618</v>
      </c>
      <c r="M48" s="8" t="n">
        <f aca="false">M28*M44/(1+INDEX(Assumptions!$C$15:$E$15,$B$3)*$H$4)</f>
        <v>91994.7848761408</v>
      </c>
      <c r="N48" s="8" t="n">
        <f aca="false">N28*N44/(1+INDEX(Assumptions!$C$15:$E$15,$B$3)*$H$4)</f>
        <v>87614.0808344198</v>
      </c>
      <c r="O48" s="37" t="n">
        <f aca="false">SUM(C48:N48)</f>
        <v>275984.354628423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2128.09470664928</v>
      </c>
      <c r="E49" s="8" t="n">
        <f aca="false">E30*MAX(0,E44-INDEX(Assumptions!$C$18:$E$18,$B$3)*$H$3)/(1+INDEX(Assumptions!$C$15:$E$15,$B$3)*$H$4)</f>
        <v>3944.83464797914</v>
      </c>
      <c r="F49" s="8" t="n">
        <f aca="false">F30*MAX(0,F44-INDEX(Assumptions!$C$18:$E$18,$B$3)*$H$3)/(1+INDEX(Assumptions!$C$15:$E$15,$B$3)*$H$4)</f>
        <v>6163.65058670144</v>
      </c>
      <c r="G49" s="8" t="n">
        <f aca="false">G30*MAX(0,G44-INDEX(Assumptions!$C$18:$E$18,$B$3)*$H$3)/(1+INDEX(Assumptions!$C$15:$E$15,$B$3)*$H$4)</f>
        <v>8616.53194263364</v>
      </c>
      <c r="H49" s="8" t="n">
        <f aca="false">H30*MAX(0,H44-INDEX(Assumptions!$C$18:$E$18,$B$3)*$H$3)/(1+INDEX(Assumptions!$C$15:$E$15,$B$3)*$H$4)</f>
        <v>10860.3634830606</v>
      </c>
      <c r="I49" s="8" t="n">
        <f aca="false">I30*MAX(0,I44-INDEX(Assumptions!$C$18:$E$18,$B$3)*$H$3)/(1+INDEX(Assumptions!$C$15:$E$15,$B$3)*$H$4)</f>
        <v>27533.0291576839</v>
      </c>
      <c r="J49" s="8" t="n">
        <f aca="false">J30*MAX(0,J44-INDEX(Assumptions!$C$18:$E$18,$B$3)*$H$3)/(1+INDEX(Assumptions!$C$15:$E$15,$B$3)*$H$4)</f>
        <v>45673.2203389831</v>
      </c>
      <c r="K49" s="8" t="n">
        <f aca="false">K30*MAX(0,K44-INDEX(Assumptions!$C$18:$E$18,$B$3)*$H$3)/(1+INDEX(Assumptions!$C$15:$E$15,$B$3)*$H$4)</f>
        <v>43462.4210760451</v>
      </c>
      <c r="L49" s="8" t="n">
        <f aca="false">L30*MAX(0,L44-INDEX(Assumptions!$C$18:$E$18,$B$3)*$H$3)/(1+INDEX(Assumptions!$C$15:$E$15,$B$3)*$H$4)</f>
        <v>40242.9824778195</v>
      </c>
      <c r="M49" s="8" t="n">
        <f aca="false">M30*MAX(0,M44-INDEX(Assumptions!$C$18:$E$18,$B$3)*$H$3)/(1+INDEX(Assumptions!$C$15:$E$15,$B$3)*$H$4)</f>
        <v>38646.5710560626</v>
      </c>
      <c r="N49" s="8" t="n">
        <f aca="false">N30*MAX(0,N44-INDEX(Assumptions!$C$18:$E$18,$B$3)*$H$3)/(1+INDEX(Assumptions!$C$15:$E$15,$B$3)*$H$4)</f>
        <v>36889.9087353325</v>
      </c>
      <c r="O49" s="37" t="n">
        <f aca="false">SUM(C49:N49)</f>
        <v>264161.608208951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14081.4226857888</v>
      </c>
      <c r="D50" s="8" t="n">
        <f aca="false">D29*INDEX(Assumptions!$C$18:$E$18,$B$3)*$H$3/(1+INDEX(Assumptions!$C$15:$E$15,$B$3)*$H$4)</f>
        <v>26102.6372229466</v>
      </c>
      <c r="E50" s="8" t="n">
        <f aca="false">E29*INDEX(Assumptions!$C$18:$E$18,$B$3)*$H$3/(1+INDEX(Assumptions!$C$15:$E$15,$B$3)*$H$4)</f>
        <v>40784.3546284224</v>
      </c>
      <c r="F50" s="8" t="n">
        <f aca="false">F29*INDEX(Assumptions!$C$18:$E$18,$B$3)*$H$3/(1+INDEX(Assumptions!$C$15:$E$15,$B$3)*$H$4)</f>
        <v>57014.8631029987</v>
      </c>
      <c r="G50" s="8" t="n">
        <f aca="false">G29*INDEX(Assumptions!$C$18:$E$18,$B$3)*$H$3/(1+INDEX(Assumptions!$C$15:$E$15,$B$3)*$H$4)</f>
        <v>81464.667535854</v>
      </c>
      <c r="H50" s="8" t="n">
        <f aca="false">H29*INDEX(Assumptions!$C$18:$E$18,$B$3)*$H$3/(1+INDEX(Assumptions!$C$15:$E$15,$B$3)*$H$4)</f>
        <v>91319.0243883283</v>
      </c>
      <c r="I50" s="8" t="n">
        <f aca="false">I29*INDEX(Assumptions!$C$18:$E$18,$B$3)*$H$3/(1+INDEX(Assumptions!$C$15:$E$15,$B$3)*$H$4)</f>
        <v>151484.745762712</v>
      </c>
      <c r="J50" s="8" t="n">
        <f aca="false">J29*INDEX(Assumptions!$C$18:$E$18,$B$3)*$H$3/(1+INDEX(Assumptions!$C$15:$E$15,$B$3)*$H$4)</f>
        <v>157311.082138201</v>
      </c>
      <c r="K50" s="8" t="n">
        <f aca="false">K29*INDEX(Assumptions!$C$18:$E$18,$B$3)*$H$3/(1+INDEX(Assumptions!$C$15:$E$15,$B$3)*$H$4)</f>
        <v>133474.231160848</v>
      </c>
      <c r="L50" s="8" t="n">
        <f aca="false">L29*INDEX(Assumptions!$C$18:$E$18,$B$3)*$H$3/(1+INDEX(Assumptions!$C$15:$E$15,$B$3)*$H$4)</f>
        <v>128179.400260756</v>
      </c>
      <c r="M50" s="8" t="n">
        <f aca="false">M29*INDEX(Assumptions!$C$18:$E$18,$B$3)*$H$3/(1+INDEX(Assumptions!$C$15:$E$15,$B$3)*$H$4)</f>
        <v>122353.063885267</v>
      </c>
      <c r="N50" s="8" t="n">
        <f aca="false">N29*INDEX(Assumptions!$C$18:$E$18,$B$3)*$H$3/(1+INDEX(Assumptions!$C$15:$E$15,$B$3)*$H$4)</f>
        <v>116526.727509778</v>
      </c>
      <c r="O50" s="37" t="n">
        <f aca="false">SUM(C50:N50)</f>
        <v>1120096.2202819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738.699626908278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1369.32246181151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2139.51304637106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2990.95191176363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4273.5681512973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5430.65173760002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7946.76274366394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8252.4074645741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7641.11802275379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6724.18386002334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6418.53913911319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6112.89441820303</v>
      </c>
      <c r="O51" s="37" t="n">
        <f aca="false">SUM(C51:N51)</f>
        <v>60038.6125840832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6451.2</v>
      </c>
      <c r="J56" s="8" t="n">
        <f aca="false">(J27+J28)*(1-J45)*INDEX(Assumptions!$C$90:$E$90,$B$3)</f>
        <v>6699.32307692308</v>
      </c>
      <c r="K56" s="8" t="n">
        <f aca="false">(K27+K28)*(1-K45)*INDEX(Assumptions!$C$90:$E$90,$B$3)</f>
        <v>5684.19582928603</v>
      </c>
      <c r="L56" s="8" t="n">
        <f aca="false">(L27+L28)*(1-L45)*INDEX(Assumptions!$C$90:$E$90,$B$3)</f>
        <v>5458.70769230769</v>
      </c>
      <c r="M56" s="8" t="n">
        <f aca="false">(M27+M28)*(1-M45)*INDEX(Assumptions!$C$90:$E$90,$B$3)</f>
        <v>5210.58461538462</v>
      </c>
      <c r="N56" s="8" t="n">
        <f aca="false">(N27+N28)*(1-N45)*INDEX(Assumptions!$C$90:$E$90,$B$3)</f>
        <v>4962.46153846154</v>
      </c>
      <c r="O56" s="37" t="n">
        <f aca="false">SUM(C56:N56)</f>
        <v>34466.472752363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76237.8146203894</v>
      </c>
      <c r="D57" s="37" t="n">
        <f aca="false">SUM(D47:D56)</f>
        <v>139315.471601316</v>
      </c>
      <c r="E57" s="37" t="n">
        <f aca="false">SUM(E47:E56)</f>
        <v>245949.726181964</v>
      </c>
      <c r="F57" s="37" t="n">
        <f aca="false">SUM(F47:F56)</f>
        <v>339045.626748791</v>
      </c>
      <c r="G57" s="37" t="n">
        <f aca="false">SUM(G47:G56)</f>
        <v>427792.526299928</v>
      </c>
      <c r="H57" s="37" t="n">
        <f aca="false">SUM(H47:H56)</f>
        <v>487751.31664141</v>
      </c>
      <c r="I57" s="37" t="n">
        <f aca="false">SUM(I47:I56)</f>
        <v>847643.119019992</v>
      </c>
      <c r="J57" s="37" t="n">
        <f aca="false">SUM(J47:J56)</f>
        <v>914161.876304209</v>
      </c>
      <c r="K57" s="37" t="n">
        <f aca="false">SUM(K47:K56)</f>
        <v>835123.455727777</v>
      </c>
      <c r="L57" s="37" t="n">
        <f aca="false">SUM(L47:L56)</f>
        <v>822251.782504727</v>
      </c>
      <c r="M57" s="37" t="n">
        <f aca="false">SUM(M47:M56)</f>
        <v>815816.433793611</v>
      </c>
      <c r="N57" s="37" t="n">
        <f aca="false">SUM(N47:N56)</f>
        <v>809220.834183523</v>
      </c>
      <c r="O57" s="31" t="n">
        <f aca="false">SUM(C57:N57)</f>
        <v>6760309.98362764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45844.0302477184</v>
      </c>
      <c r="D58" s="8" t="n">
        <f aca="false">D47+D48+D49+D50</f>
        <v>87108.8610039114</v>
      </c>
      <c r="E58" s="8" t="n">
        <f aca="false">E47+E48+E49+E50</f>
        <v>136723.974152542</v>
      </c>
      <c r="F58" s="8" t="n">
        <f aca="false">F47+F48+F49+F50</f>
        <v>191783.468057366</v>
      </c>
      <c r="G58" s="8" t="n">
        <f aca="false">G47+G48+G49+G50</f>
        <v>273836.088657106</v>
      </c>
      <c r="H58" s="8" t="n">
        <f aca="false">H47+H48+H49+H50</f>
        <v>308162.149649573</v>
      </c>
      <c r="I58" s="8" t="n">
        <f aca="false">I47+I48+I49+I50</f>
        <v>634610.995259379</v>
      </c>
      <c r="J58" s="8" t="n">
        <f aca="false">J47+J48+J49+J50</f>
        <v>676100.338983051</v>
      </c>
      <c r="K58" s="8" t="n">
        <f aca="false">K47+K48+K49+K50</f>
        <v>578362.911367262</v>
      </c>
      <c r="L58" s="8" t="n">
        <f aca="false">L47+L48+L49+L50</f>
        <v>553924.338410023</v>
      </c>
      <c r="M58" s="8" t="n">
        <f aca="false">M47+M48+M49+M50</f>
        <v>528978.774445893</v>
      </c>
      <c r="N58" s="8" t="n">
        <f aca="false">N47+N48+N49+N50</f>
        <v>503872.95958279</v>
      </c>
      <c r="O58" s="37" t="n">
        <f aca="false">SUM(C58:N58)</f>
        <v>4519308.88981662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3747.98769230769</v>
      </c>
      <c r="D60" s="8" t="n">
        <f aca="false">((D27+D30)*INDEX(Assumptions!$C$91:$E$91,$B$3)+D28*INDEX(Assumptions!$C$93:$E$93,$B$3))*$N$3</f>
        <v>7697.21676923077</v>
      </c>
      <c r="E60" s="8" t="n">
        <f aca="false">((E27+E30)*INDEX(Assumptions!$C$91:$E$91,$B$3)+E28*INDEX(Assumptions!$C$93:$E$93,$B$3))*$N$3</f>
        <v>12244.9084615385</v>
      </c>
      <c r="F60" s="8" t="n">
        <f aca="false">((F27+F30)*INDEX(Assumptions!$C$91:$E$91,$B$3)+F28*INDEX(Assumptions!$C$93:$E$93,$B$3))*$N$3</f>
        <v>17346.4615384615</v>
      </c>
      <c r="G60" s="8" t="n">
        <f aca="false">((G27+G30)*INDEX(Assumptions!$C$91:$E$91,$B$3)+G28*INDEX(Assumptions!$C$93:$E$93,$B$3))*$N$3</f>
        <v>24718.1538461538</v>
      </c>
      <c r="H60" s="8" t="n">
        <f aca="false">((H27+H30)*INDEX(Assumptions!$C$91:$E$91,$B$3)+H28*INDEX(Assumptions!$C$93:$E$93,$B$3))*$N$3</f>
        <v>28131.4073555008</v>
      </c>
      <c r="I60" s="8" t="n">
        <f aca="false">((I27+I30)*INDEX(Assumptions!$C$91:$E$91,$B$3)+I28*INDEX(Assumptions!$C$93:$E$93,$B$3))*$N$3</f>
        <v>45181.1931779652</v>
      </c>
      <c r="J60" s="8" t="n">
        <f aca="false">((J27+J30)*INDEX(Assumptions!$C$91:$E$91,$B$3)+J28*INDEX(Assumptions!$C$93:$E$93,$B$3))*$N$3</f>
        <v>49934.7692307692</v>
      </c>
      <c r="K60" s="8" t="n">
        <f aca="false">((K27+K30)*INDEX(Assumptions!$C$91:$E$91,$B$3)+K28*INDEX(Assumptions!$C$93:$E$93,$B$3))*$N$3</f>
        <v>43199.8883025738</v>
      </c>
      <c r="L60" s="8" t="n">
        <f aca="false">((L27+L30)*INDEX(Assumptions!$C$91:$E$91,$B$3)+L28*INDEX(Assumptions!$C$93:$E$93,$B$3))*$N$3</f>
        <v>43354.4755558383</v>
      </c>
      <c r="M60" s="8" t="n">
        <f aca="false">((M27+M30)*INDEX(Assumptions!$C$91:$E$91,$B$3)+M28*INDEX(Assumptions!$C$93:$E$93,$B$3))*$N$3</f>
        <v>41424.9230769231</v>
      </c>
      <c r="N60" s="8" t="n">
        <f aca="false">((N27+N30)*INDEX(Assumptions!$C$91:$E$91,$B$3)+N28*INDEX(Assumptions!$C$93:$E$93,$B$3))*$N$3</f>
        <v>39467.0769230769</v>
      </c>
      <c r="O60" s="37" t="n">
        <f aca="false">SUM(C60:N60)</f>
        <v>356448.46193034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7495.97538461539</v>
      </c>
      <c r="D61" s="8" t="n">
        <f aca="false">(D27+D28)*D45*INDEX(Assumptions!$C$14:$E$14,$B$3)*$N$3</f>
        <v>13895.2384615385</v>
      </c>
      <c r="E61" s="8" t="n">
        <f aca="false">(E27+E28)*E45*INDEX(Assumptions!$C$14:$E$14,$B$3)*$N$3</f>
        <v>21710.7692307692</v>
      </c>
      <c r="F61" s="8" t="n">
        <f aca="false">(F27+F28)*F45*INDEX(Assumptions!$C$14:$E$14,$B$3)*$N$3</f>
        <v>30350.7692307692</v>
      </c>
      <c r="G61" s="8" t="n">
        <f aca="false">(G27+G28)*G45*INDEX(Assumptions!$C$14:$E$14,$B$3)*$N$3</f>
        <v>43366.1538461538</v>
      </c>
      <c r="H61" s="8" t="n">
        <f aca="false">(H27+H28)*H45*INDEX(Assumptions!$C$14:$E$14,$B$3)*$N$3</f>
        <v>48611.9317796514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165430.837933498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832.886153846154</v>
      </c>
      <c r="D62" s="8" t="n">
        <f aca="false">D29*INDEX(Assumptions!$C$92:$E$92,$B$3)*$N$3</f>
        <v>1543.91538461538</v>
      </c>
      <c r="E62" s="8" t="n">
        <f aca="false">E29*INDEX(Assumptions!$C$92:$E$92,$B$3)*$N$3</f>
        <v>2412.30769230769</v>
      </c>
      <c r="F62" s="8" t="n">
        <f aca="false">F29*INDEX(Assumptions!$C$92:$E$92,$B$3)*$N$3</f>
        <v>3372.30769230769</v>
      </c>
      <c r="G62" s="8" t="n">
        <f aca="false">G29*INDEX(Assumptions!$C$92:$E$92,$B$3)*$N$3</f>
        <v>4818.46153846154</v>
      </c>
      <c r="H62" s="8" t="n">
        <f aca="false">H29*INDEX(Assumptions!$C$92:$E$92,$B$3)*$N$3</f>
        <v>5401.3257532946</v>
      </c>
      <c r="I62" s="8" t="n">
        <f aca="false">I29*INDEX(Assumptions!$C$92:$E$92,$B$3)*$N$3</f>
        <v>8960</v>
      </c>
      <c r="J62" s="8" t="n">
        <f aca="false">J29*INDEX(Assumptions!$C$92:$E$92,$B$3)*$N$3</f>
        <v>9304.61538461539</v>
      </c>
      <c r="K62" s="8" t="n">
        <f aca="false">K29*INDEX(Assumptions!$C$92:$E$92,$B$3)*$N$3</f>
        <v>7894.71642956393</v>
      </c>
      <c r="L62" s="8" t="n">
        <f aca="false">L29*INDEX(Assumptions!$C$92:$E$92,$B$3)*$N$3</f>
        <v>7581.53846153846</v>
      </c>
      <c r="M62" s="8" t="n">
        <f aca="false">M29*INDEX(Assumptions!$C$92:$E$92,$B$3)*$N$3</f>
        <v>7236.92307692308</v>
      </c>
      <c r="N62" s="8" t="n">
        <f aca="false">N29*INDEX(Assumptions!$C$92:$E$92,$B$3)*$N$3</f>
        <v>6892.30769230769</v>
      </c>
      <c r="O62" s="37" t="n">
        <f aca="false">SUM(C62:N62)</f>
        <v>66251.3052597816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3044.1622167701</v>
      </c>
      <c r="D63" s="8" t="n">
        <f aca="false">(D37*INDEX(Assumptions!$C$94:$E$94,$B$3)+D38*INDEX(Assumptions!$C$95:$E$95,$B$3)+D39*INDEX(Assumptions!$C$96:$E$96,$B$3))*$N$3</f>
        <v>5252.60183648434</v>
      </c>
      <c r="E63" s="8" t="n">
        <f aca="false">(E37*INDEX(Assumptions!$C$94:$E$94,$B$3)+E38*INDEX(Assumptions!$C$95:$E$95,$B$3)+E39*INDEX(Assumptions!$C$96:$E$96,$B$3))*$N$3</f>
        <v>11307.1727522009</v>
      </c>
      <c r="F63" s="8" t="n">
        <f aca="false">(F37*INDEX(Assumptions!$C$94:$E$94,$B$3)+F38*INDEX(Assumptions!$C$95:$E$95,$B$3)+F39*INDEX(Assumptions!$C$96:$E$96,$B$3))*$N$3</f>
        <v>15588.5986433829</v>
      </c>
      <c r="G63" s="8" t="n">
        <f aca="false">(G37*INDEX(Assumptions!$C$94:$E$94,$B$3)+G38*INDEX(Assumptions!$C$95:$E$95,$B$3)+G39*INDEX(Assumptions!$C$96:$E$96,$B$3))*$N$3</f>
        <v>17012.5414922788</v>
      </c>
      <c r="H63" s="8" t="n">
        <f aca="false">(H37*INDEX(Assumptions!$C$94:$E$94,$B$3)+H38*INDEX(Assumptions!$C$95:$E$95,$B$3)+H39*INDEX(Assumptions!$C$96:$E$96,$B$3))*$N$3</f>
        <v>20194.9920623467</v>
      </c>
      <c r="I63" s="8" t="n">
        <f aca="false">(I37*INDEX(Assumptions!$C$94:$E$94,$B$3)+I38*INDEX(Assumptions!$C$95:$E$95,$B$3)+I39*INDEX(Assumptions!$C$96:$E$96,$B$3))*$N$3</f>
        <v>23826.6416510319</v>
      </c>
      <c r="J63" s="8" t="n">
        <f aca="false">(J37*INDEX(Assumptions!$C$94:$E$94,$B$3)+J38*INDEX(Assumptions!$C$95:$E$95,$B$3)+J39*INDEX(Assumptions!$C$96:$E$96,$B$3))*$N$3</f>
        <v>26727.6663299177</v>
      </c>
      <c r="K63" s="8" t="n">
        <f aca="false">(K37*INDEX(Assumptions!$C$94:$E$94,$B$3)+K38*INDEX(Assumptions!$C$95:$E$95,$B$3)+K39*INDEX(Assumptions!$C$96:$E$96,$B$3))*$N$3</f>
        <v>26525.6169721461</v>
      </c>
      <c r="L63" s="8" t="n">
        <f aca="false">(L37*INDEX(Assumptions!$C$94:$E$94,$B$3)+L38*INDEX(Assumptions!$C$95:$E$95,$B$3)+L39*INDEX(Assumptions!$C$96:$E$96,$B$3))*$N$3</f>
        <v>27422.5429354885</v>
      </c>
      <c r="M63" s="8" t="n">
        <f aca="false">(M37*INDEX(Assumptions!$C$94:$E$94,$B$3)+M38*INDEX(Assumptions!$C$95:$E$95,$B$3)+M39*INDEX(Assumptions!$C$96:$E$96,$B$3))*$N$3</f>
        <v>29121.5182566027</v>
      </c>
      <c r="N63" s="8" t="n">
        <f aca="false">(N37*INDEX(Assumptions!$C$94:$E$94,$B$3)+N38*INDEX(Assumptions!$C$95:$E$95,$B$3)+N39*INDEX(Assumptions!$C$96:$E$96,$B$3))*$N$3</f>
        <v>30820.4935777168</v>
      </c>
      <c r="O63" s="37" t="n">
        <f aca="false">SUM(C63:N63)</f>
        <v>236844.548726367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2455.11027119504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4547.62365086798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7785.56668106743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10784.4484835792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14068.3734668322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15988.741609382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29980.934660978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32287.2184346255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28895.864801438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28196.7750398939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27650.0887606062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27096.3113790388</v>
      </c>
      <c r="O66" s="37" t="n">
        <f aca="false">SUM(C66:N66)</f>
        <v>229737.057239504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624.664615384616</v>
      </c>
      <c r="D67" s="8" t="n">
        <f aca="false">D31*INDEX(Assumptions!$C$198:$E$198,$B$3)*INDEX(Assumptions!$C$69:$E$69,$B$3)</f>
        <v>1157.93653846154</v>
      </c>
      <c r="E67" s="8" t="n">
        <f aca="false">E31*INDEX(Assumptions!$C$198:$E$198,$B$3)*INDEX(Assumptions!$C$69:$E$69,$B$3)</f>
        <v>1809.23076923077</v>
      </c>
      <c r="F67" s="8" t="n">
        <f aca="false">F31*INDEX(Assumptions!$C$198:$E$198,$B$3)*INDEX(Assumptions!$C$69:$E$69,$B$3)</f>
        <v>2529.23076923077</v>
      </c>
      <c r="G67" s="8" t="n">
        <f aca="false">G31*INDEX(Assumptions!$C$198:$E$198,$B$3)*INDEX(Assumptions!$C$69:$E$69,$B$3)</f>
        <v>3613.84615384615</v>
      </c>
      <c r="H67" s="8" t="n">
        <f aca="false">H31*INDEX(Assumptions!$C$198:$E$198,$B$3)*INDEX(Assumptions!$C$69:$E$69,$B$3)</f>
        <v>4050.99431497095</v>
      </c>
      <c r="I67" s="8" t="n">
        <f aca="false">I31*INDEX(Assumptions!$C$198:$E$198,$B$3)*INDEX(Assumptions!$C$69:$E$69,$B$3)</f>
        <v>6720</v>
      </c>
      <c r="J67" s="8" t="n">
        <f aca="false">J31*INDEX(Assumptions!$C$198:$E$198,$B$3)*INDEX(Assumptions!$C$69:$E$69,$B$3)</f>
        <v>6978.46153846154</v>
      </c>
      <c r="K67" s="8" t="n">
        <f aca="false">K31*INDEX(Assumptions!$C$198:$E$198,$B$3)*INDEX(Assumptions!$C$69:$E$69,$B$3)</f>
        <v>5921.03732217295</v>
      </c>
      <c r="L67" s="8" t="n">
        <f aca="false">L31*INDEX(Assumptions!$C$198:$E$198,$B$3)*INDEX(Assumptions!$C$69:$E$69,$B$3)</f>
        <v>5686.15384615385</v>
      </c>
      <c r="M67" s="8" t="n">
        <f aca="false">M31*INDEX(Assumptions!$C$198:$E$198,$B$3)*INDEX(Assumptions!$C$69:$E$69,$B$3)</f>
        <v>5427.69230769231</v>
      </c>
      <c r="N67" s="8" t="n">
        <f aca="false">N31*INDEX(Assumptions!$C$198:$E$198,$B$3)*INDEX(Assumptions!$C$69:$E$69,$B$3)</f>
        <v>5169.23076923077</v>
      </c>
      <c r="O67" s="37" t="n">
        <f aca="false">SUM(C67:N67)</f>
        <v>49688.4789448362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18200.786334119</v>
      </c>
      <c r="D68" s="37" t="n">
        <f aca="false">SUM(D60:D67)</f>
        <v>34094.5326411985</v>
      </c>
      <c r="E68" s="37" t="n">
        <f aca="false">SUM(E60:E67)</f>
        <v>57745.9555871145</v>
      </c>
      <c r="F68" s="37" t="n">
        <f aca="false">SUM(F60:F67)</f>
        <v>80923.8163577313</v>
      </c>
      <c r="G68" s="37" t="n">
        <f aca="false">SUM(G60:G67)</f>
        <v>109025.530343726</v>
      </c>
      <c r="H68" s="37" t="n">
        <f aca="false">SUM(H60:H67)</f>
        <v>124283.392875146</v>
      </c>
      <c r="I68" s="37" t="n">
        <f aca="false">SUM(I60:I67)</f>
        <v>117048.769489975</v>
      </c>
      <c r="J68" s="37" t="n">
        <f aca="false">SUM(J60:J67)</f>
        <v>128088.730918389</v>
      </c>
      <c r="K68" s="37" t="n">
        <f aca="false">SUM(K60:K67)</f>
        <v>141293.123827895</v>
      </c>
      <c r="L68" s="37" t="n">
        <f aca="false">SUM(L60:L67)</f>
        <v>141097.485838913</v>
      </c>
      <c r="M68" s="37" t="n">
        <f aca="false">SUM(M60:M67)</f>
        <v>139717.145478747</v>
      </c>
      <c r="N68" s="37" t="n">
        <f aca="false">SUM(N60:N67)</f>
        <v>138301.420341371</v>
      </c>
      <c r="O68" s="31" t="n">
        <f aca="false">SUM(C68:N68)</f>
        <v>1229820.69003433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58037.0282862704</v>
      </c>
      <c r="D69" s="37" t="n">
        <f aca="false">D57-D68</f>
        <v>105220.938960118</v>
      </c>
      <c r="E69" s="37" t="n">
        <f aca="false">E57-E68</f>
        <v>188203.77059485</v>
      </c>
      <c r="F69" s="37" t="n">
        <f aca="false">F57-F68</f>
        <v>258121.81039106</v>
      </c>
      <c r="G69" s="37" t="n">
        <f aca="false">G57-G68</f>
        <v>318766.995956202</v>
      </c>
      <c r="H69" s="37" t="n">
        <f aca="false">H57-H68</f>
        <v>363467.923766264</v>
      </c>
      <c r="I69" s="37" t="n">
        <f aca="false">I57-I68</f>
        <v>730594.349530017</v>
      </c>
      <c r="J69" s="37" t="n">
        <f aca="false">J57-J68</f>
        <v>786073.14538582</v>
      </c>
      <c r="K69" s="37" t="n">
        <f aca="false">K57-K68</f>
        <v>693830.331899882</v>
      </c>
      <c r="L69" s="37" t="n">
        <f aca="false">L57-L68</f>
        <v>681154.296665814</v>
      </c>
      <c r="M69" s="37" t="n">
        <f aca="false">M57-M68</f>
        <v>676099.288314864</v>
      </c>
      <c r="N69" s="37" t="n">
        <f aca="false">N57-N68</f>
        <v>670919.413842152</v>
      </c>
      <c r="O69" s="31" t="n">
        <f aca="false">SUM(C69:N69)</f>
        <v>5530489.29359331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0.761263010689038</v>
      </c>
      <c r="D70" s="7" t="n">
        <f aca="false">IFERROR(D69/D57,0)</f>
        <v>0.755271024464763</v>
      </c>
      <c r="E70" s="7" t="n">
        <f aca="false">IFERROR(E69/E57,0)</f>
        <v>0.765212360739156</v>
      </c>
      <c r="F70" s="7" t="n">
        <f aca="false">IFERROR(F69/F57,0)</f>
        <v>0.76131880203342</v>
      </c>
      <c r="G70" s="7" t="n">
        <f aca="false">IFERROR(G69/G57,0)</f>
        <v>0.74514391056171</v>
      </c>
      <c r="H70" s="7" t="n">
        <f aca="false">IFERROR(H69/H57,0)</f>
        <v>0.745191066359502</v>
      </c>
      <c r="I70" s="7" t="n">
        <f aca="false">IFERROR(I69/I57,0)</f>
        <v>0.861912676616426</v>
      </c>
      <c r="J70" s="7" t="n">
        <f aca="false">IFERROR(J69/J57,0)</f>
        <v>0.859883972151378</v>
      </c>
      <c r="K70" s="7" t="n">
        <f aca="false">IFERROR(K69/K57,0)</f>
        <v>0.830811692739772</v>
      </c>
      <c r="L70" s="7" t="n">
        <f aca="false">IFERROR(L69/L57,0)</f>
        <v>0.828401118926</v>
      </c>
      <c r="M70" s="7" t="n">
        <f aca="false">IFERROR(M69/M57,0)</f>
        <v>0.8287394814676</v>
      </c>
      <c r="N70" s="7" t="n">
        <f aca="false">IFERROR(N69/N57,0)</f>
        <v>0.829093104750679</v>
      </c>
      <c r="O70" s="13" t="n">
        <f aca="false">IFERROR(O69/O57,0)</f>
        <v>0.818082204364482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-233795.97171373</v>
      </c>
      <c r="D92" s="37" t="n">
        <f aca="false">D69-D91</f>
        <v>-206612.061039882</v>
      </c>
      <c r="E92" s="37" t="n">
        <f aca="false">E69-E91</f>
        <v>-298629.22940515</v>
      </c>
      <c r="F92" s="37" t="n">
        <f aca="false">F69-F91</f>
        <v>-88711.1896089403</v>
      </c>
      <c r="G92" s="37" t="n">
        <f aca="false">G69-G91</f>
        <v>-48066.0040437981</v>
      </c>
      <c r="H92" s="37" t="n">
        <f aca="false">H69-H91</f>
        <v>-25865.0762337362</v>
      </c>
      <c r="I92" s="37" t="n">
        <f aca="false">I69-I91</f>
        <v>220661.349530017</v>
      </c>
      <c r="J92" s="37" t="n">
        <f aca="false">J69-J91</f>
        <v>276140.14538582</v>
      </c>
      <c r="K92" s="37" t="n">
        <f aca="false">K69-K91</f>
        <v>178897.331899882</v>
      </c>
      <c r="L92" s="37" t="n">
        <f aca="false">L69-L91</f>
        <v>166221.296665814</v>
      </c>
      <c r="M92" s="37" t="n">
        <f aca="false">M69-M91</f>
        <v>161166.288314864</v>
      </c>
      <c r="N92" s="37" t="n">
        <f aca="false">N69-N91</f>
        <v>155986.413842152</v>
      </c>
      <c r="O92" s="31" t="n">
        <f aca="false">SUM(C92:N92)</f>
        <v>257393.293593312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-3.06666675688264</v>
      </c>
      <c r="D93" s="7" t="n">
        <f aca="false">IFERROR(D92/D57,0)</f>
        <v>-1.48305180081615</v>
      </c>
      <c r="E93" s="7" t="n">
        <f aca="false">IFERROR(E92/E57,0)</f>
        <v>-1.21418809461984</v>
      </c>
      <c r="F93" s="7" t="n">
        <f aca="false">IFERROR(F92/F57,0)</f>
        <v>-0.261649709095552</v>
      </c>
      <c r="G93" s="7" t="n">
        <f aca="false">IFERROR(G92/G57,0)</f>
        <v>-0.112358213593705</v>
      </c>
      <c r="H93" s="7" t="n">
        <f aca="false">IFERROR(H92/H57,0)</f>
        <v>-0.0530292289354329</v>
      </c>
      <c r="I93" s="7" t="n">
        <f aca="false">IFERROR(I92/I57,0)</f>
        <v>0.260323412741362</v>
      </c>
      <c r="J93" s="7" t="n">
        <f aca="false">IFERROR(J92/J57,0)</f>
        <v>0.302069198621807</v>
      </c>
      <c r="K93" s="7" t="n">
        <f aca="false">IFERROR(K92/K57,0)</f>
        <v>0.214216629496989</v>
      </c>
      <c r="L93" s="7" t="n">
        <f aca="false">IFERROR(L92/L57,0)</f>
        <v>0.202153768714826</v>
      </c>
      <c r="M93" s="7" t="n">
        <f aca="false">IFERROR(M92/M57,0)</f>
        <v>0.19755214731999</v>
      </c>
      <c r="N93" s="7" t="n">
        <f aca="false">IFERROR(N92/N57,0)</f>
        <v>0.192761242979534</v>
      </c>
      <c r="O93" s="7" t="n">
        <f aca="false">IFERROR(O92/O57,0)</f>
        <v>0.0380741850916121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-308795.97171373</v>
      </c>
      <c r="D94" s="8" t="n">
        <f aca="false">D92-INDEX(Assumptions!$C$163:$E$163,$B$3)</f>
        <v>-281612.061039882</v>
      </c>
      <c r="E94" s="8" t="n">
        <f aca="false">E92-INDEX(Assumptions!$C$163:$E$163,$B$3)</f>
        <v>-373629.22940515</v>
      </c>
      <c r="F94" s="8" t="n">
        <f aca="false">F92-INDEX(Assumptions!$C$163:$E$163,$B$3)</f>
        <v>-163711.18960894</v>
      </c>
      <c r="G94" s="8" t="n">
        <f aca="false">G92-INDEX(Assumptions!$C$163:$E$163,$B$3)</f>
        <v>-123066.004043798</v>
      </c>
      <c r="H94" s="8" t="n">
        <f aca="false">H92-INDEX(Assumptions!$C$163:$E$163,$B$3)</f>
        <v>-100865.076233736</v>
      </c>
      <c r="I94" s="8" t="n">
        <f aca="false">I92-INDEX(Assumptions!$C$163:$E$163,$B$3)</f>
        <v>145661.349530017</v>
      </c>
      <c r="J94" s="8" t="n">
        <f aca="false">J92-INDEX(Assumptions!$C$163:$E$163,$B$3)</f>
        <v>201140.14538582</v>
      </c>
      <c r="K94" s="8" t="n">
        <f aca="false">K92-INDEX(Assumptions!$C$163:$E$163,$B$3)</f>
        <v>103897.331899882</v>
      </c>
      <c r="L94" s="8" t="n">
        <f aca="false">L92-INDEX(Assumptions!$C$163:$E$163,$B$3)</f>
        <v>91221.296665814</v>
      </c>
      <c r="M94" s="8" t="n">
        <f aca="false">M92-INDEX(Assumptions!$C$163:$E$163,$B$3)</f>
        <v>86166.288314864</v>
      </c>
      <c r="N94" s="8" t="n">
        <f aca="false">N92-INDEX(Assumptions!$C$163:$E$163,$B$3)</f>
        <v>80986.4138421515</v>
      </c>
      <c r="O94" s="37" t="n">
        <f aca="false">SUM(C94:N94)</f>
        <v>-642606.706406688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-22922.0151238592</v>
      </c>
      <c r="D102" s="8" t="n">
        <f aca="false">((D58+IF(INDEX(Assumptions!$C$87:$E$87,$B$3)&gt;=2,C58,0)+IF(INDEX(Assumptions!$C$87:$E$87,$B$3)&gt;=3,0,0))/INDEX(Assumptions!$C$87:$E$87,$B$3))-D58</f>
        <v>-20632.4153780965</v>
      </c>
      <c r="E102" s="8" t="n">
        <f aca="false">((E58+IF(INDEX(Assumptions!$C$87:$E$87,$B$3)&gt;=2,D58,0)+IF(INDEX(Assumptions!$C$87:$E$87,$B$3)&gt;=3,C58,0))/INDEX(Assumptions!$C$87:$E$87,$B$3))-E58</f>
        <v>-24807.5565743155</v>
      </c>
      <c r="F102" s="8" t="n">
        <f aca="false">((F58+IF(INDEX(Assumptions!$C$87:$E$87,$B$3)&gt;=2,E58,0)+IF(INDEX(Assumptions!$C$87:$E$87,$B$3)&gt;=3,D58,0))/INDEX(Assumptions!$C$87:$E$87,$B$3))-F58</f>
        <v>-27529.746952412</v>
      </c>
      <c r="G102" s="8" t="n">
        <f aca="false">((G58+IF(INDEX(Assumptions!$C$87:$E$87,$B$3)&gt;=2,F58,0)+IF(INDEX(Assumptions!$C$87:$E$87,$B$3)&gt;=3,E58,0))/INDEX(Assumptions!$C$87:$E$87,$B$3))-G58</f>
        <v>-41026.3102998696</v>
      </c>
      <c r="H102" s="8" t="n">
        <f aca="false">((H58+IF(INDEX(Assumptions!$C$87:$E$87,$B$3)&gt;=2,G58,0)+IF(INDEX(Assumptions!$C$87:$E$87,$B$3)&gt;=3,F58,0))/INDEX(Assumptions!$C$87:$E$87,$B$3))-H58</f>
        <v>-17163.0304962337</v>
      </c>
      <c r="I102" s="8" t="n">
        <f aca="false">((I58+IF(INDEX(Assumptions!$C$87:$E$87,$B$3)&gt;=2,H58,0)+IF(INDEX(Assumptions!$C$87:$E$87,$B$3)&gt;=3,G58,0))/INDEX(Assumptions!$C$87:$E$87,$B$3))-I58</f>
        <v>-163224.422804903</v>
      </c>
      <c r="J102" s="8" t="n">
        <f aca="false">((J58+IF(INDEX(Assumptions!$C$87:$E$87,$B$3)&gt;=2,I58,0)+IF(INDEX(Assumptions!$C$87:$E$87,$B$3)&gt;=3,H58,0))/INDEX(Assumptions!$C$87:$E$87,$B$3))-J58</f>
        <v>-20744.671861836</v>
      </c>
      <c r="K102" s="8" t="n">
        <f aca="false">((K58+IF(INDEX(Assumptions!$C$87:$E$87,$B$3)&gt;=2,J58,0)+IF(INDEX(Assumptions!$C$87:$E$87,$B$3)&gt;=3,I58,0))/INDEX(Assumptions!$C$87:$E$87,$B$3))-K58</f>
        <v>48868.7138078945</v>
      </c>
      <c r="L102" s="8" t="n">
        <f aca="false">((L58+IF(INDEX(Assumptions!$C$87:$E$87,$B$3)&gt;=2,K58,0)+IF(INDEX(Assumptions!$C$87:$E$87,$B$3)&gt;=3,J58,0))/INDEX(Assumptions!$C$87:$E$87,$B$3))-L58</f>
        <v>12219.2864786196</v>
      </c>
      <c r="M102" s="8" t="n">
        <f aca="false">((M58+IF(INDEX(Assumptions!$C$87:$E$87,$B$3)&gt;=2,L58,0)+IF(INDEX(Assumptions!$C$87:$E$87,$B$3)&gt;=3,K58,0))/INDEX(Assumptions!$C$87:$E$87,$B$3))-M58</f>
        <v>12472.7819820649</v>
      </c>
      <c r="N102" s="8" t="n">
        <f aca="false">((N58+IF(INDEX(Assumptions!$C$87:$E$87,$B$3)&gt;=2,M58,0)+IF(INDEX(Assumptions!$C$87:$E$87,$B$3)&gt;=3,L58,0))/INDEX(Assumptions!$C$87:$E$87,$B$3))-N58</f>
        <v>12552.9074315515</v>
      </c>
      <c r="O102" s="37" t="n">
        <f aca="false">SUM(C102:N102)</f>
        <v>-251936.479791395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-406717.986837589</v>
      </c>
      <c r="D103" s="37" t="n">
        <f aca="false">D92+D102-D101</f>
        <v>-227244.476417979</v>
      </c>
      <c r="E103" s="37" t="n">
        <f aca="false">E92+E102-E101</f>
        <v>-323436.785979466</v>
      </c>
      <c r="F103" s="37" t="n">
        <f aca="false">F92+F102-F101</f>
        <v>-116240.936561352</v>
      </c>
      <c r="G103" s="37" t="n">
        <f aca="false">G92+G102-G101</f>
        <v>-89092.3143436677</v>
      </c>
      <c r="H103" s="37" t="n">
        <f aca="false">H92+H102-H101</f>
        <v>-1515028.10672997</v>
      </c>
      <c r="I103" s="37" t="n">
        <f aca="false">I92+I102-I101</f>
        <v>57436.926725114</v>
      </c>
      <c r="J103" s="37" t="n">
        <f aca="false">J92+J102-J101</f>
        <v>-94604.5264760162</v>
      </c>
      <c r="K103" s="37" t="n">
        <f aca="false">K92+K102-K101</f>
        <v>227766.045707776</v>
      </c>
      <c r="L103" s="37" t="n">
        <f aca="false">L92+L102-L101</f>
        <v>178440.583144434</v>
      </c>
      <c r="M103" s="37" t="n">
        <f aca="false">M92+M102-M101</f>
        <v>173639.070296929</v>
      </c>
      <c r="N103" s="37" t="n">
        <f aca="false">N92+N102-N101</f>
        <v>168539.321273703</v>
      </c>
      <c r="O103" s="31" t="n">
        <f aca="false">SUM(C103:N103)</f>
        <v>-1966543.18619808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-406717.986837589</v>
      </c>
      <c r="D104" s="37" t="n">
        <f aca="false">C104+D103</f>
        <v>-633962.463255568</v>
      </c>
      <c r="E104" s="37" t="n">
        <f aca="false">D104+E103</f>
        <v>-957399.249235033</v>
      </c>
      <c r="F104" s="37" t="n">
        <f aca="false">E104+F103</f>
        <v>-1073640.18579639</v>
      </c>
      <c r="G104" s="37" t="n">
        <f aca="false">F104+G103</f>
        <v>-1162732.50014005</v>
      </c>
      <c r="H104" s="37" t="n">
        <f aca="false">G104+H103</f>
        <v>-2677760.60687002</v>
      </c>
      <c r="I104" s="37" t="n">
        <f aca="false">H104+I103</f>
        <v>-2620323.68014491</v>
      </c>
      <c r="J104" s="37" t="n">
        <f aca="false">I104+J103</f>
        <v>-2714928.20662093</v>
      </c>
      <c r="K104" s="37" t="n">
        <f aca="false">J104+K103</f>
        <v>-2487162.16091315</v>
      </c>
      <c r="L104" s="37" t="n">
        <f aca="false">K104+L103</f>
        <v>-2308721.57776872</v>
      </c>
      <c r="M104" s="37" t="n">
        <f aca="false">L104+M103</f>
        <v>-2135082.50747179</v>
      </c>
      <c r="N104" s="37" t="n">
        <f aca="false">M104+N103</f>
        <v>-1966543.18619808</v>
      </c>
      <c r="O104" s="31" t="n">
        <f aca="false">N104</f>
        <v>-1966543.18619808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406717.986837589</v>
      </c>
      <c r="D105" s="37" t="n">
        <f aca="false">-MIN(0,MIN($C$104:D104))</f>
        <v>633962.463255568</v>
      </c>
      <c r="E105" s="37" t="n">
        <f aca="false">-MIN(0,MIN($C$104:E104))</f>
        <v>957399.249235033</v>
      </c>
      <c r="F105" s="37" t="n">
        <f aca="false">-MIN(0,MIN($C$104:F104))</f>
        <v>1073640.18579639</v>
      </c>
      <c r="G105" s="37" t="n">
        <f aca="false">-MIN(0,MIN($C$104:G104))</f>
        <v>1162732.50014005</v>
      </c>
      <c r="H105" s="37" t="n">
        <f aca="false">-MIN(0,MIN($C$104:H104))</f>
        <v>2677760.60687002</v>
      </c>
      <c r="I105" s="37" t="n">
        <f aca="false">-MIN(0,MIN($C$104:I104))</f>
        <v>2677760.60687002</v>
      </c>
      <c r="J105" s="37" t="n">
        <f aca="false">-MIN(0,MIN($C$104:J104))</f>
        <v>2714928.20662093</v>
      </c>
      <c r="K105" s="37" t="n">
        <f aca="false">-MIN(0,MIN($C$104:K104))</f>
        <v>2714928.20662093</v>
      </c>
      <c r="L105" s="37" t="n">
        <f aca="false">-MIN(0,MIN($C$104:L104))</f>
        <v>2714928.20662093</v>
      </c>
      <c r="M105" s="37" t="n">
        <f aca="false">-MIN(0,MIN($C$104:M104))</f>
        <v>2714928.20662093</v>
      </c>
      <c r="N105" s="37" t="n">
        <f aca="false">-MIN(0,MIN($C$104:N104))</f>
        <v>2714928.20662093</v>
      </c>
      <c r="O105" s="31" t="n">
        <f aca="false">MAX(C105:N105)</f>
        <v>2714928.20662093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6760309.98362764</v>
      </c>
    </row>
    <row r="110" customFormat="false" ht="15" hidden="false" customHeight="false" outlineLevel="0" collapsed="false">
      <c r="A110" s="3" t="s">
        <v>28</v>
      </c>
      <c r="B110" s="31" t="n">
        <f aca="false">O92</f>
        <v>257393.293593312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0.0380741850916121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-642606.706406688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2714928.20662093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285071.793379075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82.814131574727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9.97293771769762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0.745899223173461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238465.171182438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5.50781202745153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66.0937443294183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11698.3250040391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0.172550293809577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0.454325139860329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17.4860644176682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483373.99882283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-1966543.18619808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1221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0.7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8166.66666666667</v>
      </c>
      <c r="D16" s="8" t="n">
        <f aca="false">INDEX(Assumptions!$C$115:$E$115,$B$3)*INDEX(Assumptions!$C$120:$E$120,$B$3)*$L$3/$F$3</f>
        <v>8166.66666666667</v>
      </c>
      <c r="E16" s="8" t="n">
        <f aca="false">INDEX(Assumptions!$C$115:$E$115,$B$3)*INDEX(Assumptions!$C$120:$E$120,$B$3)*$L$3/$F$3</f>
        <v>8166.66666666667</v>
      </c>
      <c r="F16" s="8" t="n">
        <f aca="false">INDEX(Assumptions!$C$115:$E$115,$B$3)*INDEX(Assumptions!$C$120:$E$120,$B$3)*$L$3/$F$3</f>
        <v>8166.66666666667</v>
      </c>
      <c r="G16" s="8" t="n">
        <f aca="false">INDEX(Assumptions!$C$115:$E$115,$B$3)*INDEX(Assumptions!$C$120:$E$120,$B$3)*$L$3/$F$3</f>
        <v>8166.66666666667</v>
      </c>
      <c r="H16" s="8" t="n">
        <f aca="false">INDEX(Assumptions!$C$115:$E$115,$B$3)*INDEX(Assumptions!$C$120:$E$120,$B$3)*$L$3/$F$3</f>
        <v>8166.66666666667</v>
      </c>
      <c r="I16" s="8" t="n">
        <f aca="false">INDEX(Assumptions!$C$115:$E$115,$B$3)*INDEX(Assumptions!$C$120:$E$120,$B$3)*$L$3/$F$3</f>
        <v>8166.66666666667</v>
      </c>
      <c r="J16" s="8" t="n">
        <f aca="false">INDEX(Assumptions!$C$115:$E$115,$B$3)*INDEX(Assumptions!$C$120:$E$120,$B$3)*$L$3/$F$3</f>
        <v>8166.66666666667</v>
      </c>
      <c r="K16" s="8" t="n">
        <f aca="false">INDEX(Assumptions!$C$115:$E$115,$B$3)*INDEX(Assumptions!$C$120:$E$120,$B$3)*$L$3/$F$3</f>
        <v>8166.66666666667</v>
      </c>
      <c r="L16" s="8" t="n">
        <f aca="false">INDEX(Assumptions!$C$115:$E$115,$B$3)*INDEX(Assumptions!$C$120:$E$120,$B$3)*$L$3/$F$3</f>
        <v>8166.66666666667</v>
      </c>
      <c r="M16" s="8" t="n">
        <f aca="false">INDEX(Assumptions!$C$115:$E$115,$B$3)*INDEX(Assumptions!$C$120:$E$120,$B$3)*$L$3/$F$3</f>
        <v>8166.66666666667</v>
      </c>
      <c r="N16" s="8" t="n">
        <f aca="false">INDEX(Assumptions!$C$115:$E$115,$B$3)*INDEX(Assumptions!$C$120:$E$120,$B$3)*$L$3/$F$3</f>
        <v>8166.66666666667</v>
      </c>
      <c r="O16" s="37" t="n">
        <f aca="false">AVERAGE(C16:N16)</f>
        <v>8166.66666666667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1.28571428571429</v>
      </c>
      <c r="D18" s="27" t="n">
        <f aca="false">D15*INDEX(Assumptions!$C$119:$E$119,$B$3)/D16</f>
        <v>3.42857142857143</v>
      </c>
      <c r="E18" s="27" t="n">
        <f aca="false">E15*INDEX(Assumptions!$C$119:$E$119,$B$3)/E16</f>
        <v>4.28571428571429</v>
      </c>
      <c r="F18" s="27" t="n">
        <f aca="false">F15*INDEX(Assumptions!$C$119:$E$119,$B$3)/F16</f>
        <v>5.14285714285714</v>
      </c>
      <c r="G18" s="27" t="n">
        <f aca="false">G15*INDEX(Assumptions!$C$119:$E$119,$B$3)/G16</f>
        <v>6.85714285714286</v>
      </c>
      <c r="H18" s="27" t="n">
        <f aca="false">H15*INDEX(Assumptions!$C$119:$E$119,$B$3)/H16</f>
        <v>7.71428571428571</v>
      </c>
      <c r="I18" s="27" t="n">
        <f aca="false">I15*INDEX(Assumptions!$C$119:$E$119,$B$3)/I16</f>
        <v>8.57142857142857</v>
      </c>
      <c r="J18" s="27" t="n">
        <f aca="false">J15*INDEX(Assumptions!$C$119:$E$119,$B$3)/J16</f>
        <v>8.57142857142857</v>
      </c>
      <c r="K18" s="27" t="n">
        <f aca="false">K15*INDEX(Assumptions!$C$119:$E$119,$B$3)/K16</f>
        <v>8.57142857142857</v>
      </c>
      <c r="L18" s="27" t="n">
        <f aca="false">L15*INDEX(Assumptions!$C$119:$E$119,$B$3)/L16</f>
        <v>8.57142857142857</v>
      </c>
      <c r="M18" s="27" t="n">
        <f aca="false">M15*INDEX(Assumptions!$C$119:$E$119,$B$3)/M16</f>
        <v>8.57142857142857</v>
      </c>
      <c r="N18" s="27" t="n">
        <f aca="false">N15*INDEX(Assumptions!$C$119:$E$119,$B$3)/N16</f>
        <v>8.57142857142857</v>
      </c>
      <c r="O18" s="35" t="n">
        <f aca="false">SUM(C18:N18)</f>
        <v>80.1428571428572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1.40617142857143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5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98.0689839285714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0.843702857142857</v>
      </c>
      <c r="E24" s="6" t="n">
        <f aca="false">D27+C27+D30+C30+1.25*D28</f>
        <v>2.31013092857143</v>
      </c>
      <c r="F24" s="6" t="n">
        <f aca="false">E27+D27+E30+D30+1.25*E28</f>
        <v>3.82596557142857</v>
      </c>
      <c r="G24" s="6" t="n">
        <f aca="false">F27+E27+F30+E30+1.25*F28</f>
        <v>5.7795375</v>
      </c>
      <c r="H24" s="6" t="n">
        <f aca="false">G27+F27+G30+F30+1.25*G28</f>
        <v>8.07</v>
      </c>
      <c r="I24" s="6" t="n">
        <f aca="false">H27+G27+H30+G30+1.25*H28</f>
        <v>8.66253138075314</v>
      </c>
      <c r="J24" s="6" t="n">
        <f aca="false">I27+H27+I30+H30+1.25*I28</f>
        <v>12.5077719665272</v>
      </c>
      <c r="K24" s="6" t="n">
        <f aca="false">J27+I27+J30+I30+1.25*J28</f>
        <v>17.791052192902</v>
      </c>
      <c r="L24" s="6" t="n">
        <f aca="false">K27+J27+K30+J30+1.25*K28</f>
        <v>15.2296342341987</v>
      </c>
      <c r="M24" s="6" t="n">
        <f aca="false">L27+K27+L30+K30+1.25*L28</f>
        <v>13.5259348665018</v>
      </c>
      <c r="N24" s="6" t="n">
        <f aca="false">M27+L27+M30+L30+1.25*M28</f>
        <v>13.5807819568562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1.40617142857143</v>
      </c>
      <c r="D25" s="6" t="n">
        <f aca="false">D19*(INDEX(Assumptions!$C$26:$E$26,$B$3)*(1-D23)+INDEX(Assumptions!$C$26:$E$26,$B$3)*D23*1.25+(1-INDEX(Assumptions!$C$26:$E$26,$B$3)))+C29*INDEX(Assumptions!$C$89:$E$89,$B$3)</f>
        <v>2.33155307142857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5.42</v>
      </c>
      <c r="G25" s="6" t="n">
        <f aca="false">G19*(INDEX(Assumptions!$C$26:$E$26,$B$3)*(1-G23)+INDEX(Assumptions!$C$26:$E$26,$B$3)*G23*1.25+(1-INDEX(Assumptions!$C$26:$E$26,$B$3)))+F29*INDEX(Assumptions!$C$89:$E$89,$B$3)</f>
        <v>7.35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13.6952405857741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14.0589249279035</v>
      </c>
      <c r="L25" s="6" t="n">
        <f aca="false">L19*(INDEX(Assumptions!$C$26:$E$26,$B$3)*(1-L23)+INDEX(Assumptions!$C$26:$E$26,$B$3)*L23*1.25+(1-INDEX(Assumptions!$C$26:$E$26,$B$3)))+K29*INDEX(Assumptions!$C$89:$E$89,$B$3)</f>
        <v>12.3950375540082</v>
      </c>
      <c r="M25" s="6" t="n">
        <f aca="false">M19*(INDEX(Assumptions!$C$26:$E$26,$B$3)*(1-M23)+INDEX(Assumptions!$C$26:$E$26,$B$3)*M23*1.25+(1-INDEX(Assumptions!$C$26:$E$26,$B$3)))+L29*INDEX(Assumptions!$C$89:$E$89,$B$3)</f>
        <v>12.1472260579111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0.662133891213389</v>
      </c>
      <c r="I26" s="7" t="n">
        <f aca="false">IF(I25&lt;=0,1,MAX(0,MIN(1,(I22-I24)/I25)))</f>
        <v>1</v>
      </c>
      <c r="J26" s="7" t="n">
        <f aca="false">IF(J25&lt;=0,1,MAX(0,MIN(1,(J22-J24)/J25)))</f>
        <v>0.962299338212006</v>
      </c>
      <c r="K26" s="7" t="n">
        <f aca="false">IF(K25&lt;=0,1,MAX(0,MIN(1,(K22-K24)/K25)))</f>
        <v>0.655025036005457</v>
      </c>
      <c r="L26" s="7" t="n">
        <f aca="false">IF(L25&lt;=0,1,MAX(0,MIN(1,(L22-L24)/L25)))</f>
        <v>0.949603074175048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0.655025036005457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0.843702857142857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3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3.47620292887029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7.79462463951724</v>
      </c>
      <c r="K27" s="35" t="n">
        <f aca="false">K19*INDEX(Assumptions!$C$26:$E$26,$B$3)*(1-K23)*K26</f>
        <v>4.91268777004092</v>
      </c>
      <c r="L27" s="35" t="n">
        <f aca="false">L19*INDEX(Assumptions!$C$26:$E$26,$B$3)*(1-L23)*L26</f>
        <v>4.70053521716649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49.2004409127378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1.56684507238883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4.64184507238883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0.562468571428571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2</v>
      </c>
      <c r="G29" s="27" t="n">
        <f aca="false">G19*(1-INDEX(Assumptions!$C$26:$E$26,$B$3))*G26</f>
        <v>2.7</v>
      </c>
      <c r="H29" s="27" t="n">
        <f aca="false">H19*(1-INDEX(Assumptions!$C$26:$E$26,$B$3))*H26</f>
        <v>2.31746861924686</v>
      </c>
      <c r="I29" s="27" t="n">
        <f aca="false">I19*(1-INDEX(Assumptions!$C$26:$E$26,$B$3))*I26</f>
        <v>5.2</v>
      </c>
      <c r="J29" s="27" t="n">
        <f aca="false">J19*(1-INDEX(Assumptions!$C$26:$E$26,$B$3))*J26</f>
        <v>5.19641642634483</v>
      </c>
      <c r="K29" s="27" t="n">
        <f aca="false">K19*(1-INDEX(Assumptions!$C$26:$E$26,$B$3))*K26</f>
        <v>3.27512518002728</v>
      </c>
      <c r="L29" s="27" t="n">
        <f aca="false">L19*(1-INDEX(Assumptions!$C$26:$E$26,$B$3))*L26</f>
        <v>4.17825352637021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35.8948573234178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0.168740571428571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0.6</v>
      </c>
      <c r="H30" s="27" t="n">
        <f aca="false">G29*INDEX(Assumptions!$C$89:$E$89,$B$3)*H26</f>
        <v>0.536328451882845</v>
      </c>
      <c r="I30" s="27" t="n">
        <f aca="false">H29*INDEX(Assumptions!$C$89:$E$89,$B$3)*I26</f>
        <v>0.695240585774059</v>
      </c>
      <c r="J30" s="27" t="n">
        <f aca="false">I29*INDEX(Assumptions!$C$89:$E$89,$B$3)*J26</f>
        <v>1.50118696761073</v>
      </c>
      <c r="K30" s="27" t="n">
        <f aca="false">J29*INDEX(Assumptions!$C$89:$E$89,$B$3)*K26</f>
        <v>1.02113485702976</v>
      </c>
      <c r="L30" s="27" t="n">
        <f aca="false">K29*INDEX(Assumptions!$C$89:$E$89,$B$3)*L26</f>
        <v>0.933020681778605</v>
      </c>
      <c r="M30" s="27" t="n">
        <f aca="false">L29*INDEX(Assumptions!$C$89:$E$89,$B$3)*M26</f>
        <v>1.25347605791106</v>
      </c>
      <c r="N30" s="27" t="n">
        <f aca="false">M29*INDEX(Assumptions!$C$89:$E$89,$B$3)*N26</f>
        <v>1.26</v>
      </c>
      <c r="O30" s="35" t="n">
        <f aca="false">SUM(C30:N30)</f>
        <v>8.64866567341563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1.40617142857143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5</v>
      </c>
      <c r="G31" s="35" t="n">
        <f aca="false">G27+G28+G29</f>
        <v>6.75</v>
      </c>
      <c r="H31" s="35" t="n">
        <f aca="false">H27+H28+H29</f>
        <v>5.79367154811715</v>
      </c>
      <c r="I31" s="35" t="n">
        <f aca="false">I27+I28+I29</f>
        <v>13</v>
      </c>
      <c r="J31" s="35" t="n">
        <f aca="false">J27+J28+J29</f>
        <v>12.9910410658621</v>
      </c>
      <c r="K31" s="35" t="n">
        <f aca="false">K27+K28+K29</f>
        <v>8.18781295006821</v>
      </c>
      <c r="L31" s="35" t="n">
        <f aca="false">L27+L28+L29</f>
        <v>10.4456338159255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89.7371433085444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0.351542857142857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1.25</v>
      </c>
      <c r="G32" s="27" t="n">
        <f aca="false">G31*INDEX(Assumptions!$C$74:$E$74,$B$3)</f>
        <v>1.6875</v>
      </c>
      <c r="H32" s="27" t="n">
        <f aca="false">H31*INDEX(Assumptions!$C$74:$E$74,$B$3)</f>
        <v>1.44841788702929</v>
      </c>
      <c r="I32" s="27" t="n">
        <f aca="false">I31*INDEX(Assumptions!$C$74:$E$74,$B$3)</f>
        <v>3.25</v>
      </c>
      <c r="J32" s="27" t="n">
        <f aca="false">J31*INDEX(Assumptions!$C$74:$E$74,$B$3)</f>
        <v>3.24776026646552</v>
      </c>
      <c r="K32" s="27" t="n">
        <f aca="false">K31*INDEX(Assumptions!$C$74:$E$74,$B$3)</f>
        <v>2.04695323751705</v>
      </c>
      <c r="L32" s="27" t="n">
        <f aca="false">L31*INDEX(Assumptions!$C$74:$E$74,$B$3)</f>
        <v>2.61140845398138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22.4342858271361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1.40617142857143</v>
      </c>
      <c r="D33" s="6" t="n">
        <f aca="false">D24+D27+D30+D29+1.25*D28</f>
        <v>3.17525592857143</v>
      </c>
      <c r="E33" s="6" t="n">
        <f aca="false">E24+E27+E30+E29+1.25*E28</f>
        <v>6.06966842857143</v>
      </c>
      <c r="F33" s="6" t="n">
        <f aca="false">F24+F27+F30+F29+1.25*F28</f>
        <v>9.24596557142857</v>
      </c>
      <c r="G33" s="6" t="n">
        <f aca="false">G24+G27+G30+G29+1.25*G28</f>
        <v>13.1295375</v>
      </c>
      <c r="H33" s="6" t="n">
        <f aca="false">H24+H27+H30+H29+1.25*H28</f>
        <v>14.4</v>
      </c>
      <c r="I33" s="6" t="n">
        <f aca="false">I24+I27+I30+I29+1.25*I28</f>
        <v>22.3577719665272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25.6731609244129</v>
      </c>
      <c r="N33" s="6" t="n">
        <f aca="false">N24+N27+N30+N29+1.25*N28</f>
        <v>25.2157819568562</v>
      </c>
      <c r="O33" s="39" t="n">
        <f aca="false">AVERAGE(C33:N33)</f>
        <v>16.8061094754116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0.0878857142857143</v>
      </c>
      <c r="D34" s="36" t="n">
        <f aca="false">D33/(D20*D21)</f>
        <v>0.198453495535714</v>
      </c>
      <c r="E34" s="36" t="n">
        <f aca="false">E33/(E20*E21)</f>
        <v>0.379354276785714</v>
      </c>
      <c r="F34" s="36" t="n">
        <f aca="false">F33/(F20*F21)</f>
        <v>0.577872848214286</v>
      </c>
      <c r="G34" s="36" t="n">
        <f aca="false">G33/(G20*G21)</f>
        <v>0.82059609375</v>
      </c>
      <c r="H34" s="36" t="n">
        <f aca="false">H33/(H20*H21)</f>
        <v>0.9</v>
      </c>
      <c r="I34" s="36" t="n">
        <f aca="false">I33/(I20*I21)</f>
        <v>0.745259065550907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0.855772030813762</v>
      </c>
      <c r="N34" s="36" t="n">
        <f aca="false">N33/(N20*N21)</f>
        <v>0.840526065228539</v>
      </c>
      <c r="O34" s="30" t="n">
        <f aca="false">N34</f>
        <v>0.840526065228539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1.31911015813455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4.69043151969981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91.9971706647011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42900.1452784504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152542.372881356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176756.081128998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528449.128102864</v>
      </c>
      <c r="K47" s="8" t="n">
        <f aca="false">K27*K44/(1+INDEX(Assumptions!$C$15:$E$15,$B$3)*$H$4)</f>
        <v>333063.577629893</v>
      </c>
      <c r="L47" s="8" t="n">
        <f aca="false">L27*L44/(1+INDEX(Assumptions!$C$15:$E$15,$B$3)*$H$4)</f>
        <v>318680.353706203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3085324.92143963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106226.784568734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314701.360839921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2874.30973365617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10220.3389830508</v>
      </c>
      <c r="H49" s="8" t="n">
        <f aca="false">H30*MAX(0,H44-INDEX(Assumptions!$C$18:$E$18,$B$3)*$H$3)/(1+INDEX(Assumptions!$C$15:$E$15,$B$3)*$H$4)</f>
        <v>9135.76430749592</v>
      </c>
      <c r="I49" s="8" t="n">
        <f aca="false">I30*MAX(0,I44-INDEX(Assumptions!$C$18:$E$18,$B$3)*$H$3)/(1+INDEX(Assumptions!$C$15:$E$15,$B$3)*$H$4)</f>
        <v>23626.3961775761</v>
      </c>
      <c r="J49" s="8" t="n">
        <f aca="false">J30*MAX(0,J44-INDEX(Assumptions!$C$18:$E$18,$B$3)*$H$3)/(1+INDEX(Assumptions!$C$15:$E$15,$B$3)*$H$4)</f>
        <v>51014.9130518561</v>
      </c>
      <c r="K49" s="8" t="n">
        <f aca="false">K30*MAX(0,K44-INDEX(Assumptions!$C$18:$E$18,$B$3)*$H$3)/(1+INDEX(Assumptions!$C$15:$E$15,$B$3)*$H$4)</f>
        <v>34701.2777685537</v>
      </c>
      <c r="L49" s="8" t="n">
        <f aca="false">L30*MAX(0,L44-INDEX(Assumptions!$C$18:$E$18,$B$3)*$H$3)/(1+INDEX(Assumptions!$C$15:$E$15,$B$3)*$H$4)</f>
        <v>31706.8892706119</v>
      </c>
      <c r="M49" s="8" t="n">
        <f aca="false">M30*MAX(0,M44-INDEX(Assumptions!$C$18:$E$18,$B$3)*$H$3)/(1+INDEX(Assumptions!$C$15:$E$15,$B$3)*$H$4)</f>
        <v>42596.9406120624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260270.646642151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19019.0644067797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67627.1186440678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78361.8626338558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175709.335094202</v>
      </c>
      <c r="K50" s="8" t="n">
        <f aca="false">K29*INDEX(Assumptions!$C$18:$E$18,$B$3)*$H$3/(1+INDEX(Assumptions!$C$15:$E$15,$B$3)*$H$4)</f>
        <v>110743.639561939</v>
      </c>
      <c r="L50" s="8" t="n">
        <f aca="false">L29*INDEX(Assumptions!$C$18:$E$18,$B$3)*$H$3/(1+INDEX(Assumptions!$C$15:$E$15,$B$3)*$H$4)</f>
        <v>141281.623476416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1213732.88746133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997.724171408583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3547.66193913569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69583.1203386205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7482.83965393656</v>
      </c>
      <c r="K56" s="8" t="n">
        <f aca="false">(K27+K28)*(1-K45)*INDEX(Assumptions!$C$90:$E$90,$B$3)</f>
        <v>4716.18025923929</v>
      </c>
      <c r="L56" s="8" t="n">
        <f aca="false">(L27+L28)*(1-L45)*INDEX(Assumptions!$C$90:$E$90,$B$3)</f>
        <v>6016.6850779731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37511.7049911489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92572.0186024013</v>
      </c>
      <c r="D57" s="37" t="n">
        <f aca="false">SUM(D47:D56)</f>
        <v>150483.249064763</v>
      </c>
      <c r="E57" s="37" t="n">
        <f aca="false">SUM(E47:E56)</f>
        <v>268109.181789598</v>
      </c>
      <c r="F57" s="37" t="n">
        <f aca="false">SUM(F47:F56)</f>
        <v>375142.597532356</v>
      </c>
      <c r="G57" s="37" t="n">
        <f aca="false">SUM(G47:G56)</f>
        <v>461921.365651732</v>
      </c>
      <c r="H57" s="37" t="n">
        <f aca="false">SUM(H47:H56)</f>
        <v>444620.631718074</v>
      </c>
      <c r="I57" s="37" t="n">
        <f aca="false">SUM(I47:I56)</f>
        <v>943616.546032888</v>
      </c>
      <c r="J57" s="37" t="n">
        <f aca="false">SUM(J47:J56)</f>
        <v>995344.709918187</v>
      </c>
      <c r="K57" s="37" t="n">
        <f aca="false">SUM(K47:K56)</f>
        <v>735529.06057594</v>
      </c>
      <c r="L57" s="37" t="n">
        <f aca="false">SUM(L47:L56)</f>
        <v>867861.74490841</v>
      </c>
      <c r="M57" s="37" t="n">
        <f aca="false">SUM(M47:M56)</f>
        <v>900439.159497807</v>
      </c>
      <c r="N57" s="37" t="n">
        <f aca="false">SUM(N47:N56)</f>
        <v>891980.384895221</v>
      </c>
      <c r="O57" s="31" t="n">
        <f aca="false">SUM(C57:N57)</f>
        <v>7127620.65018738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61919.20968523</v>
      </c>
      <c r="D58" s="8" t="n">
        <f aca="false">D47+D48+D49+D50</f>
        <v>98111.3754116223</v>
      </c>
      <c r="E58" s="8" t="n">
        <f aca="false">E47+E48+E49+E50</f>
        <v>158539.579449153</v>
      </c>
      <c r="F58" s="8" t="n">
        <f aca="false">F47+F48+F49+F50</f>
        <v>227323.728813559</v>
      </c>
      <c r="G58" s="8" t="n">
        <f aca="false">G47+G48+G49+G50</f>
        <v>307449.152542373</v>
      </c>
      <c r="H58" s="8" t="n">
        <f aca="false">H47+H48+H49+H50</f>
        <v>264253.70807035</v>
      </c>
      <c r="I58" s="8" t="n">
        <f aca="false">I47+I48+I49+I50</f>
        <v>728270.463974186</v>
      </c>
      <c r="J58" s="8" t="n">
        <f aca="false">J47+J48+J49+J50</f>
        <v>755173.376248923</v>
      </c>
      <c r="K58" s="8" t="n">
        <f aca="false">K47+K48+K49+K50</f>
        <v>478508.494960386</v>
      </c>
      <c r="L58" s="8" t="n">
        <f aca="false">L47+L48+L49+L50</f>
        <v>597895.651021965</v>
      </c>
      <c r="M58" s="8" t="n">
        <f aca="false">M47+M48+M49+M50</f>
        <v>611732.533832402</v>
      </c>
      <c r="N58" s="8" t="n">
        <f aca="false">N47+N48+N49+N50</f>
        <v>584852.542372881</v>
      </c>
      <c r="O58" s="37" t="n">
        <f aca="false">SUM(C58:N58)</f>
        <v>4874029.81638303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5062.21714285714</v>
      </c>
      <c r="D60" s="8" t="n">
        <f aca="false">((D27+D30)*INDEX(Assumptions!$C$91:$E$91,$B$3)+D28*INDEX(Assumptions!$C$93:$E$93,$B$3))*$N$3</f>
        <v>8798.56842857143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20520</v>
      </c>
      <c r="G60" s="8" t="n">
        <f aca="false">((G27+G30)*INDEX(Assumptions!$C$91:$E$91,$B$3)+G28*INDEX(Assumptions!$C$93:$E$93,$B$3))*$N$3</f>
        <v>27900</v>
      </c>
      <c r="H60" s="8" t="n">
        <f aca="false">((H27+H30)*INDEX(Assumptions!$C$91:$E$91,$B$3)+H28*INDEX(Assumptions!$C$93:$E$93,$B$3))*$N$3</f>
        <v>24075.1882845188</v>
      </c>
      <c r="I60" s="8" t="n">
        <f aca="false">((I27+I30)*INDEX(Assumptions!$C$91:$E$91,$B$3)+I28*INDEX(Assumptions!$C$93:$E$93,$B$3))*$N$3</f>
        <v>50971.4435146443</v>
      </c>
      <c r="J60" s="8" t="n">
        <f aca="false">((J27+J30)*INDEX(Assumptions!$C$91:$E$91,$B$3)+J28*INDEX(Assumptions!$C$93:$E$93,$B$3))*$N$3</f>
        <v>55774.8696427678</v>
      </c>
      <c r="K60" s="8" t="n">
        <f aca="false">((K27+K30)*INDEX(Assumptions!$C$91:$E$91,$B$3)+K28*INDEX(Assumptions!$C$93:$E$93,$B$3))*$N$3</f>
        <v>35602.9357624241</v>
      </c>
      <c r="L60" s="8" t="n">
        <f aca="false">((L27+L30)*INDEX(Assumptions!$C$91:$E$91,$B$3)+L28*INDEX(Assumptions!$C$93:$E$93,$B$3))*$N$3</f>
        <v>45552.6734365868</v>
      </c>
      <c r="M60" s="8" t="n">
        <f aca="false">((M27+M30)*INDEX(Assumptions!$C$91:$E$91,$B$3)+M28*INDEX(Assumptions!$C$93:$E$93,$B$3))*$N$3</f>
        <v>47683.3563474664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381908.477559837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10124.4342857143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36000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41714.4351464435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177211.119432158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1124.93714285714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4000</v>
      </c>
      <c r="G62" s="8" t="n">
        <f aca="false">G29*INDEX(Assumptions!$C$92:$E$92,$B$3)*$N$3</f>
        <v>5400</v>
      </c>
      <c r="H62" s="8" t="n">
        <f aca="false">H29*INDEX(Assumptions!$C$92:$E$92,$B$3)*$N$3</f>
        <v>4634.93723849372</v>
      </c>
      <c r="I62" s="8" t="n">
        <f aca="false">I29*INDEX(Assumptions!$C$92:$E$92,$B$3)*$N$3</f>
        <v>10400</v>
      </c>
      <c r="J62" s="8" t="n">
        <f aca="false">J29*INDEX(Assumptions!$C$92:$E$92,$B$3)*$N$3</f>
        <v>10392.8328526897</v>
      </c>
      <c r="K62" s="8" t="n">
        <f aca="false">K29*INDEX(Assumptions!$C$92:$E$92,$B$3)*$N$3</f>
        <v>6550.25036005457</v>
      </c>
      <c r="L62" s="8" t="n">
        <f aca="false">L29*INDEX(Assumptions!$C$92:$E$92,$B$3)*$N$3</f>
        <v>8356.50705274042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71789.7146468355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3129.77753953364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15772.607879925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239999.292666175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3070.58763901667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4973.3310489284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12151.1003017636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15364.8942293809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14331.7135168102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33677.2355674431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35456.0676039142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24952.8300935701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29910.616848654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30949.9909877873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243796.978926655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843.702857142857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3000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3476.20292887029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7794.62463951725</v>
      </c>
      <c r="K67" s="8" t="n">
        <f aca="false">K31*INDEX(Assumptions!$C$198:$E$198,$B$3)*INDEX(Assumptions!$C$69:$E$69,$B$3)</f>
        <v>4912.68777004092</v>
      </c>
      <c r="L67" s="8" t="n">
        <f aca="false">L31*INDEX(Assumptions!$C$198:$E$198,$B$3)*INDEX(Assumptions!$C$69:$E$69,$B$3)</f>
        <v>6267.38028955532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53842.2859851266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23355.6566071217</v>
      </c>
      <c r="D68" s="37" t="n">
        <f aca="false">SUM(D60:D67)</f>
        <v>37679.3131735599</v>
      </c>
      <c r="E68" s="37" t="n">
        <f aca="false">SUM(E60:E67)</f>
        <v>64777.719521807</v>
      </c>
      <c r="F68" s="37" t="n">
        <f aca="false">SUM(F60:F67)</f>
        <v>92395.7081816886</v>
      </c>
      <c r="G68" s="37" t="n">
        <f aca="false">SUM(G60:G67)</f>
        <v>119925.91486728</v>
      </c>
      <c r="H68" s="37" t="n">
        <f aca="false">SUM(H60:H67)</f>
        <v>110588.540905005</v>
      </c>
      <c r="I68" s="37" t="n">
        <f aca="false">SUM(I60:I67)</f>
        <v>129477.459569892</v>
      </c>
      <c r="J68" s="37" t="n">
        <f aca="false">SUM(J60:J67)</f>
        <v>139440.436014686</v>
      </c>
      <c r="K68" s="37" t="n">
        <f aca="false">SUM(K60:K67)</f>
        <v>127806.223685902</v>
      </c>
      <c r="L68" s="37" t="n">
        <f aca="false">SUM(L60:L67)</f>
        <v>146722.914963371</v>
      </c>
      <c r="M68" s="37" t="n">
        <f aca="false">SUM(M60:M67)</f>
        <v>151651.823883096</v>
      </c>
      <c r="N68" s="37" t="n">
        <f aca="false">SUM(N60:N67)</f>
        <v>150146.157843377</v>
      </c>
      <c r="O68" s="31" t="n">
        <f aca="false">SUM(C68:N68)</f>
        <v>1293967.86921679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69216.3619952796</v>
      </c>
      <c r="D69" s="37" t="n">
        <f aca="false">D57-D68</f>
        <v>112803.935891203</v>
      </c>
      <c r="E69" s="37" t="n">
        <f aca="false">E57-E68</f>
        <v>203331.462267791</v>
      </c>
      <c r="F69" s="37" t="n">
        <f aca="false">F57-F68</f>
        <v>282746.889350668</v>
      </c>
      <c r="G69" s="37" t="n">
        <f aca="false">G57-G68</f>
        <v>341995.450784452</v>
      </c>
      <c r="H69" s="37" t="n">
        <f aca="false">H57-H68</f>
        <v>334032.090813069</v>
      </c>
      <c r="I69" s="37" t="n">
        <f aca="false">I57-I68</f>
        <v>814139.086462996</v>
      </c>
      <c r="J69" s="37" t="n">
        <f aca="false">J57-J68</f>
        <v>855904.2739035</v>
      </c>
      <c r="K69" s="37" t="n">
        <f aca="false">K57-K68</f>
        <v>607722.836890037</v>
      </c>
      <c r="L69" s="37" t="n">
        <f aca="false">L57-L68</f>
        <v>721138.829945038</v>
      </c>
      <c r="M69" s="37" t="n">
        <f aca="false">M57-M68</f>
        <v>748787.335614711</v>
      </c>
      <c r="N69" s="37" t="n">
        <f aca="false">N57-N68</f>
        <v>741834.227051843</v>
      </c>
      <c r="O69" s="31" t="n">
        <f aca="false">SUM(C69:N69)</f>
        <v>5833652.78097059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0.747702848444574</v>
      </c>
      <c r="D70" s="7" t="n">
        <f aca="false">IFERROR(D69/D57,0)</f>
        <v>0.749611246383018</v>
      </c>
      <c r="E70" s="7" t="n">
        <f aca="false">IFERROR(E69/E57,0)</f>
        <v>0.758390521766457</v>
      </c>
      <c r="F70" s="7" t="n">
        <f aca="false">IFERROR(F69/F57,0)</f>
        <v>0.753705100968387</v>
      </c>
      <c r="G70" s="7" t="n">
        <f aca="false">IFERROR(G69/G57,0)</f>
        <v>0.740375908574668</v>
      </c>
      <c r="H70" s="7" t="n">
        <f aca="false">IFERROR(H69/H57,0)</f>
        <v>0.751274383112461</v>
      </c>
      <c r="I70" s="7" t="n">
        <f aca="false">IFERROR(I69/I57,0)</f>
        <v>0.862785937662671</v>
      </c>
      <c r="J70" s="7" t="n">
        <f aca="false">IFERROR(J69/J57,0)</f>
        <v>0.859907392257957</v>
      </c>
      <c r="K70" s="7" t="n">
        <f aca="false">IFERROR(K69/K57,0)</f>
        <v>0.826239056298025</v>
      </c>
      <c r="L70" s="7" t="n">
        <f aca="false">IFERROR(L69/L57,0)</f>
        <v>0.830937455390598</v>
      </c>
      <c r="M70" s="7" t="n">
        <f aca="false">IFERROR(M69/M57,0)</f>
        <v>0.831580154768396</v>
      </c>
      <c r="N70" s="7" t="n">
        <f aca="false">IFERROR(N69/N57,0)</f>
        <v>0.831671009378738</v>
      </c>
      <c r="O70" s="13" t="n">
        <f aca="false">IFERROR(O69/O57,0)</f>
        <v>0.818457247835886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-222616.63800472</v>
      </c>
      <c r="D92" s="37" t="n">
        <f aca="false">D69-D91</f>
        <v>-199029.064108797</v>
      </c>
      <c r="E92" s="37" t="n">
        <f aca="false">E69-E91</f>
        <v>-283501.537732209</v>
      </c>
      <c r="F92" s="37" t="n">
        <f aca="false">F69-F91</f>
        <v>-64086.1106493325</v>
      </c>
      <c r="G92" s="37" t="n">
        <f aca="false">G69-G91</f>
        <v>-24837.549215548</v>
      </c>
      <c r="H92" s="37" t="n">
        <f aca="false">H69-H91</f>
        <v>-55300.9091869309</v>
      </c>
      <c r="I92" s="37" t="n">
        <f aca="false">I69-I91</f>
        <v>304206.086462996</v>
      </c>
      <c r="J92" s="37" t="n">
        <f aca="false">J69-J91</f>
        <v>345971.2739035</v>
      </c>
      <c r="K92" s="37" t="n">
        <f aca="false">K69-K91</f>
        <v>92789.8368900374</v>
      </c>
      <c r="L92" s="37" t="n">
        <f aca="false">L69-L91</f>
        <v>206205.829945038</v>
      </c>
      <c r="M92" s="37" t="n">
        <f aca="false">M69-M91</f>
        <v>233854.335614711</v>
      </c>
      <c r="N92" s="37" t="n">
        <f aca="false">N69-N91</f>
        <v>226901.227051843</v>
      </c>
      <c r="O92" s="31" t="n">
        <f aca="false">SUM(C92:N92)</f>
        <v>560556.780970588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-2.40479403350664</v>
      </c>
      <c r="D93" s="7" t="n">
        <f aca="false">IFERROR(D92/D57,0)</f>
        <v>-1.32259946104129</v>
      </c>
      <c r="E93" s="7" t="n">
        <f aca="false">IFERROR(E92/E57,0)</f>
        <v>-1.05741077511732</v>
      </c>
      <c r="F93" s="7" t="n">
        <f aca="false">IFERROR(F92/F57,0)</f>
        <v>-0.170831334726804</v>
      </c>
      <c r="G93" s="7" t="n">
        <f aca="false">IFERROR(G92/G57,0)</f>
        <v>-0.0537700809325076</v>
      </c>
      <c r="H93" s="7" t="n">
        <f aca="false">IFERROR(H92/H57,0)</f>
        <v>-0.124377739677173</v>
      </c>
      <c r="I93" s="7" t="n">
        <f aca="false">IFERROR(I92/I57,0)</f>
        <v>0.322383162675481</v>
      </c>
      <c r="J93" s="7" t="n">
        <f aca="false">IFERROR(J92/J57,0)</f>
        <v>0.347589403405718</v>
      </c>
      <c r="K93" s="7" t="n">
        <f aca="false">IFERROR(K92/K57,0)</f>
        <v>0.126153869185509</v>
      </c>
      <c r="L93" s="7" t="n">
        <f aca="false">IFERROR(L92/L57,0)</f>
        <v>0.237602165500221</v>
      </c>
      <c r="M93" s="7" t="n">
        <f aca="false">IFERROR(M92/M57,0)</f>
        <v>0.259711423196139</v>
      </c>
      <c r="N93" s="7" t="n">
        <f aca="false">IFERROR(N92/N57,0)</f>
        <v>0.254379166733019</v>
      </c>
      <c r="O93" s="7" t="n">
        <f aca="false">IFERROR(O92/O57,0)</f>
        <v>0.0786457092039336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-297616.63800472</v>
      </c>
      <c r="D94" s="8" t="n">
        <f aca="false">D92-INDEX(Assumptions!$C$163:$E$163,$B$3)</f>
        <v>-274029.064108797</v>
      </c>
      <c r="E94" s="8" t="n">
        <f aca="false">E92-INDEX(Assumptions!$C$163:$E$163,$B$3)</f>
        <v>-358501.537732209</v>
      </c>
      <c r="F94" s="8" t="n">
        <f aca="false">F92-INDEX(Assumptions!$C$163:$E$163,$B$3)</f>
        <v>-139086.110649333</v>
      </c>
      <c r="G94" s="8" t="n">
        <f aca="false">G92-INDEX(Assumptions!$C$163:$E$163,$B$3)</f>
        <v>-99837.549215548</v>
      </c>
      <c r="H94" s="8" t="n">
        <f aca="false">H92-INDEX(Assumptions!$C$163:$E$163,$B$3)</f>
        <v>-130300.909186931</v>
      </c>
      <c r="I94" s="8" t="n">
        <f aca="false">I92-INDEX(Assumptions!$C$163:$E$163,$B$3)</f>
        <v>229206.086462996</v>
      </c>
      <c r="J94" s="8" t="n">
        <f aca="false">J92-INDEX(Assumptions!$C$163:$E$163,$B$3)</f>
        <v>270971.2739035</v>
      </c>
      <c r="K94" s="8" t="n">
        <f aca="false">K92-INDEX(Assumptions!$C$163:$E$163,$B$3)</f>
        <v>17789.8368900374</v>
      </c>
      <c r="L94" s="8" t="n">
        <f aca="false">L92-INDEX(Assumptions!$C$163:$E$163,$B$3)</f>
        <v>131205.829945038</v>
      </c>
      <c r="M94" s="8" t="n">
        <f aca="false">M92-INDEX(Assumptions!$C$163:$E$163,$B$3)</f>
        <v>158854.335614711</v>
      </c>
      <c r="N94" s="8" t="n">
        <f aca="false">N92-INDEX(Assumptions!$C$163:$E$163,$B$3)</f>
        <v>151901.227051843</v>
      </c>
      <c r="O94" s="37" t="n">
        <f aca="false">SUM(C94:N94)</f>
        <v>-339443.219029412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-30959.604842615</v>
      </c>
      <c r="D102" s="8" t="n">
        <f aca="false">((D58+IF(INDEX(Assumptions!$C$87:$E$87,$B$3)&gt;=2,C58,0)+IF(INDEX(Assumptions!$C$87:$E$87,$B$3)&gt;=3,0,0))/INDEX(Assumptions!$C$87:$E$87,$B$3))-D58</f>
        <v>-18096.0828631961</v>
      </c>
      <c r="E102" s="8" t="n">
        <f aca="false">((E58+IF(INDEX(Assumptions!$C$87:$E$87,$B$3)&gt;=2,D58,0)+IF(INDEX(Assumptions!$C$87:$E$87,$B$3)&gt;=3,C58,0))/INDEX(Assumptions!$C$87:$E$87,$B$3))-E58</f>
        <v>-30214.1020187651</v>
      </c>
      <c r="F102" s="8" t="n">
        <f aca="false">((F58+IF(INDEX(Assumptions!$C$87:$E$87,$B$3)&gt;=2,E58,0)+IF(INDEX(Assumptions!$C$87:$E$87,$B$3)&gt;=3,D58,0))/INDEX(Assumptions!$C$87:$E$87,$B$3))-F58</f>
        <v>-34392.0746822034</v>
      </c>
      <c r="G102" s="8" t="n">
        <f aca="false">((G58+IF(INDEX(Assumptions!$C$87:$E$87,$B$3)&gt;=2,F58,0)+IF(INDEX(Assumptions!$C$87:$E$87,$B$3)&gt;=3,E58,0))/INDEX(Assumptions!$C$87:$E$87,$B$3))-G58</f>
        <v>-40062.7118644068</v>
      </c>
      <c r="H102" s="8" t="n">
        <f aca="false">((H58+IF(INDEX(Assumptions!$C$87:$E$87,$B$3)&gt;=2,G58,0)+IF(INDEX(Assumptions!$C$87:$E$87,$B$3)&gt;=3,F58,0))/INDEX(Assumptions!$C$87:$E$87,$B$3))-H58</f>
        <v>21597.7222360116</v>
      </c>
      <c r="I102" s="8" t="n">
        <f aca="false">((I58+IF(INDEX(Assumptions!$C$87:$E$87,$B$3)&gt;=2,H58,0)+IF(INDEX(Assumptions!$C$87:$E$87,$B$3)&gt;=3,G58,0))/INDEX(Assumptions!$C$87:$E$87,$B$3))-I58</f>
        <v>-232008.377951918</v>
      </c>
      <c r="J102" s="8" t="n">
        <f aca="false">((J58+IF(INDEX(Assumptions!$C$87:$E$87,$B$3)&gt;=2,I58,0)+IF(INDEX(Assumptions!$C$87:$E$87,$B$3)&gt;=3,H58,0))/INDEX(Assumptions!$C$87:$E$87,$B$3))-J58</f>
        <v>-13451.4561373681</v>
      </c>
      <c r="K102" s="8" t="n">
        <f aca="false">((K58+IF(INDEX(Assumptions!$C$87:$E$87,$B$3)&gt;=2,J58,0)+IF(INDEX(Assumptions!$C$87:$E$87,$B$3)&gt;=3,I58,0))/INDEX(Assumptions!$C$87:$E$87,$B$3))-K58</f>
        <v>138332.440644268</v>
      </c>
      <c r="L102" s="8" t="n">
        <f aca="false">((L58+IF(INDEX(Assumptions!$C$87:$E$87,$B$3)&gt;=2,K58,0)+IF(INDEX(Assumptions!$C$87:$E$87,$B$3)&gt;=3,J58,0))/INDEX(Assumptions!$C$87:$E$87,$B$3))-L58</f>
        <v>-59693.5780307893</v>
      </c>
      <c r="M102" s="8" t="n">
        <f aca="false">((M58+IF(INDEX(Assumptions!$C$87:$E$87,$B$3)&gt;=2,L58,0)+IF(INDEX(Assumptions!$C$87:$E$87,$B$3)&gt;=3,K58,0))/INDEX(Assumptions!$C$87:$E$87,$B$3))-M58</f>
        <v>-6918.44140521821</v>
      </c>
      <c r="N102" s="8" t="n">
        <f aca="false">((N58+IF(INDEX(Assumptions!$C$87:$E$87,$B$3)&gt;=2,M58,0)+IF(INDEX(Assumptions!$C$87:$E$87,$B$3)&gt;=3,L58,0))/INDEX(Assumptions!$C$87:$E$87,$B$3))-N58</f>
        <v>13439.9957297602</v>
      </c>
      <c r="O102" s="37" t="n">
        <f aca="false">SUM(C102:N102)</f>
        <v>-292426.27118644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-403576.242847335</v>
      </c>
      <c r="D103" s="37" t="n">
        <f aca="false">D92+D102-D101</f>
        <v>-217125.146971993</v>
      </c>
      <c r="E103" s="37" t="n">
        <f aca="false">E92+E102-E101</f>
        <v>-313715.639750974</v>
      </c>
      <c r="F103" s="37" t="n">
        <f aca="false">F92+F102-F101</f>
        <v>-98478.1853315359</v>
      </c>
      <c r="G103" s="37" t="n">
        <f aca="false">G92+G102-G101</f>
        <v>-64900.2610799548</v>
      </c>
      <c r="H103" s="37" t="n">
        <f aca="false">H92+H102-H101</f>
        <v>-1505703.18695092</v>
      </c>
      <c r="I103" s="37" t="n">
        <f aca="false">I92+I102-I101</f>
        <v>72197.7085110777</v>
      </c>
      <c r="J103" s="37" t="n">
        <f aca="false">J92+J102-J101</f>
        <v>-17480.1822338678</v>
      </c>
      <c r="K103" s="37" t="n">
        <f aca="false">K92+K102-K101</f>
        <v>231122.277534305</v>
      </c>
      <c r="L103" s="37" t="n">
        <f aca="false">L92+L102-L101</f>
        <v>146512.251914249</v>
      </c>
      <c r="M103" s="37" t="n">
        <f aca="false">M92+M102-M101</f>
        <v>226935.894209493</v>
      </c>
      <c r="N103" s="37" t="n">
        <f aca="false">N92+N102-N101</f>
        <v>240341.222781604</v>
      </c>
      <c r="O103" s="31" t="n">
        <f aca="false">SUM(C103:N103)</f>
        <v>-1703869.49021585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-403576.242847335</v>
      </c>
      <c r="D104" s="37" t="n">
        <f aca="false">C104+D103</f>
        <v>-620701.389819329</v>
      </c>
      <c r="E104" s="37" t="n">
        <f aca="false">D104+E103</f>
        <v>-934417.029570302</v>
      </c>
      <c r="F104" s="37" t="n">
        <f aca="false">E104+F103</f>
        <v>-1032895.21490184</v>
      </c>
      <c r="G104" s="37" t="n">
        <f aca="false">F104+G103</f>
        <v>-1097795.47598179</v>
      </c>
      <c r="H104" s="37" t="n">
        <f aca="false">G104+H103</f>
        <v>-2603498.66293271</v>
      </c>
      <c r="I104" s="37" t="n">
        <f aca="false">H104+I103</f>
        <v>-2531300.95442163</v>
      </c>
      <c r="J104" s="37" t="n">
        <f aca="false">I104+J103</f>
        <v>-2548781.1366555</v>
      </c>
      <c r="K104" s="37" t="n">
        <f aca="false">J104+K103</f>
        <v>-2317658.8591212</v>
      </c>
      <c r="L104" s="37" t="n">
        <f aca="false">K104+L103</f>
        <v>-2171146.60720695</v>
      </c>
      <c r="M104" s="37" t="n">
        <f aca="false">L104+M103</f>
        <v>-1944210.71299746</v>
      </c>
      <c r="N104" s="37" t="n">
        <f aca="false">M104+N103</f>
        <v>-1703869.49021585</v>
      </c>
      <c r="O104" s="31" t="n">
        <f aca="false">N104</f>
        <v>-1703869.49021585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403576.242847335</v>
      </c>
      <c r="D105" s="37" t="n">
        <f aca="false">-MIN(0,MIN($C$104:D104))</f>
        <v>620701.389819329</v>
      </c>
      <c r="E105" s="37" t="n">
        <f aca="false">-MIN(0,MIN($C$104:E104))</f>
        <v>934417.029570302</v>
      </c>
      <c r="F105" s="37" t="n">
        <f aca="false">-MIN(0,MIN($C$104:F104))</f>
        <v>1032895.21490184</v>
      </c>
      <c r="G105" s="37" t="n">
        <f aca="false">-MIN(0,MIN($C$104:G104))</f>
        <v>1097795.47598179</v>
      </c>
      <c r="H105" s="37" t="n">
        <f aca="false">-MIN(0,MIN($C$104:H104))</f>
        <v>2603498.66293271</v>
      </c>
      <c r="I105" s="37" t="n">
        <f aca="false">-MIN(0,MIN($C$104:I104))</f>
        <v>2603498.66293271</v>
      </c>
      <c r="J105" s="37" t="n">
        <f aca="false">-MIN(0,MIN($C$104:J104))</f>
        <v>2603498.66293271</v>
      </c>
      <c r="K105" s="37" t="n">
        <f aca="false">-MIN(0,MIN($C$104:K104))</f>
        <v>2603498.66293271</v>
      </c>
      <c r="L105" s="37" t="n">
        <f aca="false">-MIN(0,MIN($C$104:L104))</f>
        <v>2603498.66293271</v>
      </c>
      <c r="M105" s="37" t="n">
        <f aca="false">-MIN(0,MIN($C$104:M104))</f>
        <v>2603498.66293271</v>
      </c>
      <c r="N105" s="37" t="n">
        <f aca="false">-MIN(0,MIN($C$104:N104))</f>
        <v>2603498.66293271</v>
      </c>
      <c r="O105" s="31" t="n">
        <f aca="false">MAX(C105:N105)</f>
        <v>2603498.66293271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7127620.65018738</v>
      </c>
    </row>
    <row r="110" customFormat="false" ht="15" hidden="false" customHeight="false" outlineLevel="0" collapsed="false">
      <c r="A110" s="3" t="s">
        <v>28</v>
      </c>
      <c r="B110" s="31" t="n">
        <f aca="false">O92</f>
        <v>560556.780970588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0.0786457092039336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-339443.219029412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2603498.66293271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396501.337067288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89.7371433085444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10.8540813053093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0.840526065228539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5.47965738818625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65.755888658235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10748.6449921468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0.158542513634165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0.422416488225544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666961.392611592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-1703869.49021585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1222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1.25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5259.96</v>
      </c>
      <c r="D60" s="8" t="n">
        <f aca="false">((D27+D30)*INDEX(Assumptions!$C$91:$E$91,$B$3)+D28*INDEX(Assumptions!$C$93:$E$93,$B$3))*$N$3</f>
        <v>10784.64825</v>
      </c>
      <c r="E60" s="8" t="n">
        <f aca="false">((E27+E30)*INDEX(Assumptions!$C$91:$E$91,$B$3)+E28*INDEX(Assumptions!$C$93:$E$93,$B$3))*$N$3</f>
        <v>17696.53125</v>
      </c>
      <c r="F60" s="8" t="n">
        <f aca="false">((F27+F30)*INDEX(Assumptions!$C$91:$E$91,$B$3)+F28*INDEX(Assumptions!$C$93:$E$93,$B$3))*$N$3</f>
        <v>25110</v>
      </c>
      <c r="G60" s="8" t="n">
        <f aca="false">((G27+G30)*INDEX(Assumptions!$C$91:$E$91,$B$3)+G28*INDEX(Assumptions!$C$93:$E$93,$B$3))*$N$3</f>
        <v>34767</v>
      </c>
      <c r="H60" s="8" t="n">
        <f aca="false">((H27+H30)*INDEX(Assumptions!$C$91:$E$91,$B$3)+H28*INDEX(Assumptions!$C$93:$E$93,$B$3))*$N$3</f>
        <v>30504.7468619247</v>
      </c>
      <c r="I60" s="8" t="n">
        <f aca="false">((I27+I30)*INDEX(Assumptions!$C$91:$E$91,$B$3)+I28*INDEX(Assumptions!$C$93:$E$93,$B$3))*$N$3</f>
        <v>63785.4759414226</v>
      </c>
      <c r="J60" s="8" t="n">
        <f aca="false">((J27+J30)*INDEX(Assumptions!$C$91:$E$91,$B$3)+J28*INDEX(Assumptions!$C$93:$E$93,$B$3))*$N$3</f>
        <v>69409.4586799247</v>
      </c>
      <c r="K60" s="8" t="n">
        <f aca="false">((K27+K30)*INDEX(Assumptions!$C$91:$E$91,$B$3)+K28*INDEX(Assumptions!$C$93:$E$93,$B$3))*$N$3</f>
        <v>44644.8737542632</v>
      </c>
      <c r="L60" s="8" t="n">
        <f aca="false">((L27+L30)*INDEX(Assumptions!$C$91:$E$91,$B$3)+L28*INDEX(Assumptions!$C$93:$E$93,$B$3))*$N$3</f>
        <v>57058.9561066346</v>
      </c>
      <c r="M60" s="8" t="n">
        <f aca="false">((M27+M30)*INDEX(Assumptions!$C$91:$E$91,$B$3)+M28*INDEX(Assumptions!$C$93:$E$93,$B$3))*$N$3</f>
        <v>59619.1384377533</v>
      </c>
      <c r="N60" s="8" t="n">
        <f aca="false">((N27+N30)*INDEX(Assumptions!$C$91:$E$91,$B$3)+N28*INDEX(Assumptions!$C$93:$E$93,$B$3))*$N$3</f>
        <v>57262.5</v>
      </c>
      <c r="O60" s="37" t="n">
        <f aca="false">SUM(C60:N60)</f>
        <v>475903.289281923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10519.92</v>
      </c>
      <c r="D61" s="8" t="n">
        <f aca="false">(D27+D28)*D45*INDEX(Assumptions!$C$14:$E$14,$B$3)*$N$3</f>
        <v>19465.3125</v>
      </c>
      <c r="E61" s="8" t="n">
        <f aca="false">(E27+E28)*E45*INDEX(Assumptions!$C$14:$E$14,$B$3)*$N$3</f>
        <v>31500</v>
      </c>
      <c r="F61" s="8" t="n">
        <f aca="false">(F27+F28)*F45*INDEX(Assumptions!$C$14:$E$14,$B$3)*$N$3</f>
        <v>43920</v>
      </c>
      <c r="G61" s="8" t="n">
        <f aca="false">(G27+G28)*G45*INDEX(Assumptions!$C$14:$E$14,$B$3)*$N$3</f>
        <v>60750</v>
      </c>
      <c r="H61" s="8" t="n">
        <f aca="false">(H27+H28)*H45*INDEX(Assumptions!$C$14:$E$14,$B$3)*$N$3</f>
        <v>52854.759414226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219009.991914226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1168.88</v>
      </c>
      <c r="D62" s="8" t="n">
        <f aca="false">D29*INDEX(Assumptions!$C$92:$E$92,$B$3)*$N$3</f>
        <v>2162.8125</v>
      </c>
      <c r="E62" s="8" t="n">
        <f aca="false">E29*INDEX(Assumptions!$C$92:$E$92,$B$3)*$N$3</f>
        <v>3500</v>
      </c>
      <c r="F62" s="8" t="n">
        <f aca="false">F29*INDEX(Assumptions!$C$92:$E$92,$B$3)*$N$3</f>
        <v>4880</v>
      </c>
      <c r="G62" s="8" t="n">
        <f aca="false">G29*INDEX(Assumptions!$C$92:$E$92,$B$3)*$N$3</f>
        <v>6750</v>
      </c>
      <c r="H62" s="8" t="n">
        <f aca="false">H29*INDEX(Assumptions!$C$92:$E$92,$B$3)*$N$3</f>
        <v>5872.75104602511</v>
      </c>
      <c r="I62" s="8" t="n">
        <f aca="false">I29*INDEX(Assumptions!$C$92:$E$92,$B$3)*$N$3</f>
        <v>13000</v>
      </c>
      <c r="J62" s="8" t="n">
        <f aca="false">J29*INDEX(Assumptions!$C$92:$E$92,$B$3)*$N$3</f>
        <v>12933.439505576</v>
      </c>
      <c r="K62" s="8" t="n">
        <f aca="false">K29*INDEX(Assumptions!$C$92:$E$92,$B$3)*$N$3</f>
        <v>8220.06387479651</v>
      </c>
      <c r="L62" s="8" t="n">
        <f aca="false">L29*INDEX(Assumptions!$C$92:$E$92,$B$3)*$N$3</f>
        <v>10462.2371530592</v>
      </c>
      <c r="M62" s="8" t="n">
        <f aca="false">M29*INDEX(Assumptions!$C$92:$E$92,$B$3)*$N$3</f>
        <v>10500</v>
      </c>
      <c r="N62" s="8" t="n">
        <f aca="false">N29*INDEX(Assumptions!$C$92:$E$92,$B$3)*$N$3</f>
        <v>10000</v>
      </c>
      <c r="O62" s="37" t="n">
        <f aca="false">SUM(C62:N62)</f>
        <v>89450.1840794568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3842.65947467167</v>
      </c>
      <c r="D63" s="8" t="n">
        <f aca="false">(D37*INDEX(Assumptions!$C$94:$E$94,$B$3)+D38*INDEX(Assumptions!$C$95:$E$95,$B$3)+D39*INDEX(Assumptions!$C$96:$E$96,$B$3))*$N$3</f>
        <v>6634.03274507505</v>
      </c>
      <c r="E63" s="8" t="n">
        <f aca="false">(E37*INDEX(Assumptions!$C$94:$E$94,$B$3)+E38*INDEX(Assumptions!$C$95:$E$95,$B$3)+E39*INDEX(Assumptions!$C$96:$E$96,$B$3))*$N$3</f>
        <v>14276.0318949343</v>
      </c>
      <c r="F63" s="8" t="n">
        <f aca="false">(F37*INDEX(Assumptions!$C$94:$E$94,$B$3)+F38*INDEX(Assumptions!$C$95:$E$95,$B$3)+F39*INDEX(Assumptions!$C$96:$E$96,$B$3))*$N$3</f>
        <v>19680.5816135084</v>
      </c>
      <c r="G63" s="8" t="n">
        <f aca="false">(G37*INDEX(Assumptions!$C$94:$E$94,$B$3)+G38*INDEX(Assumptions!$C$95:$E$95,$B$3)+G39*INDEX(Assumptions!$C$96:$E$96,$B$3))*$N$3</f>
        <v>21478.7757973734</v>
      </c>
      <c r="H63" s="8" t="n">
        <f aca="false">(H37*INDEX(Assumptions!$C$94:$E$94,$B$3)+H38*INDEX(Assumptions!$C$95:$E$95,$B$3)+H39*INDEX(Assumptions!$C$96:$E$96,$B$3))*$N$3</f>
        <v>25565.0797373358</v>
      </c>
      <c r="I63" s="8" t="n">
        <f aca="false">(I37*INDEX(Assumptions!$C$94:$E$94,$B$3)+I38*INDEX(Assumptions!$C$95:$E$95,$B$3)+I39*INDEX(Assumptions!$C$96:$E$96,$B$3))*$N$3</f>
        <v>30310.9756097561</v>
      </c>
      <c r="J63" s="8" t="n">
        <f aca="false">(J37*INDEX(Assumptions!$C$94:$E$94,$B$3)+J38*INDEX(Assumptions!$C$95:$E$95,$B$3)+J39*INDEX(Assumptions!$C$96:$E$96,$B$3))*$N$3</f>
        <v>33957.5515947467</v>
      </c>
      <c r="K63" s="8" t="n">
        <f aca="false">(K37*INDEX(Assumptions!$C$94:$E$94,$B$3)+K38*INDEX(Assumptions!$C$95:$E$95,$B$3)+K39*INDEX(Assumptions!$C$96:$E$96,$B$3))*$N$3</f>
        <v>33664.3996247655</v>
      </c>
      <c r="L63" s="8" t="n">
        <f aca="false">(L37*INDEX(Assumptions!$C$94:$E$94,$B$3)+L38*INDEX(Assumptions!$C$95:$E$95,$B$3)+L39*INDEX(Assumptions!$C$96:$E$96,$B$3))*$N$3</f>
        <v>34724.6716697936</v>
      </c>
      <c r="M63" s="8" t="n">
        <f aca="false">(M37*INDEX(Assumptions!$C$94:$E$94,$B$3)+M38*INDEX(Assumptions!$C$95:$E$95,$B$3)+M39*INDEX(Assumptions!$C$96:$E$96,$B$3))*$N$3</f>
        <v>36828.095684803</v>
      </c>
      <c r="N63" s="8" t="n">
        <f aca="false">(N37*INDEX(Assumptions!$C$94:$E$94,$B$3)+N38*INDEX(Assumptions!$C$95:$E$95,$B$3)+N39*INDEX(Assumptions!$C$96:$E$96,$B$3))*$N$3</f>
        <v>38931.5196998124</v>
      </c>
      <c r="O63" s="37" t="n">
        <f aca="false">SUM(C63:N63)</f>
        <v>299894.375146576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24163.2748246043</v>
      </c>
      <c r="D68" s="37" t="n">
        <f aca="false">SUM(D60:D67)</f>
        <v>45296.3615342892</v>
      </c>
      <c r="E68" s="37" t="n">
        <f aca="false">SUM(E60:E67)</f>
        <v>78172.2321507939</v>
      </c>
      <c r="F68" s="37" t="n">
        <f aca="false">SUM(F60:F67)</f>
        <v>109419.36851955</v>
      </c>
      <c r="G68" s="37" t="n">
        <f aca="false">SUM(G60:G67)</f>
        <v>144577.816026754</v>
      </c>
      <c r="H68" s="37" t="n">
        <f aca="false">SUM(H60:H67)</f>
        <v>134694.218530297</v>
      </c>
      <c r="I68" s="37" t="n">
        <f aca="false">SUM(I60:I67)</f>
        <v>150967.957014019</v>
      </c>
      <c r="J68" s="37" t="n">
        <f aca="false">SUM(J60:J67)</f>
        <v>162239.719617253</v>
      </c>
      <c r="K68" s="37" t="n">
        <f aca="false">SUM(K60:K67)</f>
        <v>145338.203253564</v>
      </c>
      <c r="L68" s="37" t="n">
        <f aca="false">SUM(L60:L67)</f>
        <v>167333.000847003</v>
      </c>
      <c r="M68" s="37" t="n">
        <f aca="false">SUM(M60:M67)</f>
        <v>173056.221182529</v>
      </c>
      <c r="N68" s="37" t="n">
        <f aca="false">SUM(N60:N67)</f>
        <v>171384.96178334</v>
      </c>
      <c r="O68" s="31" t="n">
        <f aca="false">SUM(C68:N68)</f>
        <v>1506643.335284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57791.5111894893</v>
      </c>
      <c r="D69" s="37" t="n">
        <f aca="false">D57-D68</f>
        <v>104701.847762919</v>
      </c>
      <c r="E69" s="37" t="n">
        <f aca="false">E57-E68</f>
        <v>189936.949638805</v>
      </c>
      <c r="F69" s="37" t="n">
        <f aca="false">F57-F68</f>
        <v>260354.017329657</v>
      </c>
      <c r="G69" s="37" t="n">
        <f aca="false">G57-G68</f>
        <v>317098.261489384</v>
      </c>
      <c r="H69" s="37" t="n">
        <f aca="false">H57-H68</f>
        <v>313533.288444852</v>
      </c>
      <c r="I69" s="37" t="n">
        <f aca="false">I57-I68</f>
        <v>792971.072530677</v>
      </c>
      <c r="J69" s="37" t="n">
        <f aca="false">J57-J68</f>
        <v>829723.414661603</v>
      </c>
      <c r="K69" s="37" t="n">
        <f aca="false">K57-K68</f>
        <v>591939.758338566</v>
      </c>
      <c r="L69" s="37" t="n">
        <f aca="false">L57-L68</f>
        <v>701613.751424586</v>
      </c>
      <c r="M69" s="37" t="n">
        <f aca="false">M57-M68</f>
        <v>727450.646161284</v>
      </c>
      <c r="N69" s="37" t="n">
        <f aca="false">N57-N68</f>
        <v>720595.423111881</v>
      </c>
      <c r="O69" s="31" t="n">
        <f aca="false">SUM(C69:N69)</f>
        <v>5607709.9420837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0.705163346769657</v>
      </c>
      <c r="D70" s="7" t="n">
        <f aca="false">IFERROR(D69/D57,0)</f>
        <v>0.698020651402989</v>
      </c>
      <c r="E70" s="7" t="n">
        <f aca="false">IFERROR(E69/E57,0)</f>
        <v>0.708431350135034</v>
      </c>
      <c r="F70" s="7" t="n">
        <f aca="false">IFERROR(F69/F57,0)</f>
        <v>0.704090741229898</v>
      </c>
      <c r="G70" s="7" t="n">
        <f aca="false">IFERROR(G69/G57,0)</f>
        <v>0.686841439121999</v>
      </c>
      <c r="H70" s="7" t="n">
        <f aca="false">IFERROR(H69/H57,0)</f>
        <v>0.699495866643087</v>
      </c>
      <c r="I70" s="7" t="n">
        <f aca="false">IFERROR(I69/I57,0)</f>
        <v>0.840065987008888</v>
      </c>
      <c r="J70" s="7" t="n">
        <f aca="false">IFERROR(J69/J57,0)</f>
        <v>0.836445817378889</v>
      </c>
      <c r="K70" s="7" t="n">
        <f aca="false">IFERROR(K69/K57,0)</f>
        <v>0.802871900660491</v>
      </c>
      <c r="L70" s="7" t="n">
        <f aca="false">IFERROR(L69/L57,0)</f>
        <v>0.80743008658521</v>
      </c>
      <c r="M70" s="7" t="n">
        <f aca="false">IFERROR(M69/M57,0)</f>
        <v>0.8078235408765</v>
      </c>
      <c r="N70" s="7" t="n">
        <f aca="false">IFERROR(N69/N57,0)</f>
        <v>0.807860167459319</v>
      </c>
      <c r="O70" s="13" t="n">
        <f aca="false">IFERROR(O69/O57,0)</f>
        <v>0.788224835548025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-234041.488810511</v>
      </c>
      <c r="D92" s="37" t="n">
        <f aca="false">D69-D91</f>
        <v>-207131.152237081</v>
      </c>
      <c r="E92" s="37" t="n">
        <f aca="false">E69-E91</f>
        <v>-296896.050361195</v>
      </c>
      <c r="F92" s="37" t="n">
        <f aca="false">F69-F91</f>
        <v>-86478.9826703431</v>
      </c>
      <c r="G92" s="37" t="n">
        <f aca="false">G69-G91</f>
        <v>-49734.738510616</v>
      </c>
      <c r="H92" s="37" t="n">
        <f aca="false">H69-H91</f>
        <v>-75799.7115551482</v>
      </c>
      <c r="I92" s="37" t="n">
        <f aca="false">I69-I91</f>
        <v>283038.072530677</v>
      </c>
      <c r="J92" s="37" t="n">
        <f aca="false">J69-J91</f>
        <v>319790.414661603</v>
      </c>
      <c r="K92" s="37" t="n">
        <f aca="false">K69-K91</f>
        <v>77006.7583385662</v>
      </c>
      <c r="L92" s="37" t="n">
        <f aca="false">L69-L91</f>
        <v>186680.751424586</v>
      </c>
      <c r="M92" s="37" t="n">
        <f aca="false">M69-M91</f>
        <v>212517.646161283</v>
      </c>
      <c r="N92" s="37" t="n">
        <f aca="false">N69-N91</f>
        <v>205662.423111881</v>
      </c>
      <c r="O92" s="31" t="n">
        <f aca="false">SUM(C92:N92)</f>
        <v>334613.942083702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-2.85573912389038</v>
      </c>
      <c r="D93" s="7" t="n">
        <f aca="false">IFERROR(D92/D57,0)</f>
        <v>-1.38089083334767</v>
      </c>
      <c r="E93" s="7" t="n">
        <f aca="false">IFERROR(E92/E57,0)</f>
        <v>-1.10736994674874</v>
      </c>
      <c r="F93" s="7" t="n">
        <f aca="false">IFERROR(F92/F57,0)</f>
        <v>-0.233870218841572</v>
      </c>
      <c r="G93" s="7" t="n">
        <f aca="false">IFERROR(G92/G57,0)</f>
        <v>-0.107726479522599</v>
      </c>
      <c r="H93" s="7" t="n">
        <f aca="false">IFERROR(H92/H57,0)</f>
        <v>-0.169109905964229</v>
      </c>
      <c r="I93" s="7" t="n">
        <f aca="false">IFERROR(I92/I57,0)</f>
        <v>0.299847833039808</v>
      </c>
      <c r="J93" s="7" t="n">
        <f aca="false">IFERROR(J92/J57,0)</f>
        <v>0.322381350284843</v>
      </c>
      <c r="K93" s="7" t="n">
        <f aca="false">IFERROR(K92/K57,0)</f>
        <v>0.10444738938388</v>
      </c>
      <c r="L93" s="7" t="n">
        <f aca="false">IFERROR(L92/L57,0)</f>
        <v>0.214835662756743</v>
      </c>
      <c r="M93" s="7" t="n">
        <f aca="false">IFERROR(M92/M57,0)</f>
        <v>0.235997807310607</v>
      </c>
      <c r="N93" s="7" t="n">
        <f aca="false">IFERROR(N92/N57,0)</f>
        <v>0.2305683248136</v>
      </c>
      <c r="O93" s="7" t="n">
        <f aca="false">IFERROR(O92/O57,0)</f>
        <v>0.0470336415747277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-309041.488810511</v>
      </c>
      <c r="D94" s="8" t="n">
        <f aca="false">D92-INDEX(Assumptions!$C$163:$E$163,$B$3)</f>
        <v>-282131.152237081</v>
      </c>
      <c r="E94" s="8" t="n">
        <f aca="false">E92-INDEX(Assumptions!$C$163:$E$163,$B$3)</f>
        <v>-371896.050361195</v>
      </c>
      <c r="F94" s="8" t="n">
        <f aca="false">F92-INDEX(Assumptions!$C$163:$E$163,$B$3)</f>
        <v>-161478.982670343</v>
      </c>
      <c r="G94" s="8" t="n">
        <f aca="false">G92-INDEX(Assumptions!$C$163:$E$163,$B$3)</f>
        <v>-124734.738510616</v>
      </c>
      <c r="H94" s="8" t="n">
        <f aca="false">H92-INDEX(Assumptions!$C$163:$E$163,$B$3)</f>
        <v>-150799.711555148</v>
      </c>
      <c r="I94" s="8" t="n">
        <f aca="false">I92-INDEX(Assumptions!$C$163:$E$163,$B$3)</f>
        <v>208038.072530677</v>
      </c>
      <c r="J94" s="8" t="n">
        <f aca="false">J92-INDEX(Assumptions!$C$163:$E$163,$B$3)</f>
        <v>244790.414661603</v>
      </c>
      <c r="K94" s="8" t="n">
        <f aca="false">K92-INDEX(Assumptions!$C$163:$E$163,$B$3)</f>
        <v>2006.75833856617</v>
      </c>
      <c r="L94" s="8" t="n">
        <f aca="false">L92-INDEX(Assumptions!$C$163:$E$163,$B$3)</f>
        <v>111680.751424586</v>
      </c>
      <c r="M94" s="8" t="n">
        <f aca="false">M92-INDEX(Assumptions!$C$163:$E$163,$B$3)</f>
        <v>137517.646161283</v>
      </c>
      <c r="N94" s="8" t="n">
        <f aca="false">N92-INDEX(Assumptions!$C$163:$E$163,$B$3)</f>
        <v>130662.423111881</v>
      </c>
      <c r="O94" s="37" t="n">
        <f aca="false">SUM(C94:N94)</f>
        <v>-565386.057916298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-409776.660335935</v>
      </c>
      <c r="D103" s="37" t="n">
        <f aca="false">D92+D102-D101</f>
        <v>-230209.148533691</v>
      </c>
      <c r="E103" s="37" t="n">
        <f aca="false">E92+E102-E101</f>
        <v>-327352.672263738</v>
      </c>
      <c r="F103" s="37" t="n">
        <f aca="false">F92+F102-F101</f>
        <v>-118229.023454241</v>
      </c>
      <c r="G103" s="37" t="n">
        <f aca="false">G92+G102-G101</f>
        <v>-92316.8402055312</v>
      </c>
      <c r="H103" s="37" t="n">
        <f aca="false">H92+H102-H101</f>
        <v>-1528128.07101547</v>
      </c>
      <c r="I103" s="37" t="n">
        <f aca="false">I92+I102-I101</f>
        <v>52671.8904513915</v>
      </c>
      <c r="J103" s="37" t="n">
        <f aca="false">J92+J102-J101</f>
        <v>-41825.6011495588</v>
      </c>
      <c r="K103" s="37" t="n">
        <f aca="false">K92+K102-K101</f>
        <v>212799.838170758</v>
      </c>
      <c r="L103" s="37" t="n">
        <f aca="false">L92+L102-L101</f>
        <v>127314.613715075</v>
      </c>
      <c r="M103" s="37" t="n">
        <f aca="false">M92+M102-M101</f>
        <v>206103.072753558</v>
      </c>
      <c r="N103" s="37" t="n">
        <f aca="false">N92+N102-N101</f>
        <v>219136.272764644</v>
      </c>
      <c r="O103" s="31" t="n">
        <f aca="false">SUM(C103:N103)</f>
        <v>-1929812.32910274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-409776.660335935</v>
      </c>
      <c r="D104" s="37" t="n">
        <f aca="false">C104+D103</f>
        <v>-639985.808869625</v>
      </c>
      <c r="E104" s="37" t="n">
        <f aca="false">D104+E103</f>
        <v>-967338.481133363</v>
      </c>
      <c r="F104" s="37" t="n">
        <f aca="false">E104+F103</f>
        <v>-1085567.5045876</v>
      </c>
      <c r="G104" s="37" t="n">
        <f aca="false">F104+G103</f>
        <v>-1177884.34479314</v>
      </c>
      <c r="H104" s="37" t="n">
        <f aca="false">G104+H103</f>
        <v>-2706012.41580861</v>
      </c>
      <c r="I104" s="37" t="n">
        <f aca="false">H104+I103</f>
        <v>-2653340.52535721</v>
      </c>
      <c r="J104" s="37" t="n">
        <f aca="false">I104+J103</f>
        <v>-2695166.12650677</v>
      </c>
      <c r="K104" s="37" t="n">
        <f aca="false">J104+K103</f>
        <v>-2482366.28833602</v>
      </c>
      <c r="L104" s="37" t="n">
        <f aca="false">K104+L103</f>
        <v>-2355051.67462094</v>
      </c>
      <c r="M104" s="37" t="n">
        <f aca="false">L104+M103</f>
        <v>-2148948.60186738</v>
      </c>
      <c r="N104" s="37" t="n">
        <f aca="false">M104+N103</f>
        <v>-1929812.32910274</v>
      </c>
      <c r="O104" s="31" t="n">
        <f aca="false">N104</f>
        <v>-1929812.32910274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409776.660335935</v>
      </c>
      <c r="D105" s="37" t="n">
        <f aca="false">-MIN(0,MIN($C$104:D104))</f>
        <v>639985.808869625</v>
      </c>
      <c r="E105" s="37" t="n">
        <f aca="false">-MIN(0,MIN($C$104:E104))</f>
        <v>967338.481133363</v>
      </c>
      <c r="F105" s="37" t="n">
        <f aca="false">-MIN(0,MIN($C$104:F104))</f>
        <v>1085567.5045876</v>
      </c>
      <c r="G105" s="37" t="n">
        <f aca="false">-MIN(0,MIN($C$104:G104))</f>
        <v>1177884.34479314</v>
      </c>
      <c r="H105" s="37" t="n">
        <f aca="false">-MIN(0,MIN($C$104:H104))</f>
        <v>2706012.41580861</v>
      </c>
      <c r="I105" s="37" t="n">
        <f aca="false">-MIN(0,MIN($C$104:I104))</f>
        <v>2706012.41580861</v>
      </c>
      <c r="J105" s="37" t="n">
        <f aca="false">-MIN(0,MIN($C$104:J104))</f>
        <v>2706012.41580861</v>
      </c>
      <c r="K105" s="37" t="n">
        <f aca="false">-MIN(0,MIN($C$104:K104))</f>
        <v>2706012.41580861</v>
      </c>
      <c r="L105" s="37" t="n">
        <f aca="false">-MIN(0,MIN($C$104:L104))</f>
        <v>2706012.41580861</v>
      </c>
      <c r="M105" s="37" t="n">
        <f aca="false">-MIN(0,MIN($C$104:M104))</f>
        <v>2706012.41580861</v>
      </c>
      <c r="N105" s="37" t="n">
        <f aca="false">-MIN(0,MIN($C$104:N104))</f>
        <v>2706012.41580861</v>
      </c>
      <c r="O105" s="31" t="n">
        <f aca="false">MAX(C105:N105)</f>
        <v>2706012.41580861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334613.942083702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0.0470336415747277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-565386.057916298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2706012.41580861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293987.584191394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48850.3317372881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232092.105739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5.78994828084461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69.4793793701354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604860.820697751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-1929812.32910274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1223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0.75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3155.976</v>
      </c>
      <c r="D60" s="8" t="n">
        <f aca="false">((D27+D30)*INDEX(Assumptions!$C$91:$E$91,$B$3)+D28*INDEX(Assumptions!$C$93:$E$93,$B$3))*$N$3</f>
        <v>6470.78895</v>
      </c>
      <c r="E60" s="8" t="n">
        <f aca="false">((E27+E30)*INDEX(Assumptions!$C$91:$E$91,$B$3)+E28*INDEX(Assumptions!$C$93:$E$93,$B$3))*$N$3</f>
        <v>10617.91875</v>
      </c>
      <c r="F60" s="8" t="n">
        <f aca="false">((F27+F30)*INDEX(Assumptions!$C$91:$E$91,$B$3)+F28*INDEX(Assumptions!$C$93:$E$93,$B$3))*$N$3</f>
        <v>15066</v>
      </c>
      <c r="G60" s="8" t="n">
        <f aca="false">((G27+G30)*INDEX(Assumptions!$C$91:$E$91,$B$3)+G28*INDEX(Assumptions!$C$93:$E$93,$B$3))*$N$3</f>
        <v>20860.2</v>
      </c>
      <c r="H60" s="8" t="n">
        <f aca="false">((H27+H30)*INDEX(Assumptions!$C$91:$E$91,$B$3)+H28*INDEX(Assumptions!$C$93:$E$93,$B$3))*$N$3</f>
        <v>18302.8481171548</v>
      </c>
      <c r="I60" s="8" t="n">
        <f aca="false">((I27+I30)*INDEX(Assumptions!$C$91:$E$91,$B$3)+I28*INDEX(Assumptions!$C$93:$E$93,$B$3))*$N$3</f>
        <v>38271.2855648536</v>
      </c>
      <c r="J60" s="8" t="n">
        <f aca="false">((J27+J30)*INDEX(Assumptions!$C$91:$E$91,$B$3)+J28*INDEX(Assumptions!$C$93:$E$93,$B$3))*$N$3</f>
        <v>41645.6752079548</v>
      </c>
      <c r="K60" s="8" t="n">
        <f aca="false">((K27+K30)*INDEX(Assumptions!$C$91:$E$91,$B$3)+K28*INDEX(Assumptions!$C$93:$E$93,$B$3))*$N$3</f>
        <v>26786.9242525579</v>
      </c>
      <c r="L60" s="8" t="n">
        <f aca="false">((L27+L30)*INDEX(Assumptions!$C$91:$E$91,$B$3)+L28*INDEX(Assumptions!$C$93:$E$93,$B$3))*$N$3</f>
        <v>34235.3736639807</v>
      </c>
      <c r="M60" s="8" t="n">
        <f aca="false">((M27+M30)*INDEX(Assumptions!$C$91:$E$91,$B$3)+M28*INDEX(Assumptions!$C$93:$E$93,$B$3))*$N$3</f>
        <v>35771.483062652</v>
      </c>
      <c r="N60" s="8" t="n">
        <f aca="false">((N27+N30)*INDEX(Assumptions!$C$91:$E$91,$B$3)+N28*INDEX(Assumptions!$C$93:$E$93,$B$3))*$N$3</f>
        <v>34357.5</v>
      </c>
      <c r="O60" s="37" t="n">
        <f aca="false">SUM(C60:N60)</f>
        <v>285541.973569154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6311.952</v>
      </c>
      <c r="D61" s="8" t="n">
        <f aca="false">(D27+D28)*D45*INDEX(Assumptions!$C$14:$E$14,$B$3)*$N$3</f>
        <v>11679.1875</v>
      </c>
      <c r="E61" s="8" t="n">
        <f aca="false">(E27+E28)*E45*INDEX(Assumptions!$C$14:$E$14,$B$3)*$N$3</f>
        <v>18900</v>
      </c>
      <c r="F61" s="8" t="n">
        <f aca="false">(F27+F28)*F45*INDEX(Assumptions!$C$14:$E$14,$B$3)*$N$3</f>
        <v>26352</v>
      </c>
      <c r="G61" s="8" t="n">
        <f aca="false">(G27+G28)*G45*INDEX(Assumptions!$C$14:$E$14,$B$3)*$N$3</f>
        <v>36450</v>
      </c>
      <c r="H61" s="8" t="n">
        <f aca="false">(H27+H28)*H45*INDEX(Assumptions!$C$14:$E$14,$B$3)*$N$3</f>
        <v>31712.8556485356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131405.995148536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701.328</v>
      </c>
      <c r="D62" s="8" t="n">
        <f aca="false">D29*INDEX(Assumptions!$C$92:$E$92,$B$3)*$N$3</f>
        <v>1297.6875</v>
      </c>
      <c r="E62" s="8" t="n">
        <f aca="false">E29*INDEX(Assumptions!$C$92:$E$92,$B$3)*$N$3</f>
        <v>2100</v>
      </c>
      <c r="F62" s="8" t="n">
        <f aca="false">F29*INDEX(Assumptions!$C$92:$E$92,$B$3)*$N$3</f>
        <v>2928</v>
      </c>
      <c r="G62" s="8" t="n">
        <f aca="false">G29*INDEX(Assumptions!$C$92:$E$92,$B$3)*$N$3</f>
        <v>4050</v>
      </c>
      <c r="H62" s="8" t="n">
        <f aca="false">H29*INDEX(Assumptions!$C$92:$E$92,$B$3)*$N$3</f>
        <v>3523.65062761506</v>
      </c>
      <c r="I62" s="8" t="n">
        <f aca="false">I29*INDEX(Assumptions!$C$92:$E$92,$B$3)*$N$3</f>
        <v>7800</v>
      </c>
      <c r="J62" s="8" t="n">
        <f aca="false">J29*INDEX(Assumptions!$C$92:$E$92,$B$3)*$N$3</f>
        <v>7760.06370334561</v>
      </c>
      <c r="K62" s="8" t="n">
        <f aca="false">K29*INDEX(Assumptions!$C$92:$E$92,$B$3)*$N$3</f>
        <v>4932.03832487791</v>
      </c>
      <c r="L62" s="8" t="n">
        <f aca="false">L29*INDEX(Assumptions!$C$92:$E$92,$B$3)*$N$3</f>
        <v>6277.34229183551</v>
      </c>
      <c r="M62" s="8" t="n">
        <f aca="false">M29*INDEX(Assumptions!$C$92:$E$92,$B$3)*$N$3</f>
        <v>6300</v>
      </c>
      <c r="N62" s="8" t="n">
        <f aca="false">N29*INDEX(Assumptions!$C$92:$E$92,$B$3)*$N$3</f>
        <v>6000</v>
      </c>
      <c r="O62" s="37" t="n">
        <f aca="false">SUM(C62:N62)</f>
        <v>53670.1104476741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2305.595684803</v>
      </c>
      <c r="D63" s="8" t="n">
        <f aca="false">(D37*INDEX(Assumptions!$C$94:$E$94,$B$3)+D38*INDEX(Assumptions!$C$95:$E$95,$B$3)+D39*INDEX(Assumptions!$C$96:$E$96,$B$3))*$N$3</f>
        <v>3980.41964704503</v>
      </c>
      <c r="E63" s="8" t="n">
        <f aca="false">(E37*INDEX(Assumptions!$C$94:$E$94,$B$3)+E38*INDEX(Assumptions!$C$95:$E$95,$B$3)+E39*INDEX(Assumptions!$C$96:$E$96,$B$3))*$N$3</f>
        <v>8565.6191369606</v>
      </c>
      <c r="F63" s="8" t="n">
        <f aca="false">(F37*INDEX(Assumptions!$C$94:$E$94,$B$3)+F38*INDEX(Assumptions!$C$95:$E$95,$B$3)+F39*INDEX(Assumptions!$C$96:$E$96,$B$3))*$N$3</f>
        <v>11808.3489681051</v>
      </c>
      <c r="G63" s="8" t="n">
        <f aca="false">(G37*INDEX(Assumptions!$C$94:$E$94,$B$3)+G38*INDEX(Assumptions!$C$95:$E$95,$B$3)+G39*INDEX(Assumptions!$C$96:$E$96,$B$3))*$N$3</f>
        <v>12887.265478424</v>
      </c>
      <c r="H63" s="8" t="n">
        <f aca="false">(H37*INDEX(Assumptions!$C$94:$E$94,$B$3)+H38*INDEX(Assumptions!$C$95:$E$95,$B$3)+H39*INDEX(Assumptions!$C$96:$E$96,$B$3))*$N$3</f>
        <v>15339.0478424015</v>
      </c>
      <c r="I63" s="8" t="n">
        <f aca="false">(I37*INDEX(Assumptions!$C$94:$E$94,$B$3)+I38*INDEX(Assumptions!$C$95:$E$95,$B$3)+I39*INDEX(Assumptions!$C$96:$E$96,$B$3))*$N$3</f>
        <v>18186.5853658537</v>
      </c>
      <c r="J63" s="8" t="n">
        <f aca="false">(J37*INDEX(Assumptions!$C$94:$E$94,$B$3)+J38*INDEX(Assumptions!$C$95:$E$95,$B$3)+J39*INDEX(Assumptions!$C$96:$E$96,$B$3))*$N$3</f>
        <v>20374.530956848</v>
      </c>
      <c r="K63" s="8" t="n">
        <f aca="false">(K37*INDEX(Assumptions!$C$94:$E$94,$B$3)+K38*INDEX(Assumptions!$C$95:$E$95,$B$3)+K39*INDEX(Assumptions!$C$96:$E$96,$B$3))*$N$3</f>
        <v>20198.6397748593</v>
      </c>
      <c r="L63" s="8" t="n">
        <f aca="false">(L37*INDEX(Assumptions!$C$94:$E$94,$B$3)+L38*INDEX(Assumptions!$C$95:$E$95,$B$3)+L39*INDEX(Assumptions!$C$96:$E$96,$B$3))*$N$3</f>
        <v>20834.8030018762</v>
      </c>
      <c r="M63" s="8" t="n">
        <f aca="false">(M37*INDEX(Assumptions!$C$94:$E$94,$B$3)+M38*INDEX(Assumptions!$C$95:$E$95,$B$3)+M39*INDEX(Assumptions!$C$96:$E$96,$B$3))*$N$3</f>
        <v>22096.8574108818</v>
      </c>
      <c r="N63" s="8" t="n">
        <f aca="false">(N37*INDEX(Assumptions!$C$94:$E$94,$B$3)+N38*INDEX(Assumptions!$C$95:$E$95,$B$3)+N39*INDEX(Assumptions!$C$96:$E$96,$B$3))*$N$3</f>
        <v>23358.9118198874</v>
      </c>
      <c r="O63" s="37" t="n">
        <f aca="false">SUM(C63:N63)</f>
        <v>179936.625087946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15846.7070347356</v>
      </c>
      <c r="D68" s="37" t="n">
        <f aca="false">SUM(D60:D67)</f>
        <v>29677.6391362591</v>
      </c>
      <c r="E68" s="37" t="n">
        <f aca="false">SUM(E60:E67)</f>
        <v>51383.2068928201</v>
      </c>
      <c r="F68" s="37" t="n">
        <f aca="false">SUM(F60:F67)</f>
        <v>71983.1358741464</v>
      </c>
      <c r="G68" s="37" t="n">
        <f aca="false">SUM(G60:G67)</f>
        <v>95079.5057078049</v>
      </c>
      <c r="H68" s="37" t="n">
        <f aca="false">SUM(H60:H67)</f>
        <v>88775.283706492</v>
      </c>
      <c r="I68" s="37" t="n">
        <f aca="false">SUM(I60:I67)</f>
        <v>108129.376393548</v>
      </c>
      <c r="J68" s="37" t="n">
        <f aca="false">SUM(J60:J67)</f>
        <v>115719.539705154</v>
      </c>
      <c r="K68" s="37" t="n">
        <f aca="false">SUM(K60:K67)</f>
        <v>110726.468352034</v>
      </c>
      <c r="L68" s="37" t="n">
        <f aca="false">SUM(L60:L67)</f>
        <v>126434.654875208</v>
      </c>
      <c r="M68" s="37" t="n">
        <f aca="false">SUM(M60:M67)</f>
        <v>130277.327533507</v>
      </c>
      <c r="N68" s="37" t="n">
        <f aca="false">SUM(N60:N67)</f>
        <v>128907.353903415</v>
      </c>
      <c r="O68" s="31" t="n">
        <f aca="false">SUM(C68:N68)</f>
        <v>1072940.19911512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66108.078979358</v>
      </c>
      <c r="D69" s="37" t="n">
        <f aca="false">D57-D68</f>
        <v>120320.570160949</v>
      </c>
      <c r="E69" s="37" t="n">
        <f aca="false">E57-E68</f>
        <v>216725.974896778</v>
      </c>
      <c r="F69" s="37" t="n">
        <f aca="false">F57-F68</f>
        <v>297790.24997506</v>
      </c>
      <c r="G69" s="37" t="n">
        <f aca="false">G57-G68</f>
        <v>366596.571808333</v>
      </c>
      <c r="H69" s="37" t="n">
        <f aca="false">H57-H68</f>
        <v>359452.223268656</v>
      </c>
      <c r="I69" s="37" t="n">
        <f aca="false">I57-I68</f>
        <v>835809.653151148</v>
      </c>
      <c r="J69" s="37" t="n">
        <f aca="false">J57-J68</f>
        <v>876243.594573702</v>
      </c>
      <c r="K69" s="37" t="n">
        <f aca="false">K57-K68</f>
        <v>626551.493240096</v>
      </c>
      <c r="L69" s="37" t="n">
        <f aca="false">L57-L68</f>
        <v>742512.097396381</v>
      </c>
      <c r="M69" s="37" t="n">
        <f aca="false">M57-M68</f>
        <v>770229.539810306</v>
      </c>
      <c r="N69" s="37" t="n">
        <f aca="false">N57-N68</f>
        <v>763073.030991806</v>
      </c>
      <c r="O69" s="31" t="n">
        <f aca="false">SUM(C69:N69)</f>
        <v>6041413.07825257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0.806640858875399</v>
      </c>
      <c r="D70" s="7" t="n">
        <f aca="false">IFERROR(D69/D57,0)</f>
        <v>0.802146710448686</v>
      </c>
      <c r="E70" s="7" t="n">
        <f aca="false">IFERROR(E69/E57,0)</f>
        <v>0.80834969339788</v>
      </c>
      <c r="F70" s="7" t="n">
        <f aca="false">IFERROR(F69/F57,0)</f>
        <v>0.80533175553229</v>
      </c>
      <c r="G70" s="7" t="n">
        <f aca="false">IFERROR(G69/G57,0)</f>
        <v>0.794055810256963</v>
      </c>
      <c r="H70" s="7" t="n">
        <f aca="false">IFERROR(H69/H57,0)</f>
        <v>0.801941464267578</v>
      </c>
      <c r="I70" s="7" t="n">
        <f aca="false">IFERROR(I69/I57,0)</f>
        <v>0.885448770514655</v>
      </c>
      <c r="J70" s="7" t="n">
        <f aca="false">IFERROR(J69/J57,0)</f>
        <v>0.883342902869792</v>
      </c>
      <c r="K70" s="7" t="n">
        <f aca="false">IFERROR(K69/K57,0)</f>
        <v>0.849817200404413</v>
      </c>
      <c r="L70" s="7" t="n">
        <f aca="false">IFERROR(L69/L57,0)</f>
        <v>0.854496659841717</v>
      </c>
      <c r="M70" s="7" t="n">
        <f aca="false">IFERROR(M69/M57,0)</f>
        <v>0.855328890586054</v>
      </c>
      <c r="N70" s="7" t="n">
        <f aca="false">IFERROR(N69/N57,0)</f>
        <v>0.855481851298157</v>
      </c>
      <c r="O70" s="13" t="n">
        <f aca="false">IFERROR(O69/O57,0)</f>
        <v>0.849186544822229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-225724.921020642</v>
      </c>
      <c r="D92" s="37" t="n">
        <f aca="false">D69-D91</f>
        <v>-191512.429839051</v>
      </c>
      <c r="E92" s="37" t="n">
        <f aca="false">E69-E91</f>
        <v>-270107.025103222</v>
      </c>
      <c r="F92" s="37" t="n">
        <f aca="false">F69-F91</f>
        <v>-49042.7500249398</v>
      </c>
      <c r="G92" s="37" t="n">
        <f aca="false">G69-G91</f>
        <v>-236.428191666608</v>
      </c>
      <c r="H92" s="37" t="n">
        <f aca="false">H69-H91</f>
        <v>-29880.7767313436</v>
      </c>
      <c r="I92" s="37" t="n">
        <f aca="false">I69-I91</f>
        <v>325876.653151148</v>
      </c>
      <c r="J92" s="37" t="n">
        <f aca="false">J69-J91</f>
        <v>366310.594573702</v>
      </c>
      <c r="K92" s="37" t="n">
        <f aca="false">K69-K91</f>
        <v>111618.493240096</v>
      </c>
      <c r="L92" s="37" t="n">
        <f aca="false">L69-L91</f>
        <v>227579.097396381</v>
      </c>
      <c r="M92" s="37" t="n">
        <f aca="false">M69-M91</f>
        <v>255296.539810306</v>
      </c>
      <c r="N92" s="37" t="n">
        <f aca="false">N69-N91</f>
        <v>248140.030991806</v>
      </c>
      <c r="O92" s="31" t="n">
        <f aca="false">SUM(C92:N92)</f>
        <v>768317.078252575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-2.75426161178463</v>
      </c>
      <c r="D93" s="7" t="n">
        <f aca="false">IFERROR(D92/D57,0)</f>
        <v>-1.27676477430198</v>
      </c>
      <c r="E93" s="7" t="n">
        <f aca="false">IFERROR(E92/E57,0)</f>
        <v>-1.00745160348589</v>
      </c>
      <c r="F93" s="7" t="n">
        <f aca="false">IFERROR(F92/F57,0)</f>
        <v>-0.132629204539181</v>
      </c>
      <c r="G93" s="7" t="n">
        <f aca="false">IFERROR(G92/G57,0)</f>
        <v>-0.000512108387635362</v>
      </c>
      <c r="H93" s="7" t="n">
        <f aca="false">IFERROR(H92/H57,0)</f>
        <v>-0.0666643083397385</v>
      </c>
      <c r="I93" s="7" t="n">
        <f aca="false">IFERROR(I92/I57,0)</f>
        <v>0.345230616545576</v>
      </c>
      <c r="J93" s="7" t="n">
        <f aca="false">IFERROR(J92/J57,0)</f>
        <v>0.369278435775745</v>
      </c>
      <c r="K93" s="7" t="n">
        <f aca="false">IFERROR(K92/K57,0)</f>
        <v>0.151392689127801</v>
      </c>
      <c r="L93" s="7" t="n">
        <f aca="false">IFERROR(L92/L57,0)</f>
        <v>0.261902236013251</v>
      </c>
      <c r="M93" s="7" t="n">
        <f aca="false">IFERROR(M92/M57,0)</f>
        <v>0.283503157020161</v>
      </c>
      <c r="N93" s="7" t="n">
        <f aca="false">IFERROR(N92/N57,0)</f>
        <v>0.278190008652437</v>
      </c>
      <c r="O93" s="7" t="n">
        <f aca="false">IFERROR(O92/O57,0)</f>
        <v>0.107995350848932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-300724.921020642</v>
      </c>
      <c r="D94" s="8" t="n">
        <f aca="false">D92-INDEX(Assumptions!$C$163:$E$163,$B$3)</f>
        <v>-266512.429839051</v>
      </c>
      <c r="E94" s="8" t="n">
        <f aca="false">E92-INDEX(Assumptions!$C$163:$E$163,$B$3)</f>
        <v>-345107.025103222</v>
      </c>
      <c r="F94" s="8" t="n">
        <f aca="false">F92-INDEX(Assumptions!$C$163:$E$163,$B$3)</f>
        <v>-124042.75002494</v>
      </c>
      <c r="G94" s="8" t="n">
        <f aca="false">G92-INDEX(Assumptions!$C$163:$E$163,$B$3)</f>
        <v>-75236.4281916666</v>
      </c>
      <c r="H94" s="8" t="n">
        <f aca="false">H92-INDEX(Assumptions!$C$163:$E$163,$B$3)</f>
        <v>-104880.776731344</v>
      </c>
      <c r="I94" s="8" t="n">
        <f aca="false">I92-INDEX(Assumptions!$C$163:$E$163,$B$3)</f>
        <v>250876.653151148</v>
      </c>
      <c r="J94" s="8" t="n">
        <f aca="false">J92-INDEX(Assumptions!$C$163:$E$163,$B$3)</f>
        <v>291310.594573702</v>
      </c>
      <c r="K94" s="8" t="n">
        <f aca="false">K92-INDEX(Assumptions!$C$163:$E$163,$B$3)</f>
        <v>36618.4932400963</v>
      </c>
      <c r="L94" s="8" t="n">
        <f aca="false">L92-INDEX(Assumptions!$C$163:$E$163,$B$3)</f>
        <v>152579.097396381</v>
      </c>
      <c r="M94" s="8" t="n">
        <f aca="false">M92-INDEX(Assumptions!$C$163:$E$163,$B$3)</f>
        <v>180296.539810306</v>
      </c>
      <c r="N94" s="8" t="n">
        <f aca="false">N92-INDEX(Assumptions!$C$163:$E$163,$B$3)</f>
        <v>173140.030991806</v>
      </c>
      <c r="O94" s="37" t="n">
        <f aca="false">SUM(C94:N94)</f>
        <v>-131682.921747425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-401460.092546066</v>
      </c>
      <c r="D103" s="37" t="n">
        <f aca="false">D92+D102-D101</f>
        <v>-214590.426135661</v>
      </c>
      <c r="E103" s="37" t="n">
        <f aca="false">E92+E102-E101</f>
        <v>-300563.647005764</v>
      </c>
      <c r="F103" s="37" t="n">
        <f aca="false">F92+F102-F101</f>
        <v>-80792.7908088381</v>
      </c>
      <c r="G103" s="37" t="n">
        <f aca="false">G92+G102-G101</f>
        <v>-42818.5298865818</v>
      </c>
      <c r="H103" s="37" t="n">
        <f aca="false">H92+H102-H101</f>
        <v>-1482209.13619167</v>
      </c>
      <c r="I103" s="37" t="n">
        <f aca="false">I92+I102-I101</f>
        <v>95510.4710718629</v>
      </c>
      <c r="J103" s="37" t="n">
        <f aca="false">J92+J102-J101</f>
        <v>4694.57876254024</v>
      </c>
      <c r="K103" s="37" t="n">
        <f aca="false">K92+K102-K101</f>
        <v>247411.573072288</v>
      </c>
      <c r="L103" s="37" t="n">
        <f aca="false">L92+L102-L101</f>
        <v>168212.95968687</v>
      </c>
      <c r="M103" s="37" t="n">
        <f aca="false">M92+M102-M101</f>
        <v>248881.96640258</v>
      </c>
      <c r="N103" s="37" t="n">
        <f aca="false">N92+N102-N101</f>
        <v>261613.880644569</v>
      </c>
      <c r="O103" s="31" t="n">
        <f aca="false">SUM(C103:N103)</f>
        <v>-1496109.19293387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-401460.092546066</v>
      </c>
      <c r="D104" s="37" t="n">
        <f aca="false">C104+D103</f>
        <v>-616050.518681727</v>
      </c>
      <c r="E104" s="37" t="n">
        <f aca="false">D104+E103</f>
        <v>-916614.165687491</v>
      </c>
      <c r="F104" s="37" t="n">
        <f aca="false">E104+F103</f>
        <v>-997406.956496329</v>
      </c>
      <c r="G104" s="37" t="n">
        <f aca="false">F104+G103</f>
        <v>-1040225.48638291</v>
      </c>
      <c r="H104" s="37" t="n">
        <f aca="false">G104+H103</f>
        <v>-2522434.62257458</v>
      </c>
      <c r="I104" s="37" t="n">
        <f aca="false">H104+I103</f>
        <v>-2426924.15150271</v>
      </c>
      <c r="J104" s="37" t="n">
        <f aca="false">I104+J103</f>
        <v>-2422229.57274017</v>
      </c>
      <c r="K104" s="37" t="n">
        <f aca="false">J104+K103</f>
        <v>-2174817.99966789</v>
      </c>
      <c r="L104" s="37" t="n">
        <f aca="false">K104+L103</f>
        <v>-2006605.03998102</v>
      </c>
      <c r="M104" s="37" t="n">
        <f aca="false">L104+M103</f>
        <v>-1757723.07357844</v>
      </c>
      <c r="N104" s="37" t="n">
        <f aca="false">M104+N103</f>
        <v>-1496109.19293387</v>
      </c>
      <c r="O104" s="31" t="n">
        <f aca="false">N104</f>
        <v>-1496109.19293387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401460.092546066</v>
      </c>
      <c r="D105" s="37" t="n">
        <f aca="false">-MIN(0,MIN($C$104:D104))</f>
        <v>616050.518681727</v>
      </c>
      <c r="E105" s="37" t="n">
        <f aca="false">-MIN(0,MIN($C$104:E104))</f>
        <v>916614.165687491</v>
      </c>
      <c r="F105" s="37" t="n">
        <f aca="false">-MIN(0,MIN($C$104:F104))</f>
        <v>997406.956496329</v>
      </c>
      <c r="G105" s="37" t="n">
        <f aca="false">-MIN(0,MIN($C$104:G104))</f>
        <v>1040225.48638291</v>
      </c>
      <c r="H105" s="37" t="n">
        <f aca="false">-MIN(0,MIN($C$104:H104))</f>
        <v>2522434.62257458</v>
      </c>
      <c r="I105" s="37" t="n">
        <f aca="false">-MIN(0,MIN($C$104:I104))</f>
        <v>2522434.62257458</v>
      </c>
      <c r="J105" s="37" t="n">
        <f aca="false">-MIN(0,MIN($C$104:J104))</f>
        <v>2522434.62257458</v>
      </c>
      <c r="K105" s="37" t="n">
        <f aca="false">-MIN(0,MIN($C$104:K104))</f>
        <v>2522434.62257458</v>
      </c>
      <c r="L105" s="37" t="n">
        <f aca="false">-MIN(0,MIN($C$104:L104))</f>
        <v>2522434.62257458</v>
      </c>
      <c r="M105" s="37" t="n">
        <f aca="false">-MIN(0,MIN($C$104:M104))</f>
        <v>2522434.62257458</v>
      </c>
      <c r="N105" s="37" t="n">
        <f aca="false">-MIN(0,MIN($C$104:N104))</f>
        <v>2522434.62257458</v>
      </c>
      <c r="O105" s="31" t="n">
        <f aca="false">MAX(C105:N105)</f>
        <v>2522434.62257458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768317.078252575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0.107995350848932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-131682.921747425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2522434.62257458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477565.377425424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51540.8317372881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247664.713618925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5.18556409301629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62.2267691161954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731015.668198493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-1496109.19293387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1224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1.625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56875</v>
      </c>
      <c r="D84" s="8" t="n">
        <f aca="false">IF(2&gt;=INDEX(Assumptions!$C$173:$E$173,$D$3),INDEX(Assumptions!$C$174:$E$174,$D$3)*INDEX(Assumptions!$C$175:$E$175,$B$3),INDEX(Assumptions!$C$179:$E$179,$B$3))*$F$4</f>
        <v>56875</v>
      </c>
      <c r="E84" s="8" t="n">
        <f aca="false">IF(3&gt;=INDEX(Assumptions!$C$173:$E$173,$D$3),INDEX(Assumptions!$C$174:$E$174,$D$3)*INDEX(Assumptions!$C$175:$E$175,$B$3),INDEX(Assumptions!$C$179:$E$179,$B$3))*$F$4</f>
        <v>56875</v>
      </c>
      <c r="F84" s="8" t="n">
        <f aca="false">IF(4&gt;=INDEX(Assumptions!$C$173:$E$173,$D$3),INDEX(Assumptions!$C$174:$E$174,$D$3)*INDEX(Assumptions!$C$175:$E$175,$B$3),INDEX(Assumptions!$C$179:$E$179,$B$3))*$F$4</f>
        <v>56875</v>
      </c>
      <c r="G84" s="8" t="n">
        <f aca="false">IF(5&gt;=INDEX(Assumptions!$C$173:$E$173,$D$3),INDEX(Assumptions!$C$174:$E$174,$D$3)*INDEX(Assumptions!$C$175:$E$175,$B$3),INDEX(Assumptions!$C$179:$E$179,$B$3))*$F$4</f>
        <v>56875</v>
      </c>
      <c r="H84" s="8" t="n">
        <f aca="false">IF(6&gt;=INDEX(Assumptions!$C$173:$E$173,$D$3),INDEX(Assumptions!$C$174:$E$174,$D$3)*INDEX(Assumptions!$C$175:$E$175,$B$3),INDEX(Assumptions!$C$179:$E$179,$B$3))*$F$4</f>
        <v>56875</v>
      </c>
      <c r="I84" s="8" t="n">
        <f aca="false">IF(7&gt;=INDEX(Assumptions!$C$173:$E$173,$D$3),INDEX(Assumptions!$C$174:$E$174,$D$3)*INDEX(Assumptions!$C$175:$E$175,$B$3),INDEX(Assumptions!$C$179:$E$179,$B$3))*$F$4</f>
        <v>169000</v>
      </c>
      <c r="J84" s="8" t="n">
        <f aca="false">IF(8&gt;=INDEX(Assumptions!$C$173:$E$173,$D$3),INDEX(Assumptions!$C$174:$E$174,$D$3)*INDEX(Assumptions!$C$175:$E$175,$B$3),INDEX(Assumptions!$C$179:$E$179,$B$3))*$F$4</f>
        <v>169000</v>
      </c>
      <c r="K84" s="8" t="n">
        <f aca="false">IF(9&gt;=INDEX(Assumptions!$C$173:$E$173,$D$3),INDEX(Assumptions!$C$174:$E$174,$D$3)*INDEX(Assumptions!$C$175:$E$175,$B$3),INDEX(Assumptions!$C$179:$E$179,$B$3))*$F$4</f>
        <v>169000</v>
      </c>
      <c r="L84" s="8" t="n">
        <f aca="false">IF(10&gt;=INDEX(Assumptions!$C$173:$E$173,$D$3),INDEX(Assumptions!$C$174:$E$174,$D$3)*INDEX(Assumptions!$C$175:$E$175,$B$3),INDEX(Assumptions!$C$179:$E$179,$B$3))*$F$4</f>
        <v>169000</v>
      </c>
      <c r="M84" s="8" t="n">
        <f aca="false">IF(11&gt;=INDEX(Assumptions!$C$173:$E$173,$D$3),INDEX(Assumptions!$C$174:$E$174,$D$3)*INDEX(Assumptions!$C$175:$E$175,$B$3),INDEX(Assumptions!$C$179:$E$179,$B$3))*$F$4</f>
        <v>169000</v>
      </c>
      <c r="N84" s="8" t="n">
        <f aca="false">IF(12&gt;=INDEX(Assumptions!$C$173:$E$173,$D$3),INDEX(Assumptions!$C$174:$E$174,$D$3)*INDEX(Assumptions!$C$175:$E$175,$B$3),INDEX(Assumptions!$C$179:$E$179,$B$3))*$F$4</f>
        <v>169000</v>
      </c>
      <c r="O84" s="37" t="n">
        <f aca="false">SUM(C84:N84)</f>
        <v>1355250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313708</v>
      </c>
      <c r="D91" s="37" t="n">
        <f aca="false">D82+SUM(D84:D90)</f>
        <v>333708</v>
      </c>
      <c r="E91" s="37" t="n">
        <f aca="false">E82+SUM(E84:E90)</f>
        <v>508708</v>
      </c>
      <c r="F91" s="37" t="n">
        <f aca="false">F82+SUM(F84:F90)</f>
        <v>368708</v>
      </c>
      <c r="G91" s="37" t="n">
        <f aca="false">G82+SUM(G84:G90)</f>
        <v>388708</v>
      </c>
      <c r="H91" s="37" t="n">
        <f aca="false">H82+SUM(H84:H90)</f>
        <v>411208</v>
      </c>
      <c r="I91" s="37" t="n">
        <f aca="false">I82+SUM(I84:I90)</f>
        <v>574933</v>
      </c>
      <c r="J91" s="37" t="n">
        <f aca="false">J82+SUM(J84:J90)</f>
        <v>574933</v>
      </c>
      <c r="K91" s="37" t="n">
        <f aca="false">K82+SUM(K84:K90)</f>
        <v>579933</v>
      </c>
      <c r="L91" s="37" t="n">
        <f aca="false">L82+SUM(L84:L90)</f>
        <v>579933</v>
      </c>
      <c r="M91" s="37" t="n">
        <f aca="false">M82+SUM(M84:M90)</f>
        <v>579933</v>
      </c>
      <c r="N91" s="37" t="n">
        <f aca="false">N82+SUM(N84:N90)</f>
        <v>579933</v>
      </c>
      <c r="O91" s="31" t="n">
        <f aca="false">SUM(C91:N91)</f>
        <v>5794346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-251758.204915576</v>
      </c>
      <c r="D92" s="37" t="n">
        <f aca="false">D69-D91</f>
        <v>-221196.791038066</v>
      </c>
      <c r="E92" s="37" t="n">
        <f aca="false">E69-E91</f>
        <v>-305376.537732209</v>
      </c>
      <c r="F92" s="37" t="n">
        <f aca="false">F69-F91</f>
        <v>-89635.8663476415</v>
      </c>
      <c r="G92" s="37" t="n">
        <f aca="false">G69-G91</f>
        <v>-46860.5833511413</v>
      </c>
      <c r="H92" s="37" t="n">
        <f aca="false">H69-H91</f>
        <v>-74715.2441432459</v>
      </c>
      <c r="I92" s="37" t="n">
        <f aca="false">I69-I91</f>
        <v>239457.362840912</v>
      </c>
      <c r="J92" s="37" t="n">
        <f aca="false">J69-J91</f>
        <v>278050.504617652</v>
      </c>
      <c r="K92" s="37" t="n">
        <f aca="false">K69-K91</f>
        <v>29312.6257893313</v>
      </c>
      <c r="L92" s="37" t="n">
        <f aca="false">L69-L91</f>
        <v>142129.924410484</v>
      </c>
      <c r="M92" s="37" t="n">
        <f aca="false">M69-M91</f>
        <v>168907.092985795</v>
      </c>
      <c r="N92" s="37" t="n">
        <f aca="false">N69-N91</f>
        <v>161901.227051843</v>
      </c>
      <c r="O92" s="31" t="n">
        <f aca="false">SUM(C92:N92)</f>
        <v>30215.5101681385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-3.07191583505913</v>
      </c>
      <c r="D93" s="7" t="n">
        <f aca="false">IFERROR(D92/D57,0)</f>
        <v>-1.47466287813999</v>
      </c>
      <c r="E93" s="7" t="n">
        <f aca="false">IFERROR(E92/E57,0)</f>
        <v>-1.13900067015182</v>
      </c>
      <c r="F93" s="7" t="n">
        <f aca="false">IFERROR(F92/F57,0)</f>
        <v>-0.24240756576298</v>
      </c>
      <c r="G93" s="7" t="n">
        <f aca="false">IFERROR(G92/G57,0)</f>
        <v>-0.101500999582339</v>
      </c>
      <c r="H93" s="7" t="n">
        <f aca="false">IFERROR(H92/H57,0)</f>
        <v>-0.166690448445388</v>
      </c>
      <c r="I93" s="7" t="n">
        <f aca="false">IFERROR(I92/I57,0)</f>
        <v>0.253678845080083</v>
      </c>
      <c r="J93" s="7" t="n">
        <f aca="false">IFERROR(J92/J57,0)</f>
        <v>0.280303264314143</v>
      </c>
      <c r="K93" s="7" t="n">
        <f aca="false">IFERROR(K92/K57,0)</f>
        <v>0.0397579031469102</v>
      </c>
      <c r="L93" s="7" t="n">
        <f aca="false">IFERROR(L92/L57,0)</f>
        <v>0.163565746737565</v>
      </c>
      <c r="M93" s="7" t="n">
        <f aca="false">IFERROR(M92/M57,0)</f>
        <v>0.187568911588662</v>
      </c>
      <c r="N93" s="7" t="n">
        <f aca="false">IFERROR(N92/N57,0)</f>
        <v>0.181507609128492</v>
      </c>
      <c r="O93" s="7" t="n">
        <f aca="false">IFERROR(O92/O57,0)</f>
        <v>0.00424711972966828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-326758.204915576</v>
      </c>
      <c r="D94" s="8" t="n">
        <f aca="false">D92-INDEX(Assumptions!$C$163:$E$163,$B$3)</f>
        <v>-296196.791038066</v>
      </c>
      <c r="E94" s="8" t="n">
        <f aca="false">E92-INDEX(Assumptions!$C$163:$E$163,$B$3)</f>
        <v>-380376.537732209</v>
      </c>
      <c r="F94" s="8" t="n">
        <f aca="false">F92-INDEX(Assumptions!$C$163:$E$163,$B$3)</f>
        <v>-164635.866347641</v>
      </c>
      <c r="G94" s="8" t="n">
        <f aca="false">G92-INDEX(Assumptions!$C$163:$E$163,$B$3)</f>
        <v>-121860.583351141</v>
      </c>
      <c r="H94" s="8" t="n">
        <f aca="false">H92-INDEX(Assumptions!$C$163:$E$163,$B$3)</f>
        <v>-149715.244143246</v>
      </c>
      <c r="I94" s="8" t="n">
        <f aca="false">I92-INDEX(Assumptions!$C$163:$E$163,$B$3)</f>
        <v>164457.362840912</v>
      </c>
      <c r="J94" s="8" t="n">
        <f aca="false">J92-INDEX(Assumptions!$C$163:$E$163,$B$3)</f>
        <v>203050.504617652</v>
      </c>
      <c r="K94" s="8" t="n">
        <f aca="false">K92-INDEX(Assumptions!$C$163:$E$163,$B$3)</f>
        <v>-45687.3742106687</v>
      </c>
      <c r="L94" s="8" t="n">
        <f aca="false">L92-INDEX(Assumptions!$C$163:$E$163,$B$3)</f>
        <v>67129.924410484</v>
      </c>
      <c r="M94" s="8" t="n">
        <f aca="false">M92-INDEX(Assumptions!$C$163:$E$163,$B$3)</f>
        <v>93907.0929857948</v>
      </c>
      <c r="N94" s="8" t="n">
        <f aca="false">N92-INDEX(Assumptions!$C$163:$E$163,$B$3)</f>
        <v>86901.2270518434</v>
      </c>
      <c r="O94" s="37" t="n">
        <f aca="false">SUM(C94:N94)</f>
        <v>-869784.489831862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507000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507000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1667000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2167000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-427493.376441</v>
      </c>
      <c r="D103" s="37" t="n">
        <f aca="false">D92+D102-D101</f>
        <v>-244274.787334676</v>
      </c>
      <c r="E103" s="37" t="n">
        <f aca="false">E92+E102-E101</f>
        <v>-335833.159634751</v>
      </c>
      <c r="F103" s="37" t="n">
        <f aca="false">F92+F102-F101</f>
        <v>-121385.90713154</v>
      </c>
      <c r="G103" s="37" t="n">
        <f aca="false">G92+G102-G101</f>
        <v>-89442.6850460565</v>
      </c>
      <c r="H103" s="37" t="n">
        <f aca="false">H92+H102-H101</f>
        <v>-1722043.60360357</v>
      </c>
      <c r="I103" s="37" t="n">
        <f aca="false">I92+I102-I101</f>
        <v>9091.18076162715</v>
      </c>
      <c r="J103" s="37" t="n">
        <f aca="false">J92+J102-J101</f>
        <v>-83565.5111935092</v>
      </c>
      <c r="K103" s="37" t="n">
        <f aca="false">K92+K102-K101</f>
        <v>165105.705621523</v>
      </c>
      <c r="L103" s="37" t="n">
        <f aca="false">L92+L102-L101</f>
        <v>82763.7867009728</v>
      </c>
      <c r="M103" s="37" t="n">
        <f aca="false">M92+M102-M101</f>
        <v>162492.519578069</v>
      </c>
      <c r="N103" s="37" t="n">
        <f aca="false">N92+N102-N101</f>
        <v>175375.076704607</v>
      </c>
      <c r="O103" s="31" t="n">
        <f aca="false">SUM(C103:N103)</f>
        <v>-2429210.7610183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-427493.376441</v>
      </c>
      <c r="D104" s="37" t="n">
        <f aca="false">C104+D103</f>
        <v>-671768.163775676</v>
      </c>
      <c r="E104" s="37" t="n">
        <f aca="false">D104+E103</f>
        <v>-1007601.32341043</v>
      </c>
      <c r="F104" s="37" t="n">
        <f aca="false">E104+F103</f>
        <v>-1128987.23054197</v>
      </c>
      <c r="G104" s="37" t="n">
        <f aca="false">F104+G103</f>
        <v>-1218429.91558802</v>
      </c>
      <c r="H104" s="37" t="n">
        <f aca="false">G104+H103</f>
        <v>-2940473.51919159</v>
      </c>
      <c r="I104" s="37" t="n">
        <f aca="false">H104+I103</f>
        <v>-2931382.33842996</v>
      </c>
      <c r="J104" s="37" t="n">
        <f aca="false">I104+J103</f>
        <v>-3014947.84962347</v>
      </c>
      <c r="K104" s="37" t="n">
        <f aca="false">J104+K103</f>
        <v>-2849842.14400195</v>
      </c>
      <c r="L104" s="37" t="n">
        <f aca="false">K104+L103</f>
        <v>-2767078.35730098</v>
      </c>
      <c r="M104" s="37" t="n">
        <f aca="false">L104+M103</f>
        <v>-2604585.83772291</v>
      </c>
      <c r="N104" s="37" t="n">
        <f aca="false">M104+N103</f>
        <v>-2429210.7610183</v>
      </c>
      <c r="O104" s="31" t="n">
        <f aca="false">N104</f>
        <v>-2429210.7610183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427493.376441</v>
      </c>
      <c r="D105" s="37" t="n">
        <f aca="false">-MIN(0,MIN($C$104:D104))</f>
        <v>671768.163775676</v>
      </c>
      <c r="E105" s="37" t="n">
        <f aca="false">-MIN(0,MIN($C$104:E104))</f>
        <v>1007601.32341043</v>
      </c>
      <c r="F105" s="37" t="n">
        <f aca="false">-MIN(0,MIN($C$104:F104))</f>
        <v>1128987.23054197</v>
      </c>
      <c r="G105" s="37" t="n">
        <f aca="false">-MIN(0,MIN($C$104:G104))</f>
        <v>1218429.91558802</v>
      </c>
      <c r="H105" s="37" t="n">
        <f aca="false">-MIN(0,MIN($C$104:H104))</f>
        <v>2940473.51919159</v>
      </c>
      <c r="I105" s="37" t="n">
        <f aca="false">-MIN(0,MIN($C$104:I104))</f>
        <v>2940473.51919159</v>
      </c>
      <c r="J105" s="37" t="n">
        <f aca="false">-MIN(0,MIN($C$104:J104))</f>
        <v>3014947.84962347</v>
      </c>
      <c r="K105" s="37" t="n">
        <f aca="false">-MIN(0,MIN($C$104:K104))</f>
        <v>3014947.84962347</v>
      </c>
      <c r="L105" s="37" t="n">
        <f aca="false">-MIN(0,MIN($C$104:L104))</f>
        <v>3014947.84962347</v>
      </c>
      <c r="M105" s="37" t="n">
        <f aca="false">-MIN(0,MIN($C$104:M104))</f>
        <v>3014947.84962347</v>
      </c>
      <c r="N105" s="37" t="n">
        <f aca="false">-MIN(0,MIN($C$104:N104))</f>
        <v>3014947.84962347</v>
      </c>
      <c r="O105" s="31" t="n">
        <f aca="false">MAX(C105:N105)</f>
        <v>3014947.84962347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30215.5101681385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0.00424711972966828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-869784.489831862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2167000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3014947.84962347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-14947.8496234734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579933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6.77459207666531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81.2951049199837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472938.244448122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-2429210.7610183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1225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0.5875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35660.7457627119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148881.355932203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179168.675980427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526106.013786143</v>
      </c>
      <c r="K47" s="8" t="n">
        <f aca="false">K27*K44/(1+INDEX(Assumptions!$C$15:$E$15,$B$3)*$H$4)</f>
        <v>334375.47965274</v>
      </c>
      <c r="L47" s="8" t="n">
        <f aca="false">L27*L44/(1+INDEX(Assumptions!$C$15:$E$15,$B$3)*$H$4)</f>
        <v>319186.896195026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3076312.43002112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106395.632065009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314870.208336195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2389.2699661017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9975.05084745763</v>
      </c>
      <c r="H49" s="8" t="n">
        <f aca="false">H30*MAX(0,H44-INDEX(Assumptions!$C$18:$E$18,$B$3)*$H$3)/(1+INDEX(Assumptions!$C$15:$E$15,$B$3)*$H$4)</f>
        <v>9260.46099567407</v>
      </c>
      <c r="I49" s="8" t="n">
        <f aca="false">I30*MAX(0,I44-INDEX(Assumptions!$C$18:$E$18,$B$3)*$H$3)/(1+INDEX(Assumptions!$C$15:$E$15,$B$3)*$H$4)</f>
        <v>23948.8796893837</v>
      </c>
      <c r="J49" s="8" t="n">
        <f aca="false">J30*MAX(0,J44-INDEX(Assumptions!$C$18:$E$18,$B$3)*$H$3)/(1+INDEX(Assumptions!$C$15:$E$15,$B$3)*$H$4)</f>
        <v>50788.7157382808</v>
      </c>
      <c r="K49" s="8" t="n">
        <f aca="false">K30*MAX(0,K44-INDEX(Assumptions!$C$18:$E$18,$B$3)*$H$3)/(1+INDEX(Assumptions!$C$15:$E$15,$B$3)*$H$4)</f>
        <v>34683.4928066581</v>
      </c>
      <c r="L49" s="8" t="n">
        <f aca="false">L30*MAX(0,L44-INDEX(Assumptions!$C$18:$E$18,$B$3)*$H$3)/(1+INDEX(Assumptions!$C$15:$E$15,$B$3)*$H$4)</f>
        <v>31882.3759564601</v>
      </c>
      <c r="M49" s="8" t="n">
        <f aca="false">M30*MAX(0,M44-INDEX(Assumptions!$C$18:$E$18,$B$3)*$H$3)/(1+INDEX(Assumptions!$C$15:$E$15,$B$3)*$H$4)</f>
        <v>42664.6484580685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259986.711195373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15809.5972881356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66004.0677966102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79431.4463513226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174930.249583893</v>
      </c>
      <c r="K50" s="8" t="n">
        <f aca="false">K29*INDEX(Assumptions!$C$18:$E$18,$B$3)*$H$3/(1+INDEX(Assumptions!$C$15:$E$15,$B$3)*$H$4)</f>
        <v>111179.846984536</v>
      </c>
      <c r="L50" s="8" t="n">
        <f aca="false">L29*INDEX(Assumptions!$C$18:$E$18,$B$3)*$H$3/(1+INDEX(Assumptions!$C$15:$E$15,$B$3)*$H$4)</f>
        <v>141506.190646461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1209851.64229503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829.358217483385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3462.51805259643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69329.610498156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81954.7860140936</v>
      </c>
      <c r="D57" s="37" t="n">
        <f aca="false">SUM(D47:D56)</f>
        <v>149998.209297208</v>
      </c>
      <c r="E57" s="37" t="n">
        <f aca="false">SUM(E47:E56)</f>
        <v>268109.181789598</v>
      </c>
      <c r="F57" s="37" t="n">
        <f aca="false">SUM(F47:F56)</f>
        <v>369773.385849207</v>
      </c>
      <c r="G57" s="37" t="n">
        <f aca="false">SUM(G47:G56)</f>
        <v>461676.077516138</v>
      </c>
      <c r="H57" s="37" t="n">
        <f aca="false">SUM(H47:H56)</f>
        <v>448227.506975148</v>
      </c>
      <c r="I57" s="37" t="n">
        <f aca="false">SUM(I47:I56)</f>
        <v>943939.029544696</v>
      </c>
      <c r="J57" s="37" t="n">
        <f aca="false">SUM(J47:J56)</f>
        <v>991963.134278856</v>
      </c>
      <c r="K57" s="37" t="n">
        <f aca="false">SUM(K47:K56)</f>
        <v>737277.96159213</v>
      </c>
      <c r="L57" s="37" t="n">
        <f aca="false">SUM(L47:L56)</f>
        <v>868946.75227159</v>
      </c>
      <c r="M57" s="37" t="n">
        <f aca="false">SUM(M47:M56)</f>
        <v>900506.867343813</v>
      </c>
      <c r="N57" s="37" t="n">
        <f aca="false">SUM(N47:N56)</f>
        <v>891980.384895221</v>
      </c>
      <c r="O57" s="31" t="n">
        <f aca="false">SUM(C57:N57)</f>
        <v>7114353.2773677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51470.3430508475</v>
      </c>
      <c r="D58" s="8" t="n">
        <f aca="false">D47+D48+D49+D50</f>
        <v>97626.3356440678</v>
      </c>
      <c r="E58" s="8" t="n">
        <f aca="false">E47+E48+E49+E50</f>
        <v>158539.579449153</v>
      </c>
      <c r="F58" s="8" t="n">
        <f aca="false">F47+F48+F49+F50</f>
        <v>222039.661016949</v>
      </c>
      <c r="G58" s="8" t="n">
        <f aca="false">G47+G48+G49+G50</f>
        <v>307203.86440678</v>
      </c>
      <c r="H58" s="8" t="n">
        <f aca="false">H47+H48+H49+H50</f>
        <v>267860.583327424</v>
      </c>
      <c r="I58" s="8" t="n">
        <f aca="false">I47+I48+I49+I50</f>
        <v>728592.947485994</v>
      </c>
      <c r="J58" s="8" t="n">
        <f aca="false">J47+J48+J49+J50</f>
        <v>751824.979108317</v>
      </c>
      <c r="K58" s="8" t="n">
        <f aca="false">K47+K48+K49+K50</f>
        <v>480238.819443934</v>
      </c>
      <c r="L58" s="8" t="n">
        <f aca="false">L47+L48+L49+L50</f>
        <v>598971.094862956</v>
      </c>
      <c r="M58" s="8" t="n">
        <f aca="false">M47+M48+M49+M50</f>
        <v>611800.241678407</v>
      </c>
      <c r="N58" s="8" t="n">
        <f aca="false">N47+N48+N49+N50</f>
        <v>584852.542372881</v>
      </c>
      <c r="O58" s="37" t="n">
        <f aca="false">SUM(C58:N58)</f>
        <v>4861020.99184771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33691.5054628406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35323.2061336604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25020.8276748608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29953.7936256801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30952.9870599731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243295.384414141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129548.666703784</v>
      </c>
      <c r="J68" s="37" t="n">
        <f aca="false">SUM(J60:J67)</f>
        <v>138979.629661204</v>
      </c>
      <c r="K68" s="37" t="n">
        <f aca="false">SUM(K60:K67)</f>
        <v>128032.335802799</v>
      </c>
      <c r="L68" s="37" t="n">
        <f aca="false">SUM(L60:L67)</f>
        <v>146883.827861106</v>
      </c>
      <c r="M68" s="37" t="n">
        <f aca="false">SUM(M60:M67)</f>
        <v>151666.774358018</v>
      </c>
      <c r="N68" s="37" t="n">
        <f aca="false">SUM(N60:N67)</f>
        <v>150146.157843377</v>
      </c>
      <c r="O68" s="31" t="n">
        <f aca="false">SUM(C68:N68)</f>
        <v>1289791.76719956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61949.7950844236</v>
      </c>
      <c r="D69" s="37" t="n">
        <f aca="false">D57-D68</f>
        <v>112511.208961934</v>
      </c>
      <c r="E69" s="37" t="n">
        <f aca="false">E57-E68</f>
        <v>203331.462267791</v>
      </c>
      <c r="F69" s="37" t="n">
        <f aca="false">F57-F68</f>
        <v>279072.133652359</v>
      </c>
      <c r="G69" s="37" t="n">
        <f aca="false">G57-G68</f>
        <v>341847.416648859</v>
      </c>
      <c r="H69" s="37" t="n">
        <f aca="false">H57-H68</f>
        <v>336492.755856754</v>
      </c>
      <c r="I69" s="37" t="n">
        <f aca="false">I57-I68</f>
        <v>814390.362840912</v>
      </c>
      <c r="J69" s="37" t="n">
        <f aca="false">J57-J68</f>
        <v>852983.504617652</v>
      </c>
      <c r="K69" s="37" t="n">
        <f aca="false">K57-K68</f>
        <v>609245.625789331</v>
      </c>
      <c r="L69" s="37" t="n">
        <f aca="false">L57-L68</f>
        <v>722062.924410484</v>
      </c>
      <c r="M69" s="37" t="n">
        <f aca="false">M57-M68</f>
        <v>748840.092985795</v>
      </c>
      <c r="N69" s="37" t="n">
        <f aca="false">N57-N68</f>
        <v>741834.227051843</v>
      </c>
      <c r="O69" s="31" t="n">
        <f aca="false">SUM(C69:N69)</f>
        <v>5824561.51016814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0.755902102822528</v>
      </c>
      <c r="D70" s="7" t="n">
        <f aca="false">IFERROR(D69/D57,0)</f>
        <v>0.750083680925837</v>
      </c>
      <c r="E70" s="7" t="n">
        <f aca="false">IFERROR(E69/E57,0)</f>
        <v>0.758390521766457</v>
      </c>
      <c r="F70" s="7" t="n">
        <f aca="false">IFERROR(F69/F57,0)</f>
        <v>0.754711248381094</v>
      </c>
      <c r="G70" s="7" t="n">
        <f aca="false">IFERROR(G69/G57,0)</f>
        <v>0.740448624689481</v>
      </c>
      <c r="H70" s="7" t="n">
        <f aca="false">IFERROR(H69/H57,0)</f>
        <v>0.750718665455332</v>
      </c>
      <c r="I70" s="7" t="n">
        <f aca="false">IFERROR(I69/I57,0)</f>
        <v>0.862757378761772</v>
      </c>
      <c r="J70" s="7" t="n">
        <f aca="false">IFERROR(J69/J57,0)</f>
        <v>0.859894360124341</v>
      </c>
      <c r="K70" s="7" t="n">
        <f aca="false">IFERROR(K69/K57,0)</f>
        <v>0.826344550532452</v>
      </c>
      <c r="L70" s="7" t="n">
        <f aca="false">IFERROR(L69/L57,0)</f>
        <v>0.830963373213464</v>
      </c>
      <c r="M70" s="7" t="n">
        <f aca="false">IFERROR(M69/M57,0)</f>
        <v>0.831576215731277</v>
      </c>
      <c r="N70" s="7" t="n">
        <f aca="false">IFERROR(N69/N57,0)</f>
        <v>0.831671009378738</v>
      </c>
      <c r="O70" s="13" t="n">
        <f aca="false">IFERROR(O69/O57,0)</f>
        <v>0.818705690185127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20562.5</v>
      </c>
      <c r="D84" s="8" t="n">
        <f aca="false">IF(2&gt;=INDEX(Assumptions!$C$173:$E$173,$D$3),INDEX(Assumptions!$C$174:$E$174,$D$3)*INDEX(Assumptions!$C$175:$E$175,$B$3),INDEX(Assumptions!$C$179:$E$179,$B$3))*$F$4</f>
        <v>20562.5</v>
      </c>
      <c r="E84" s="8" t="n">
        <f aca="false">IF(3&gt;=INDEX(Assumptions!$C$173:$E$173,$D$3),INDEX(Assumptions!$C$174:$E$174,$D$3)*INDEX(Assumptions!$C$175:$E$175,$B$3),INDEX(Assumptions!$C$179:$E$179,$B$3))*$F$4</f>
        <v>20562.5</v>
      </c>
      <c r="F84" s="8" t="n">
        <f aca="false">IF(4&gt;=INDEX(Assumptions!$C$173:$E$173,$D$3),INDEX(Assumptions!$C$174:$E$174,$D$3)*INDEX(Assumptions!$C$175:$E$175,$B$3),INDEX(Assumptions!$C$179:$E$179,$B$3))*$F$4</f>
        <v>20562.5</v>
      </c>
      <c r="G84" s="8" t="n">
        <f aca="false">IF(5&gt;=INDEX(Assumptions!$C$173:$E$173,$D$3),INDEX(Assumptions!$C$174:$E$174,$D$3)*INDEX(Assumptions!$C$175:$E$175,$B$3),INDEX(Assumptions!$C$179:$E$179,$B$3))*$F$4</f>
        <v>20562.5</v>
      </c>
      <c r="H84" s="8" t="n">
        <f aca="false">IF(6&gt;=INDEX(Assumptions!$C$173:$E$173,$D$3),INDEX(Assumptions!$C$174:$E$174,$D$3)*INDEX(Assumptions!$C$175:$E$175,$B$3),INDEX(Assumptions!$C$179:$E$179,$B$3))*$F$4</f>
        <v>20562.5</v>
      </c>
      <c r="I84" s="8" t="n">
        <f aca="false">IF(7&gt;=INDEX(Assumptions!$C$173:$E$173,$D$3),INDEX(Assumptions!$C$174:$E$174,$D$3)*INDEX(Assumptions!$C$175:$E$175,$B$3),INDEX(Assumptions!$C$179:$E$179,$B$3))*$F$4</f>
        <v>61100</v>
      </c>
      <c r="J84" s="8" t="n">
        <f aca="false">IF(8&gt;=INDEX(Assumptions!$C$173:$E$173,$D$3),INDEX(Assumptions!$C$174:$E$174,$D$3)*INDEX(Assumptions!$C$175:$E$175,$B$3),INDEX(Assumptions!$C$179:$E$179,$B$3))*$F$4</f>
        <v>61100</v>
      </c>
      <c r="K84" s="8" t="n">
        <f aca="false">IF(9&gt;=INDEX(Assumptions!$C$173:$E$173,$D$3),INDEX(Assumptions!$C$174:$E$174,$D$3)*INDEX(Assumptions!$C$175:$E$175,$B$3),INDEX(Assumptions!$C$179:$E$179,$B$3))*$F$4</f>
        <v>61100</v>
      </c>
      <c r="L84" s="8" t="n">
        <f aca="false">IF(10&gt;=INDEX(Assumptions!$C$173:$E$173,$D$3),INDEX(Assumptions!$C$174:$E$174,$D$3)*INDEX(Assumptions!$C$175:$E$175,$B$3),INDEX(Assumptions!$C$179:$E$179,$B$3))*$F$4</f>
        <v>61100</v>
      </c>
      <c r="M84" s="8" t="n">
        <f aca="false">IF(11&gt;=INDEX(Assumptions!$C$173:$E$173,$D$3),INDEX(Assumptions!$C$174:$E$174,$D$3)*INDEX(Assumptions!$C$175:$E$175,$B$3),INDEX(Assumptions!$C$179:$E$179,$B$3))*$F$4</f>
        <v>61100</v>
      </c>
      <c r="N84" s="8" t="n">
        <f aca="false">IF(12&gt;=INDEX(Assumptions!$C$173:$E$173,$D$3),INDEX(Assumptions!$C$174:$E$174,$D$3)*INDEX(Assumptions!$C$175:$E$175,$B$3),INDEX(Assumptions!$C$179:$E$179,$B$3))*$F$4</f>
        <v>61100</v>
      </c>
      <c r="O84" s="37" t="n">
        <f aca="false">SUM(C84:N84)</f>
        <v>489975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277395.5</v>
      </c>
      <c r="D91" s="37" t="n">
        <f aca="false">D82+SUM(D84:D90)</f>
        <v>297395.5</v>
      </c>
      <c r="E91" s="37" t="n">
        <f aca="false">E82+SUM(E84:E90)</f>
        <v>472395.5</v>
      </c>
      <c r="F91" s="37" t="n">
        <f aca="false">F82+SUM(F84:F90)</f>
        <v>332395.5</v>
      </c>
      <c r="G91" s="37" t="n">
        <f aca="false">G82+SUM(G84:G90)</f>
        <v>352395.5</v>
      </c>
      <c r="H91" s="37" t="n">
        <f aca="false">H82+SUM(H84:H90)</f>
        <v>374895.5</v>
      </c>
      <c r="I91" s="37" t="n">
        <f aca="false">I82+SUM(I84:I90)</f>
        <v>467033</v>
      </c>
      <c r="J91" s="37" t="n">
        <f aca="false">J82+SUM(J84:J90)</f>
        <v>467033</v>
      </c>
      <c r="K91" s="37" t="n">
        <f aca="false">K82+SUM(K84:K90)</f>
        <v>472033</v>
      </c>
      <c r="L91" s="37" t="n">
        <f aca="false">L82+SUM(L84:L90)</f>
        <v>472033</v>
      </c>
      <c r="M91" s="37" t="n">
        <f aca="false">M82+SUM(M84:M90)</f>
        <v>472033</v>
      </c>
      <c r="N91" s="37" t="n">
        <f aca="false">N82+SUM(N84:N90)</f>
        <v>472033</v>
      </c>
      <c r="O91" s="31" t="n">
        <f aca="false">SUM(C91:N91)</f>
        <v>4929071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-215445.704915576</v>
      </c>
      <c r="D92" s="37" t="n">
        <f aca="false">D69-D91</f>
        <v>-184884.291038066</v>
      </c>
      <c r="E92" s="37" t="n">
        <f aca="false">E69-E91</f>
        <v>-269064.037732209</v>
      </c>
      <c r="F92" s="37" t="n">
        <f aca="false">F69-F91</f>
        <v>-53323.3663476415</v>
      </c>
      <c r="G92" s="37" t="n">
        <f aca="false">G69-G91</f>
        <v>-10548.0833511413</v>
      </c>
      <c r="H92" s="37" t="n">
        <f aca="false">H69-H91</f>
        <v>-38402.7441432459</v>
      </c>
      <c r="I92" s="37" t="n">
        <f aca="false">I69-I91</f>
        <v>347357.362840912</v>
      </c>
      <c r="J92" s="37" t="n">
        <f aca="false">J69-J91</f>
        <v>385950.504617652</v>
      </c>
      <c r="K92" s="37" t="n">
        <f aca="false">K69-K91</f>
        <v>137212.625789331</v>
      </c>
      <c r="L92" s="37" t="n">
        <f aca="false">L69-L91</f>
        <v>250029.924410484</v>
      </c>
      <c r="M92" s="37" t="n">
        <f aca="false">M69-M91</f>
        <v>276807.092985795</v>
      </c>
      <c r="N92" s="37" t="n">
        <f aca="false">N69-N91</f>
        <v>269801.227051843</v>
      </c>
      <c r="O92" s="31" t="n">
        <f aca="false">SUM(C92:N92)</f>
        <v>895490.510168139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-2.62883615947123</v>
      </c>
      <c r="D93" s="7" t="n">
        <f aca="false">IFERROR(D92/D57,0)</f>
        <v>-1.23257665477682</v>
      </c>
      <c r="E93" s="7" t="n">
        <f aca="false">IFERROR(E92/E57,0)</f>
        <v>-1.00356144439454</v>
      </c>
      <c r="F93" s="7" t="n">
        <f aca="false">IFERROR(F92/F57,0)</f>
        <v>-0.144205528002458</v>
      </c>
      <c r="G93" s="7" t="n">
        <f aca="false">IFERROR(G92/G57,0)</f>
        <v>-0.0228473682411508</v>
      </c>
      <c r="H93" s="7" t="n">
        <f aca="false">IFERROR(H92/H57,0)</f>
        <v>-0.0856769018983369</v>
      </c>
      <c r="I93" s="7" t="n">
        <f aca="false">IFERROR(I92/I57,0)</f>
        <v>0.367987075403014</v>
      </c>
      <c r="J93" s="7" t="n">
        <f aca="false">IFERROR(J92/J57,0)</f>
        <v>0.389077467982954</v>
      </c>
      <c r="K93" s="7" t="n">
        <f aca="false">IFERROR(K92/K57,0)</f>
        <v>0.186107049087734</v>
      </c>
      <c r="L93" s="7" t="n">
        <f aca="false">IFERROR(L92/L57,0)</f>
        <v>0.287739063132302</v>
      </c>
      <c r="M93" s="7" t="n">
        <f aca="false">IFERROR(M92/M57,0)</f>
        <v>0.30739031874602</v>
      </c>
      <c r="N93" s="7" t="n">
        <f aca="false">IFERROR(N92/N57,0)</f>
        <v>0.302474394752006</v>
      </c>
      <c r="O93" s="7" t="n">
        <f aca="false">IFERROR(O92/O57,0)</f>
        <v>0.125870964690057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-290445.704915576</v>
      </c>
      <c r="D94" s="8" t="n">
        <f aca="false">D92-INDEX(Assumptions!$C$163:$E$163,$B$3)</f>
        <v>-259884.291038066</v>
      </c>
      <c r="E94" s="8" t="n">
        <f aca="false">E92-INDEX(Assumptions!$C$163:$E$163,$B$3)</f>
        <v>-344064.037732209</v>
      </c>
      <c r="F94" s="8" t="n">
        <f aca="false">F92-INDEX(Assumptions!$C$163:$E$163,$B$3)</f>
        <v>-128323.366347641</v>
      </c>
      <c r="G94" s="8" t="n">
        <f aca="false">G92-INDEX(Assumptions!$C$163:$E$163,$B$3)</f>
        <v>-85548.0833511413</v>
      </c>
      <c r="H94" s="8" t="n">
        <f aca="false">H92-INDEX(Assumptions!$C$163:$E$163,$B$3)</f>
        <v>-113402.744143246</v>
      </c>
      <c r="I94" s="8" t="n">
        <f aca="false">I92-INDEX(Assumptions!$C$163:$E$163,$B$3)</f>
        <v>272357.362840912</v>
      </c>
      <c r="J94" s="8" t="n">
        <f aca="false">J92-INDEX(Assumptions!$C$163:$E$163,$B$3)</f>
        <v>310950.504617652</v>
      </c>
      <c r="K94" s="8" t="n">
        <f aca="false">K92-INDEX(Assumptions!$C$163:$E$163,$B$3)</f>
        <v>62212.6257893313</v>
      </c>
      <c r="L94" s="8" t="n">
        <f aca="false">L92-INDEX(Assumptions!$C$163:$E$163,$B$3)</f>
        <v>175029.924410484</v>
      </c>
      <c r="M94" s="8" t="n">
        <f aca="false">M92-INDEX(Assumptions!$C$163:$E$163,$B$3)</f>
        <v>201807.092985795</v>
      </c>
      <c r="N94" s="8" t="n">
        <f aca="false">N92-INDEX(Assumptions!$C$163:$E$163,$B$3)</f>
        <v>194801.227051843</v>
      </c>
      <c r="O94" s="37" t="n">
        <f aca="false">SUM(C94:N94)</f>
        <v>-4509.48983186146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183300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183300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1343300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1843300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-25735.1715254237</v>
      </c>
      <c r="D102" s="8" t="n">
        <f aca="false">((D58+IF(INDEX(Assumptions!$C$87:$E$87,$B$3)&gt;=2,C58,0)+IF(INDEX(Assumptions!$C$87:$E$87,$B$3)&gt;=3,0,0))/INDEX(Assumptions!$C$87:$E$87,$B$3))-D58</f>
        <v>-23077.9962966102</v>
      </c>
      <c r="E102" s="8" t="n">
        <f aca="false">((E58+IF(INDEX(Assumptions!$C$87:$E$87,$B$3)&gt;=2,D58,0)+IF(INDEX(Assumptions!$C$87:$E$87,$B$3)&gt;=3,C58,0))/INDEX(Assumptions!$C$87:$E$87,$B$3))-E58</f>
        <v>-30456.6219025424</v>
      </c>
      <c r="F102" s="8" t="n">
        <f aca="false">((F58+IF(INDEX(Assumptions!$C$87:$E$87,$B$3)&gt;=2,E58,0)+IF(INDEX(Assumptions!$C$87:$E$87,$B$3)&gt;=3,D58,0))/INDEX(Assumptions!$C$87:$E$87,$B$3))-F58</f>
        <v>-31750.0407838983</v>
      </c>
      <c r="G102" s="8" t="n">
        <f aca="false">((G58+IF(INDEX(Assumptions!$C$87:$E$87,$B$3)&gt;=2,F58,0)+IF(INDEX(Assumptions!$C$87:$E$87,$B$3)&gt;=3,E58,0))/INDEX(Assumptions!$C$87:$E$87,$B$3))-G58</f>
        <v>-42582.1016949152</v>
      </c>
      <c r="H102" s="8" t="n">
        <f aca="false">((H58+IF(INDEX(Assumptions!$C$87:$E$87,$B$3)&gt;=2,G58,0)+IF(INDEX(Assumptions!$C$87:$E$87,$B$3)&gt;=3,F58,0))/INDEX(Assumptions!$C$87:$E$87,$B$3))-H58</f>
        <v>19671.640539678</v>
      </c>
      <c r="I102" s="8" t="n">
        <f aca="false">((I58+IF(INDEX(Assumptions!$C$87:$E$87,$B$3)&gt;=2,H58,0)+IF(INDEX(Assumptions!$C$87:$E$87,$B$3)&gt;=3,G58,0))/INDEX(Assumptions!$C$87:$E$87,$B$3))-I58</f>
        <v>-230366.182079285</v>
      </c>
      <c r="J102" s="8" t="n">
        <f aca="false">((J58+IF(INDEX(Assumptions!$C$87:$E$87,$B$3)&gt;=2,I58,0)+IF(INDEX(Assumptions!$C$87:$E$87,$B$3)&gt;=3,H58,0))/INDEX(Assumptions!$C$87:$E$87,$B$3))-J58</f>
        <v>-11616.0158111614</v>
      </c>
      <c r="K102" s="8" t="n">
        <f aca="false">((K58+IF(INDEX(Assumptions!$C$87:$E$87,$B$3)&gt;=2,J58,0)+IF(INDEX(Assumptions!$C$87:$E$87,$B$3)&gt;=3,I58,0))/INDEX(Assumptions!$C$87:$E$87,$B$3))-K58</f>
        <v>135793.079832192</v>
      </c>
      <c r="L102" s="8" t="n">
        <f aca="false">((L58+IF(INDEX(Assumptions!$C$87:$E$87,$B$3)&gt;=2,K58,0)+IF(INDEX(Assumptions!$C$87:$E$87,$B$3)&gt;=3,J58,0))/INDEX(Assumptions!$C$87:$E$87,$B$3))-L58</f>
        <v>-59366.1377095112</v>
      </c>
      <c r="M102" s="8" t="n">
        <f aca="false">((M58+IF(INDEX(Assumptions!$C$87:$E$87,$B$3)&gt;=2,L58,0)+IF(INDEX(Assumptions!$C$87:$E$87,$B$3)&gt;=3,K58,0))/INDEX(Assumptions!$C$87:$E$87,$B$3))-M58</f>
        <v>-6414.57340772566</v>
      </c>
      <c r="N102" s="8" t="n">
        <f aca="false">((N58+IF(INDEX(Assumptions!$C$87:$E$87,$B$3)&gt;=2,M58,0)+IF(INDEX(Assumptions!$C$87:$E$87,$B$3)&gt;=3,L58,0))/INDEX(Assumptions!$C$87:$E$87,$B$3))-N58</f>
        <v>13473.8496527631</v>
      </c>
      <c r="O102" s="37" t="n">
        <f aca="false">SUM(C102:N102)</f>
        <v>-292426.271186441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-391180.876441</v>
      </c>
      <c r="D103" s="37" t="n">
        <f aca="false">D92+D102-D101</f>
        <v>-207962.287334676</v>
      </c>
      <c r="E103" s="37" t="n">
        <f aca="false">E92+E102-E101</f>
        <v>-299520.659634751</v>
      </c>
      <c r="F103" s="37" t="n">
        <f aca="false">F92+F102-F101</f>
        <v>-85073.4071315398</v>
      </c>
      <c r="G103" s="37" t="n">
        <f aca="false">G92+G102-G101</f>
        <v>-53130.1850460565</v>
      </c>
      <c r="H103" s="37" t="n">
        <f aca="false">H92+H102-H101</f>
        <v>-1362031.10360357</v>
      </c>
      <c r="I103" s="37" t="n">
        <f aca="false">I92+I102-I101</f>
        <v>116991.180761627</v>
      </c>
      <c r="J103" s="37" t="n">
        <f aca="false">J92+J102-J101</f>
        <v>24334.4888064908</v>
      </c>
      <c r="K103" s="37" t="n">
        <f aca="false">K92+K102-K101</f>
        <v>273005.705621523</v>
      </c>
      <c r="L103" s="37" t="n">
        <f aca="false">L92+L102-L101</f>
        <v>190663.786700973</v>
      </c>
      <c r="M103" s="37" t="n">
        <f aca="false">M92+M102-M101</f>
        <v>270392.519578069</v>
      </c>
      <c r="N103" s="37" t="n">
        <f aca="false">N92+N102-N101</f>
        <v>283275.076704607</v>
      </c>
      <c r="O103" s="31" t="n">
        <f aca="false">SUM(C103:N103)</f>
        <v>-1240235.7610183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-391180.876441</v>
      </c>
      <c r="D104" s="37" t="n">
        <f aca="false">C104+D103</f>
        <v>-599143.163775676</v>
      </c>
      <c r="E104" s="37" t="n">
        <f aca="false">D104+E103</f>
        <v>-898663.823410427</v>
      </c>
      <c r="F104" s="37" t="n">
        <f aca="false">E104+F103</f>
        <v>-983737.230541967</v>
      </c>
      <c r="G104" s="37" t="n">
        <f aca="false">F104+G103</f>
        <v>-1036867.41558802</v>
      </c>
      <c r="H104" s="37" t="n">
        <f aca="false">G104+H103</f>
        <v>-2398898.51919159</v>
      </c>
      <c r="I104" s="37" t="n">
        <f aca="false">H104+I103</f>
        <v>-2281907.33842996</v>
      </c>
      <c r="J104" s="37" t="n">
        <f aca="false">I104+J103</f>
        <v>-2257572.84962347</v>
      </c>
      <c r="K104" s="37" t="n">
        <f aca="false">J104+K103</f>
        <v>-1984567.14400195</v>
      </c>
      <c r="L104" s="37" t="n">
        <f aca="false">K104+L103</f>
        <v>-1793903.35730098</v>
      </c>
      <c r="M104" s="37" t="n">
        <f aca="false">L104+M103</f>
        <v>-1523510.83772291</v>
      </c>
      <c r="N104" s="37" t="n">
        <f aca="false">M104+N103</f>
        <v>-1240235.7610183</v>
      </c>
      <c r="O104" s="31" t="n">
        <f aca="false">N104</f>
        <v>-1240235.7610183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391180.876441</v>
      </c>
      <c r="D105" s="37" t="n">
        <f aca="false">-MIN(0,MIN($C$104:D104))</f>
        <v>599143.163775676</v>
      </c>
      <c r="E105" s="37" t="n">
        <f aca="false">-MIN(0,MIN($C$104:E104))</f>
        <v>898663.823410427</v>
      </c>
      <c r="F105" s="37" t="n">
        <f aca="false">-MIN(0,MIN($C$104:F104))</f>
        <v>983737.230541967</v>
      </c>
      <c r="G105" s="37" t="n">
        <f aca="false">-MIN(0,MIN($C$104:G104))</f>
        <v>1036867.41558802</v>
      </c>
      <c r="H105" s="37" t="n">
        <f aca="false">-MIN(0,MIN($C$104:H104))</f>
        <v>2398898.51919159</v>
      </c>
      <c r="I105" s="37" t="n">
        <f aca="false">-MIN(0,MIN($C$104:I104))</f>
        <v>2398898.51919159</v>
      </c>
      <c r="J105" s="37" t="n">
        <f aca="false">-MIN(0,MIN($C$104:J104))</f>
        <v>2398898.51919159</v>
      </c>
      <c r="K105" s="37" t="n">
        <f aca="false">-MIN(0,MIN($C$104:K104))</f>
        <v>2398898.51919159</v>
      </c>
      <c r="L105" s="37" t="n">
        <f aca="false">-MIN(0,MIN($C$104:L104))</f>
        <v>2398898.51919159</v>
      </c>
      <c r="M105" s="37" t="n">
        <f aca="false">-MIN(0,MIN($C$104:M104))</f>
        <v>2398898.51919159</v>
      </c>
      <c r="N105" s="37" t="n">
        <f aca="false">-MIN(0,MIN($C$104:N104))</f>
        <v>2398898.51919159</v>
      </c>
      <c r="O105" s="31" t="n">
        <f aca="false">MAX(C105:N105)</f>
        <v>2398898.51919159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7114353.2773677</v>
      </c>
    </row>
    <row r="110" customFormat="false" ht="15" hidden="false" customHeight="false" outlineLevel="0" collapsed="false">
      <c r="A110" s="3" t="s">
        <v>28</v>
      </c>
      <c r="B110" s="31" t="n">
        <f aca="false">O92</f>
        <v>895490.510168139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0.125870964690057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-4509.48983186146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1843300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2398898.51919159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601101.480808409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472033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4.62500049379008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55.500005925481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0.158563811382886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0.422430277393934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17.5428834734527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796638.244448122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-1240235.7610183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1226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0.7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10500</v>
      </c>
      <c r="D15" s="8" t="n">
        <f aca="false">INDEX(Assumptions!$C$122:$E$122,$D$3)*$J$4</f>
        <v>28000</v>
      </c>
      <c r="E15" s="8" t="n">
        <f aca="false">INDEX(Assumptions!$C$123:$E$123,$D$3)*$J$4</f>
        <v>35000</v>
      </c>
      <c r="F15" s="8" t="n">
        <f aca="false">INDEX(Assumptions!$C$124:$E$124,$D$3)*$J$4</f>
        <v>42000</v>
      </c>
      <c r="G15" s="8" t="n">
        <f aca="false">INDEX(Assumptions!$C$125:$E$125,$D$3)*$J$4</f>
        <v>56000</v>
      </c>
      <c r="H15" s="8" t="n">
        <f aca="false">INDEX(Assumptions!$C$126:$E$126,$D$3)*$J$4</f>
        <v>63000</v>
      </c>
      <c r="I15" s="8" t="n">
        <f aca="false">INDEX(Assumptions!$C$127:$E$127,$D$3)*$J$4</f>
        <v>70000</v>
      </c>
      <c r="J15" s="8" t="n">
        <f aca="false">INDEX(Assumptions!$C$128:$E$128,$D$3)*$J$4</f>
        <v>70000</v>
      </c>
      <c r="K15" s="8" t="n">
        <f aca="false">INDEX(Assumptions!$C$129:$E$129,$D$3)*$J$4</f>
        <v>70000</v>
      </c>
      <c r="L15" s="8" t="n">
        <f aca="false">INDEX(Assumptions!$C$130:$E$130,$D$3)*$J$4</f>
        <v>70000</v>
      </c>
      <c r="M15" s="8" t="n">
        <f aca="false">INDEX(Assumptions!$C$131:$E$131,$D$3)*$J$4</f>
        <v>70000</v>
      </c>
      <c r="N15" s="8" t="n">
        <f aca="false">INDEX(Assumptions!$C$132:$E$132,$D$3)*$J$4</f>
        <v>70000</v>
      </c>
      <c r="O15" s="37" t="n">
        <f aca="false">SUM(C15:N15)</f>
        <v>654500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0.63</v>
      </c>
      <c r="D18" s="27" t="n">
        <f aca="false">D15*INDEX(Assumptions!$C$119:$E$119,$B$3)/D16</f>
        <v>1.68</v>
      </c>
      <c r="E18" s="27" t="n">
        <f aca="false">E15*INDEX(Assumptions!$C$119:$E$119,$B$3)/E16</f>
        <v>2.1</v>
      </c>
      <c r="F18" s="27" t="n">
        <f aca="false">F15*INDEX(Assumptions!$C$119:$E$119,$B$3)/F16</f>
        <v>2.52</v>
      </c>
      <c r="G18" s="27" t="n">
        <f aca="false">G15*INDEX(Assumptions!$C$119:$E$119,$B$3)/G16</f>
        <v>3.36</v>
      </c>
      <c r="H18" s="27" t="n">
        <f aca="false">H15*INDEX(Assumptions!$C$119:$E$119,$B$3)/H16</f>
        <v>3.78</v>
      </c>
      <c r="I18" s="27" t="n">
        <f aca="false">I15*INDEX(Assumptions!$C$119:$E$119,$B$3)/I16</f>
        <v>4.2</v>
      </c>
      <c r="J18" s="27" t="n">
        <f aca="false">J15*INDEX(Assumptions!$C$119:$E$119,$B$3)/J16</f>
        <v>4.2</v>
      </c>
      <c r="K18" s="27" t="n">
        <f aca="false">K15*INDEX(Assumptions!$C$119:$E$119,$B$3)/K16</f>
        <v>4.2</v>
      </c>
      <c r="L18" s="27" t="n">
        <f aca="false">L15*INDEX(Assumptions!$C$119:$E$119,$B$3)/L16</f>
        <v>4.2</v>
      </c>
      <c r="M18" s="27" t="n">
        <f aca="false">M15*INDEX(Assumptions!$C$119:$E$119,$B$3)/M16</f>
        <v>4.2</v>
      </c>
      <c r="N18" s="27" t="n">
        <f aca="false">N15*INDEX(Assumptions!$C$119:$E$119,$B$3)/N16</f>
        <v>4.2</v>
      </c>
      <c r="O18" s="35" t="n">
        <f aca="false">SUM(C18:N18)</f>
        <v>39.27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1.002776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1.834065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2.87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4.016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5.724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7.28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10.66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11.07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10.25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9.02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8.61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8.2</v>
      </c>
      <c r="O19" s="38" t="n">
        <f aca="false">SUM(C19:N19)</f>
        <v>80.536841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0.6016656</v>
      </c>
      <c r="E24" s="6" t="n">
        <f aca="false">D27+C27+D30+C30+1.25*D28</f>
        <v>1.82243772</v>
      </c>
      <c r="F24" s="6" t="n">
        <f aca="false">E27+D27+E30+D30+1.25*E28</f>
        <v>3.16285992</v>
      </c>
      <c r="G24" s="6" t="n">
        <f aca="false">F27+E27+F30+E30+1.25*F28</f>
        <v>4.6960878</v>
      </c>
      <c r="H24" s="6" t="n">
        <f aca="false">G27+F27+G30+F30+1.25*G28</f>
        <v>6.67032</v>
      </c>
      <c r="I24" s="6" t="n">
        <f aca="false">H27+G27+H30+G30+1.25*H28</f>
        <v>8.82069973691081</v>
      </c>
      <c r="J24" s="6" t="n">
        <f aca="false">I27+H27+I30+H30+1.25*I28</f>
        <v>12.1479698158376</v>
      </c>
      <c r="K24" s="6" t="n">
        <f aca="false">J27+I27+J30+I30+1.25*J28</f>
        <v>15.1647900789268</v>
      </c>
      <c r="L24" s="6" t="n">
        <f aca="false">K27+J27+K30+J30+1.25*K28</f>
        <v>15.3996</v>
      </c>
      <c r="M24" s="6" t="n">
        <f aca="false">L27+K27+L30+K30+1.25*L28</f>
        <v>14.45865</v>
      </c>
      <c r="N24" s="6" t="n">
        <f aca="false">M27+L27+M30+L30+1.25*M28</f>
        <v>11.860275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1.002776</v>
      </c>
      <c r="D25" s="6" t="n">
        <f aca="false">D19*(INDEX(Assumptions!$C$26:$E$26,$B$3)*(1-D23)+INDEX(Assumptions!$C$26:$E$26,$B$3)*D23*1.25+(1-INDEX(Assumptions!$C$26:$E$26,$B$3)))+C29*INDEX(Assumptions!$C$89:$E$89,$B$3)</f>
        <v>1.95439812</v>
      </c>
      <c r="E25" s="6" t="n">
        <f aca="false">E19*(INDEX(Assumptions!$C$26:$E$26,$B$3)*(1-E23)+INDEX(Assumptions!$C$26:$E$26,$B$3)*E23*1.25+(1-INDEX(Assumptions!$C$26:$E$26,$B$3)))+D29*INDEX(Assumptions!$C$89:$E$89,$B$3)</f>
        <v>3.0900878</v>
      </c>
      <c r="F25" s="6" t="n">
        <f aca="false">F19*(INDEX(Assumptions!$C$26:$E$26,$B$3)*(1-F23)+INDEX(Assumptions!$C$26:$E$26,$B$3)*F23*1.25+(1-INDEX(Assumptions!$C$26:$E$26,$B$3)))+E29*INDEX(Assumptions!$C$89:$E$89,$B$3)</f>
        <v>4.3604</v>
      </c>
      <c r="G25" s="6" t="n">
        <f aca="false">G19*(INDEX(Assumptions!$C$26:$E$26,$B$3)*(1-G23)+INDEX(Assumptions!$C$26:$E$26,$B$3)*G23*1.25+(1-INDEX(Assumptions!$C$26:$E$26,$B$3)))+F29*INDEX(Assumptions!$C$89:$E$89,$B$3)</f>
        <v>6.20592</v>
      </c>
      <c r="H25" s="6" t="n">
        <f aca="false">H19*(INDEX(Assumptions!$C$26:$E$26,$B$3)*(1-H23)+INDEX(Assumptions!$C$26:$E$26,$B$3)*H23*1.25+(1-INDEX(Assumptions!$C$26:$E$26,$B$3)))+G29*INDEX(Assumptions!$C$89:$E$89,$B$3)</f>
        <v>7.96688</v>
      </c>
      <c r="I25" s="6" t="n">
        <f aca="false">I19*(INDEX(Assumptions!$C$26:$E$26,$B$3)*(1-I23)+INDEX(Assumptions!$C$26:$E$26,$B$3)*I23*1.25+(1-INDEX(Assumptions!$C$26:$E$26,$B$3)))+H29*INDEX(Assumptions!$C$89:$E$89,$B$3)</f>
        <v>11.5075900789268</v>
      </c>
      <c r="J25" s="6" t="n">
        <f aca="false">J19*(INDEX(Assumptions!$C$26:$E$26,$B$3)*(1-J23)+INDEX(Assumptions!$C$26:$E$26,$B$3)*J23*1.25+(1-INDEX(Assumptions!$C$26:$E$26,$B$3)))+I29*INDEX(Assumptions!$C$89:$E$89,$B$3)</f>
        <v>12.3492</v>
      </c>
      <c r="K25" s="6" t="n">
        <f aca="false">K19*(INDEX(Assumptions!$C$26:$E$26,$B$3)*(1-K23)+INDEX(Assumptions!$C$26:$E$26,$B$3)*K23*1.25+(1-INDEX(Assumptions!$C$26:$E$26,$B$3)))+J29*INDEX(Assumptions!$C$89:$E$89,$B$3)</f>
        <v>11.5784</v>
      </c>
      <c r="L25" s="6" t="n">
        <f aca="false">L19*(INDEX(Assumptions!$C$26:$E$26,$B$3)*(1-L23)+INDEX(Assumptions!$C$26:$E$26,$B$3)*L23*1.25+(1-INDEX(Assumptions!$C$26:$E$26,$B$3)))+K29*INDEX(Assumptions!$C$89:$E$89,$B$3)</f>
        <v>10.58825</v>
      </c>
      <c r="M25" s="6" t="n">
        <f aca="false">M19*(INDEX(Assumptions!$C$26:$E$26,$B$3)*(1-M23)+INDEX(Assumptions!$C$26:$E$26,$B$3)*M23*1.25+(1-INDEX(Assumptions!$C$26:$E$26,$B$3)))+L29*INDEX(Assumptions!$C$89:$E$89,$B$3)</f>
        <v>10.015275</v>
      </c>
      <c r="N25" s="6" t="n">
        <f aca="false">N19*(INDEX(Assumptions!$C$26:$E$26,$B$3)*(1-N23)+INDEX(Assumptions!$C$26:$E$26,$B$3)*N23*1.25+(1-INDEX(Assumptions!$C$26:$E$26,$B$3)))+M29*INDEX(Assumptions!$C$89:$E$89,$B$3)</f>
        <v>9.5407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0.970226738698211</v>
      </c>
      <c r="I26" s="7" t="n">
        <f aca="false">IF(I25&lt;=0,1,MAX(0,MIN(1,(I22-I24)/I25)))</f>
        <v>1</v>
      </c>
      <c r="J26" s="7" t="n">
        <f aca="false">IF(J25&lt;=0,1,MAX(0,MIN(1,(J22-J24)/J25)))</f>
        <v>1</v>
      </c>
      <c r="K26" s="7" t="n">
        <f aca="false">IF(K25&lt;=0,1,MAX(0,MIN(1,(K22-K24)/K25)))</f>
        <v>1</v>
      </c>
      <c r="L26" s="7" t="n">
        <f aca="false">IF(L25&lt;=0,1,MAX(0,MIN(1,(L22-L24)/L25)))</f>
        <v>1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0.970226738698211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0.6016656</v>
      </c>
      <c r="D27" s="35" t="n">
        <f aca="false">D19*INDEX(Assumptions!$C$26:$E$26,$B$3)*(1-D23)*D26</f>
        <v>1.100439</v>
      </c>
      <c r="E27" s="35" t="n">
        <f aca="false">E19*INDEX(Assumptions!$C$26:$E$26,$B$3)*(1-E23)*E26</f>
        <v>1.722</v>
      </c>
      <c r="F27" s="35" t="n">
        <f aca="false">F19*INDEX(Assumptions!$C$26:$E$26,$B$3)*(1-F23)*F26</f>
        <v>2.4096</v>
      </c>
      <c r="G27" s="35" t="n">
        <f aca="false">G19*INDEX(Assumptions!$C$26:$E$26,$B$3)*(1-G23)*G26</f>
        <v>3.4344</v>
      </c>
      <c r="H27" s="35" t="n">
        <f aca="false">H19*INDEX(Assumptions!$C$26:$E$26,$B$3)*(1-H23)*H26</f>
        <v>4.23795039463378</v>
      </c>
      <c r="I27" s="35" t="n">
        <f aca="false">I19*INDEX(Assumptions!$C$26:$E$26,$B$3)*(1-I23)*I26</f>
        <v>6.396</v>
      </c>
      <c r="J27" s="35" t="n">
        <f aca="false">J19*INDEX(Assumptions!$C$26:$E$26,$B$3)*(1-J23)*J26</f>
        <v>6.642</v>
      </c>
      <c r="K27" s="35" t="n">
        <f aca="false">K19*INDEX(Assumptions!$C$26:$E$26,$B$3)*(1-K23)*K26</f>
        <v>6.15</v>
      </c>
      <c r="L27" s="35" t="n">
        <f aca="false">L19*INDEX(Assumptions!$C$26:$E$26,$B$3)*(1-L23)*L26</f>
        <v>4.059</v>
      </c>
      <c r="M27" s="35" t="n">
        <f aca="false">M19*INDEX(Assumptions!$C$26:$E$26,$B$3)*(1-M23)*M26</f>
        <v>3.8745</v>
      </c>
      <c r="N27" s="35" t="n">
        <f aca="false">N19*INDEX(Assumptions!$C$26:$E$26,$B$3)*(1-N23)*N26</f>
        <v>3.69</v>
      </c>
      <c r="O27" s="38" t="n">
        <f aca="false">SUM(C27:N27)</f>
        <v>44.3175549946338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1.353</v>
      </c>
      <c r="M28" s="27" t="n">
        <f aca="false">M19*INDEX(Assumptions!$C$26:$E$26,$B$3)*M23*M26</f>
        <v>1.2915</v>
      </c>
      <c r="N28" s="27" t="n">
        <f aca="false">N19*INDEX(Assumptions!$C$26:$E$26,$B$3)*N23*N26</f>
        <v>1.23</v>
      </c>
      <c r="O28" s="35" t="n">
        <f aca="false">SUM(C28:N28)</f>
        <v>3.8745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0.4011104</v>
      </c>
      <c r="D29" s="27" t="n">
        <f aca="false">D19*(1-INDEX(Assumptions!$C$26:$E$26,$B$3))*D26</f>
        <v>0.733626</v>
      </c>
      <c r="E29" s="27" t="n">
        <f aca="false">E19*(1-INDEX(Assumptions!$C$26:$E$26,$B$3))*E26</f>
        <v>1.148</v>
      </c>
      <c r="F29" s="27" t="n">
        <f aca="false">F19*(1-INDEX(Assumptions!$C$26:$E$26,$B$3))*F26</f>
        <v>1.6064</v>
      </c>
      <c r="G29" s="27" t="n">
        <f aca="false">G19*(1-INDEX(Assumptions!$C$26:$E$26,$B$3))*G26</f>
        <v>2.2896</v>
      </c>
      <c r="H29" s="27" t="n">
        <f aca="false">H19*(1-INDEX(Assumptions!$C$26:$E$26,$B$3))*H26</f>
        <v>2.82530026308919</v>
      </c>
      <c r="I29" s="27" t="n">
        <f aca="false">I19*(1-INDEX(Assumptions!$C$26:$E$26,$B$3))*I26</f>
        <v>4.264</v>
      </c>
      <c r="J29" s="27" t="n">
        <f aca="false">J19*(1-INDEX(Assumptions!$C$26:$E$26,$B$3))*J26</f>
        <v>4.428</v>
      </c>
      <c r="K29" s="27" t="n">
        <f aca="false">K19*(1-INDEX(Assumptions!$C$26:$E$26,$B$3))*K26</f>
        <v>4.1</v>
      </c>
      <c r="L29" s="27" t="n">
        <f aca="false">L19*(1-INDEX(Assumptions!$C$26:$E$26,$B$3))*L26</f>
        <v>3.608</v>
      </c>
      <c r="M29" s="27" t="n">
        <f aca="false">M19*(1-INDEX(Assumptions!$C$26:$E$26,$B$3))*M26</f>
        <v>3.444</v>
      </c>
      <c r="N29" s="27" t="n">
        <f aca="false">N19*(1-INDEX(Assumptions!$C$26:$E$26,$B$3))*N26</f>
        <v>3.28</v>
      </c>
      <c r="O29" s="35" t="n">
        <f aca="false">SUM(C29:N29)</f>
        <v>32.1280366630892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0.12033312</v>
      </c>
      <c r="E30" s="27" t="n">
        <f aca="false">D29*INDEX(Assumptions!$C$89:$E$89,$B$3)*E26</f>
        <v>0.2200878</v>
      </c>
      <c r="F30" s="27" t="n">
        <f aca="false">E29*INDEX(Assumptions!$C$89:$E$89,$B$3)*F26</f>
        <v>0.3444</v>
      </c>
      <c r="G30" s="27" t="n">
        <f aca="false">F29*INDEX(Assumptions!$C$89:$E$89,$B$3)*G26</f>
        <v>0.48192</v>
      </c>
      <c r="H30" s="27" t="n">
        <f aca="false">G29*INDEX(Assumptions!$C$89:$E$89,$B$3)*H26</f>
        <v>0.666429342277027</v>
      </c>
      <c r="I30" s="27" t="n">
        <f aca="false">H29*INDEX(Assumptions!$C$89:$E$89,$B$3)*I26</f>
        <v>0.847590078926757</v>
      </c>
      <c r="J30" s="27" t="n">
        <f aca="false">I29*INDEX(Assumptions!$C$89:$E$89,$B$3)*J26</f>
        <v>1.2792</v>
      </c>
      <c r="K30" s="27" t="n">
        <f aca="false">J29*INDEX(Assumptions!$C$89:$E$89,$B$3)*K26</f>
        <v>1.3284</v>
      </c>
      <c r="L30" s="27" t="n">
        <f aca="false">K29*INDEX(Assumptions!$C$89:$E$89,$B$3)*L26</f>
        <v>1.23</v>
      </c>
      <c r="M30" s="27" t="n">
        <f aca="false">L29*INDEX(Assumptions!$C$89:$E$89,$B$3)*M26</f>
        <v>1.0824</v>
      </c>
      <c r="N30" s="27" t="n">
        <f aca="false">M29*INDEX(Assumptions!$C$89:$E$89,$B$3)*N26</f>
        <v>1.0332</v>
      </c>
      <c r="O30" s="35" t="n">
        <f aca="false">SUM(C30:N30)</f>
        <v>8.63396034120379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1.002776</v>
      </c>
      <c r="D31" s="35" t="n">
        <f aca="false">D27+D28+D29</f>
        <v>1.834065</v>
      </c>
      <c r="E31" s="35" t="n">
        <f aca="false">E27+E28+E29</f>
        <v>2.87</v>
      </c>
      <c r="F31" s="35" t="n">
        <f aca="false">F27+F28+F29</f>
        <v>4.016</v>
      </c>
      <c r="G31" s="35" t="n">
        <f aca="false">G27+G28+G29</f>
        <v>5.724</v>
      </c>
      <c r="H31" s="35" t="n">
        <f aca="false">H27+H28+H29</f>
        <v>7.06325065772297</v>
      </c>
      <c r="I31" s="35" t="n">
        <f aca="false">I27+I28+I29</f>
        <v>10.66</v>
      </c>
      <c r="J31" s="35" t="n">
        <f aca="false">J27+J28+J29</f>
        <v>11.07</v>
      </c>
      <c r="K31" s="35" t="n">
        <f aca="false">K27+K28+K29</f>
        <v>10.25</v>
      </c>
      <c r="L31" s="35" t="n">
        <f aca="false">L27+L28+L29</f>
        <v>9.02</v>
      </c>
      <c r="M31" s="35" t="n">
        <f aca="false">M27+M28+M29</f>
        <v>8.61</v>
      </c>
      <c r="N31" s="35" t="n">
        <f aca="false">N27+N28+N29</f>
        <v>8.2</v>
      </c>
      <c r="O31" s="38" t="n">
        <f aca="false">SUM(C31:N31)</f>
        <v>80.320091657723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0.250694</v>
      </c>
      <c r="D32" s="27" t="n">
        <f aca="false">D31*INDEX(Assumptions!$C$74:$E$74,$B$3)</f>
        <v>0.45851625</v>
      </c>
      <c r="E32" s="27" t="n">
        <f aca="false">E31*INDEX(Assumptions!$C$74:$E$74,$B$3)</f>
        <v>0.7175</v>
      </c>
      <c r="F32" s="27" t="n">
        <f aca="false">F31*INDEX(Assumptions!$C$74:$E$74,$B$3)</f>
        <v>1.004</v>
      </c>
      <c r="G32" s="27" t="n">
        <f aca="false">G31*INDEX(Assumptions!$C$74:$E$74,$B$3)</f>
        <v>1.431</v>
      </c>
      <c r="H32" s="27" t="n">
        <f aca="false">H31*INDEX(Assumptions!$C$74:$E$74,$B$3)</f>
        <v>1.76581266443074</v>
      </c>
      <c r="I32" s="27" t="n">
        <f aca="false">I31*INDEX(Assumptions!$C$74:$E$74,$B$3)</f>
        <v>2.665</v>
      </c>
      <c r="J32" s="27" t="n">
        <f aca="false">J31*INDEX(Assumptions!$C$74:$E$74,$B$3)</f>
        <v>2.7675</v>
      </c>
      <c r="K32" s="27" t="n">
        <f aca="false">K31*INDEX(Assumptions!$C$74:$E$74,$B$3)</f>
        <v>2.5625</v>
      </c>
      <c r="L32" s="27" t="n">
        <f aca="false">L31*INDEX(Assumptions!$C$74:$E$74,$B$3)</f>
        <v>2.255</v>
      </c>
      <c r="M32" s="27" t="n">
        <f aca="false">M31*INDEX(Assumptions!$C$74:$E$74,$B$3)</f>
        <v>2.1525</v>
      </c>
      <c r="N32" s="27" t="n">
        <f aca="false">N31*INDEX(Assumptions!$C$74:$E$74,$B$3)</f>
        <v>2.05</v>
      </c>
      <c r="O32" s="35" t="n">
        <f aca="false">SUM(C32:N32)</f>
        <v>20.0800229144307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1.002776</v>
      </c>
      <c r="D33" s="6" t="n">
        <f aca="false">D24+D27+D30+D29+1.25*D28</f>
        <v>2.55606372</v>
      </c>
      <c r="E33" s="6" t="n">
        <f aca="false">E24+E27+E30+E29+1.25*E28</f>
        <v>4.91252552</v>
      </c>
      <c r="F33" s="6" t="n">
        <f aca="false">F24+F27+F30+F29+1.25*F28</f>
        <v>7.52325992</v>
      </c>
      <c r="G33" s="6" t="n">
        <f aca="false">G24+G27+G30+G29+1.25*G28</f>
        <v>10.9020078</v>
      </c>
      <c r="H33" s="6" t="n">
        <f aca="false">H24+H27+H30+H29+1.25*H28</f>
        <v>14.4</v>
      </c>
      <c r="I33" s="6" t="n">
        <f aca="false">I24+I27+I30+I29+1.25*I28</f>
        <v>20.3282898158376</v>
      </c>
      <c r="J33" s="6" t="n">
        <f aca="false">J24+J27+J30+J29+1.25*J28</f>
        <v>24.4971698158376</v>
      </c>
      <c r="K33" s="6" t="n">
        <f aca="false">K24+K27+K30+K29+1.25*K28</f>
        <v>26.7431900789268</v>
      </c>
      <c r="L33" s="6" t="n">
        <f aca="false">L24+L27+L30+L29+1.25*L28</f>
        <v>25.98785</v>
      </c>
      <c r="M33" s="6" t="n">
        <f aca="false">M24+M27+M30+M29+1.25*M28</f>
        <v>24.473925</v>
      </c>
      <c r="N33" s="6" t="n">
        <f aca="false">N24+N27+N30+N29+1.25*N28</f>
        <v>21.400975</v>
      </c>
      <c r="O33" s="39" t="n">
        <f aca="false">AVERAGE(C33:N33)</f>
        <v>15.3940027225502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0.0626735</v>
      </c>
      <c r="D34" s="36" t="n">
        <f aca="false">D33/(D20*D21)</f>
        <v>0.1597539825</v>
      </c>
      <c r="E34" s="36" t="n">
        <f aca="false">E33/(E20*E21)</f>
        <v>0.307032845</v>
      </c>
      <c r="F34" s="36" t="n">
        <f aca="false">F33/(F20*F21)</f>
        <v>0.470203745</v>
      </c>
      <c r="G34" s="36" t="n">
        <f aca="false">G33/(G20*G21)</f>
        <v>0.6813754875</v>
      </c>
      <c r="H34" s="36" t="n">
        <f aca="false">H33/(H20*H21)</f>
        <v>0.9</v>
      </c>
      <c r="I34" s="36" t="n">
        <f aca="false">I33/(I20*I21)</f>
        <v>0.677609660527919</v>
      </c>
      <c r="J34" s="36" t="n">
        <f aca="false">J33/(J20*J21)</f>
        <v>0.816572327194586</v>
      </c>
      <c r="K34" s="36" t="n">
        <f aca="false">K33/(K20*K21)</f>
        <v>0.891439669297559</v>
      </c>
      <c r="L34" s="36" t="n">
        <f aca="false">L33/(L20*L21)</f>
        <v>0.866261666666667</v>
      </c>
      <c r="M34" s="36" t="n">
        <f aca="false">M33/(M20*M21)</f>
        <v>0.8157975</v>
      </c>
      <c r="N34" s="36" t="n">
        <f aca="false">N33/(N20*N21)</f>
        <v>0.713365833333333</v>
      </c>
      <c r="O34" s="30" t="n">
        <f aca="false">N34</f>
        <v>0.713365833333333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0</v>
      </c>
      <c r="K35" s="8" t="n">
        <f aca="false">IF(K26&lt;0.999,1,0)</f>
        <v>0</v>
      </c>
      <c r="L35" s="8" t="n">
        <f aca="false">IF(L26&lt;0.999,1,0)</f>
        <v>0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1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0.9406904315197</v>
      </c>
      <c r="D39" s="6" t="n">
        <f aca="false">D19*INDEX(Assumptions!$C$31:$E$31,$B$3)/(INDEX(Assumptions!$C$56:$E$56,$B$3)*INDEX(Assumptions!$C$57:$E$57,$B$3)*INDEX(Assumptions!$C$58:$E$58,$B$3))</f>
        <v>1.72051125703565</v>
      </c>
      <c r="E39" s="6" t="n">
        <f aca="false">E19*INDEX(Assumptions!$C$31:$E$31,$B$3)/(INDEX(Assumptions!$C$56:$E$56,$B$3)*INDEX(Assumptions!$C$57:$E$57,$B$3)*INDEX(Assumptions!$C$58:$E$58,$B$3))</f>
        <v>2.69230769230769</v>
      </c>
      <c r="F39" s="6" t="n">
        <f aca="false">F19*INDEX(Assumptions!$C$31:$E$31,$B$3)/(INDEX(Assumptions!$C$56:$E$56,$B$3)*INDEX(Assumptions!$C$57:$E$57,$B$3)*INDEX(Assumptions!$C$58:$E$58,$B$3))</f>
        <v>3.76735459662289</v>
      </c>
      <c r="G39" s="6" t="n">
        <f aca="false">G19*INDEX(Assumptions!$C$31:$E$31,$B$3)/(INDEX(Assumptions!$C$56:$E$56,$B$3)*INDEX(Assumptions!$C$57:$E$57,$B$3)*INDEX(Assumptions!$C$58:$E$58,$B$3))</f>
        <v>5.36960600375234</v>
      </c>
      <c r="H39" s="6" t="n">
        <f aca="false">H19*INDEX(Assumptions!$C$31:$E$31,$B$3)/(INDEX(Assumptions!$C$56:$E$56,$B$3)*INDEX(Assumptions!$C$57:$E$57,$B$3)*INDEX(Assumptions!$C$58:$E$58,$B$3))</f>
        <v>6.82926829268293</v>
      </c>
      <c r="I39" s="6" t="n">
        <f aca="false">I19*INDEX(Assumptions!$C$31:$E$31,$B$3)/(INDEX(Assumptions!$C$56:$E$56,$B$3)*INDEX(Assumptions!$C$57:$E$57,$B$3)*INDEX(Assumptions!$C$58:$E$58,$B$3))</f>
        <v>10</v>
      </c>
      <c r="J39" s="6" t="n">
        <f aca="false">J19*INDEX(Assumptions!$C$31:$E$31,$B$3)/(INDEX(Assumptions!$C$56:$E$56,$B$3)*INDEX(Assumptions!$C$57:$E$57,$B$3)*INDEX(Assumptions!$C$58:$E$58,$B$3))</f>
        <v>10.3846153846154</v>
      </c>
      <c r="K39" s="6" t="n">
        <f aca="false">K19*INDEX(Assumptions!$C$31:$E$31,$B$3)/(INDEX(Assumptions!$C$56:$E$56,$B$3)*INDEX(Assumptions!$C$57:$E$57,$B$3)*INDEX(Assumptions!$C$58:$E$58,$B$3))</f>
        <v>9.61538461538462</v>
      </c>
      <c r="L39" s="6" t="n">
        <f aca="false">L19*INDEX(Assumptions!$C$31:$E$31,$B$3)/(INDEX(Assumptions!$C$56:$E$56,$B$3)*INDEX(Assumptions!$C$57:$E$57,$B$3)*INDEX(Assumptions!$C$58:$E$58,$B$3))</f>
        <v>8.46153846153846</v>
      </c>
      <c r="M39" s="6" t="n">
        <f aca="false">M19*INDEX(Assumptions!$C$31:$E$31,$B$3)/(INDEX(Assumptions!$C$56:$E$56,$B$3)*INDEX(Assumptions!$C$57:$E$57,$B$3)*INDEX(Assumptions!$C$58:$E$58,$B$3))</f>
        <v>8.07692307692308</v>
      </c>
      <c r="N39" s="6" t="n">
        <f aca="false">N19*INDEX(Assumptions!$C$31:$E$31,$B$3)/(INDEX(Assumptions!$C$56:$E$56,$B$3)*INDEX(Assumptions!$C$57:$E$57,$B$3)*INDEX(Assumptions!$C$58:$E$58,$B$3))</f>
        <v>7.69230769230769</v>
      </c>
      <c r="O39" s="39" t="n">
        <f aca="false">SUM(C39:N39)</f>
        <v>75.5505075046904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30593.1661016949</v>
      </c>
      <c r="D47" s="8" t="n">
        <f aca="false">D27*D44/(1+INDEX(Assumptions!$C$15:$E$15,$B$3)*$H$4)</f>
        <v>55954.5254237288</v>
      </c>
      <c r="E47" s="8" t="n">
        <f aca="false">E27*E44/(1+INDEX(Assumptions!$C$15:$E$15,$B$3)*$H$4)</f>
        <v>87559.3220338983</v>
      </c>
      <c r="F47" s="8" t="n">
        <f aca="false">F27*F44/(1+INDEX(Assumptions!$C$15:$E$15,$B$3)*$H$4)</f>
        <v>122522.033898305</v>
      </c>
      <c r="G47" s="8" t="n">
        <f aca="false">G27*G44/(1+INDEX(Assumptions!$C$15:$E$15,$B$3)*$H$4)</f>
        <v>174630.508474576</v>
      </c>
      <c r="H47" s="8" t="n">
        <f aca="false">H27*H44/(1+INDEX(Assumptions!$C$15:$E$15,$B$3)*$H$4)</f>
        <v>215489.003116972</v>
      </c>
      <c r="I47" s="8" t="n">
        <f aca="false">I27*I44/(1+INDEX(Assumptions!$C$15:$E$15,$B$3)*$H$4)</f>
        <v>433627.118644068</v>
      </c>
      <c r="J47" s="8" t="n">
        <f aca="false">J27*J44/(1+INDEX(Assumptions!$C$15:$E$15,$B$3)*$H$4)</f>
        <v>450305.084745763</v>
      </c>
      <c r="K47" s="8" t="n">
        <f aca="false">K27*K44/(1+INDEX(Assumptions!$C$15:$E$15,$B$3)*$H$4)</f>
        <v>416949.152542373</v>
      </c>
      <c r="L47" s="8" t="n">
        <f aca="false">L27*L44/(1+INDEX(Assumptions!$C$15:$E$15,$B$3)*$H$4)</f>
        <v>275186.440677966</v>
      </c>
      <c r="M47" s="8" t="n">
        <f aca="false">M27*M44/(1+INDEX(Assumptions!$C$15:$E$15,$B$3)*$H$4)</f>
        <v>262677.966101695</v>
      </c>
      <c r="N47" s="8" t="n">
        <f aca="false">N27*N44/(1+INDEX(Assumptions!$C$15:$E$15,$B$3)*$H$4)</f>
        <v>250169.491525424</v>
      </c>
      <c r="O47" s="37" t="n">
        <f aca="false">SUM(C47:N47)</f>
        <v>2775663.81328646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91728.813559322</v>
      </c>
      <c r="M48" s="8" t="n">
        <f aca="false">M28*M44/(1+INDEX(Assumptions!$C$15:$E$15,$B$3)*$H$4)</f>
        <v>87559.3220338983</v>
      </c>
      <c r="N48" s="8" t="n">
        <f aca="false">N28*N44/(1+INDEX(Assumptions!$C$15:$E$15,$B$3)*$H$4)</f>
        <v>83389.8305084746</v>
      </c>
      <c r="O48" s="37" t="n">
        <f aca="false">SUM(C48:N48)</f>
        <v>262677.966101695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2049.74212881356</v>
      </c>
      <c r="E49" s="8" t="n">
        <f aca="false">E30*MAX(0,E44-INDEX(Assumptions!$C$18:$E$18,$B$3)*$H$3)/(1+INDEX(Assumptions!$C$15:$E$15,$B$3)*$H$4)</f>
        <v>3748.95320338983</v>
      </c>
      <c r="F49" s="8" t="n">
        <f aca="false">F30*MAX(0,F44-INDEX(Assumptions!$C$18:$E$18,$B$3)*$H$3)/(1+INDEX(Assumptions!$C$15:$E$15,$B$3)*$H$4)</f>
        <v>5866.47457627119</v>
      </c>
      <c r="G49" s="8" t="n">
        <f aca="false">G30*MAX(0,G44-INDEX(Assumptions!$C$18:$E$18,$B$3)*$H$3)/(1+INDEX(Assumptions!$C$15:$E$15,$B$3)*$H$4)</f>
        <v>8208.97627118644</v>
      </c>
      <c r="H49" s="8" t="n">
        <f aca="false">H30*MAX(0,H44-INDEX(Assumptions!$C$18:$E$18,$B$3)*$H$3)/(1+INDEX(Assumptions!$C$15:$E$15,$B$3)*$H$4)</f>
        <v>11351.8896438714</v>
      </c>
      <c r="I49" s="8" t="n">
        <f aca="false">I30*MAX(0,I44-INDEX(Assumptions!$C$18:$E$18,$B$3)*$H$3)/(1+INDEX(Assumptions!$C$15:$E$15,$B$3)*$H$4)</f>
        <v>28803.6967499686</v>
      </c>
      <c r="J49" s="8" t="n">
        <f aca="false">J30*MAX(0,J44-INDEX(Assumptions!$C$18:$E$18,$B$3)*$H$3)/(1+INDEX(Assumptions!$C$15:$E$15,$B$3)*$H$4)</f>
        <v>43471.1186440678</v>
      </c>
      <c r="K49" s="8" t="n">
        <f aca="false">K30*MAX(0,K44-INDEX(Assumptions!$C$18:$E$18,$B$3)*$H$3)/(1+INDEX(Assumptions!$C$15:$E$15,$B$3)*$H$4)</f>
        <v>45143.0847457627</v>
      </c>
      <c r="L49" s="8" t="n">
        <f aca="false">L30*MAX(0,L44-INDEX(Assumptions!$C$18:$E$18,$B$3)*$H$3)/(1+INDEX(Assumptions!$C$15:$E$15,$B$3)*$H$4)</f>
        <v>41799.1525423729</v>
      </c>
      <c r="M49" s="8" t="n">
        <f aca="false">M30*MAX(0,M44-INDEX(Assumptions!$C$18:$E$18,$B$3)*$H$3)/(1+INDEX(Assumptions!$C$15:$E$15,$B$3)*$H$4)</f>
        <v>36783.2542372881</v>
      </c>
      <c r="N49" s="8" t="n">
        <f aca="false">N30*MAX(0,N44-INDEX(Assumptions!$C$18:$E$18,$B$3)*$H$3)/(1+INDEX(Assumptions!$C$15:$E$15,$B$3)*$H$4)</f>
        <v>35111.2881355932</v>
      </c>
      <c r="O49" s="37" t="n">
        <f aca="false">SUM(C49:N49)</f>
        <v>262337.630878586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13562.9703050848</v>
      </c>
      <c r="D50" s="8" t="n">
        <f aca="false">D29*INDEX(Assumptions!$C$18:$E$18,$B$3)*$H$3/(1+INDEX(Assumptions!$C$15:$E$15,$B$3)*$H$4)</f>
        <v>24806.5062711864</v>
      </c>
      <c r="E50" s="8" t="n">
        <f aca="false">E29*INDEX(Assumptions!$C$18:$E$18,$B$3)*$H$3/(1+INDEX(Assumptions!$C$15:$E$15,$B$3)*$H$4)</f>
        <v>38817.9661016949</v>
      </c>
      <c r="F50" s="8" t="n">
        <f aca="false">F29*INDEX(Assumptions!$C$18:$E$18,$B$3)*$H$3/(1+INDEX(Assumptions!$C$15:$E$15,$B$3)*$H$4)</f>
        <v>54318.1016949153</v>
      </c>
      <c r="G50" s="8" t="n">
        <f aca="false">G29*INDEX(Assumptions!$C$18:$E$18,$B$3)*$H$3/(1+INDEX(Assumptions!$C$15:$E$15,$B$3)*$H$4)</f>
        <v>77419.5254237288</v>
      </c>
      <c r="H50" s="8" t="n">
        <f aca="false">H29*INDEX(Assumptions!$C$18:$E$18,$B$3)*$H$3/(1+INDEX(Assumptions!$C$15:$E$15,$B$3)*$H$4)</f>
        <v>95533.4580485243</v>
      </c>
      <c r="I50" s="8" t="n">
        <f aca="false">I29*INDEX(Assumptions!$C$18:$E$18,$B$3)*$H$3/(1+INDEX(Assumptions!$C$15:$E$15,$B$3)*$H$4)</f>
        <v>144181.016949153</v>
      </c>
      <c r="J50" s="8" t="n">
        <f aca="false">J29*INDEX(Assumptions!$C$18:$E$18,$B$3)*$H$3/(1+INDEX(Assumptions!$C$15:$E$15,$B$3)*$H$4)</f>
        <v>149726.440677966</v>
      </c>
      <c r="K50" s="8" t="n">
        <f aca="false">K29*INDEX(Assumptions!$C$18:$E$18,$B$3)*$H$3/(1+INDEX(Assumptions!$C$15:$E$15,$B$3)*$H$4)</f>
        <v>138635.593220339</v>
      </c>
      <c r="L50" s="8" t="n">
        <f aca="false">L29*INDEX(Assumptions!$C$18:$E$18,$B$3)*$H$3/(1+INDEX(Assumptions!$C$15:$E$15,$B$3)*$H$4)</f>
        <v>121999.322033898</v>
      </c>
      <c r="M50" s="8" t="n">
        <f aca="false">M29*INDEX(Assumptions!$C$18:$E$18,$B$3)*$H$3/(1+INDEX(Assumptions!$C$15:$E$15,$B$3)*$H$4)</f>
        <v>116453.898305085</v>
      </c>
      <c r="N50" s="8" t="n">
        <f aca="false">N29*INDEX(Assumptions!$C$18:$E$18,$B$3)*$H$3/(1+INDEX(Assumptions!$C$15:$E$15,$B$3)*$H$4)</f>
        <v>110908.474576271</v>
      </c>
      <c r="O50" s="37" t="n">
        <f aca="false">SUM(C50:N50)</f>
        <v>1086363.27360785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711.502049735746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1301.32851888018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2036.35795306389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2849.48206951379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4061.36338792254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5165.39578338156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7563.61525423729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7854.52353324641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7272.70697522816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6399.98213820078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6109.07385919166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5818.16558018253</v>
      </c>
      <c r="O51" s="37" t="n">
        <f aca="false">SUM(C51:N51)</f>
        <v>57143.4971027845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6140.16</v>
      </c>
      <c r="J56" s="8" t="n">
        <f aca="false">(J27+J28)*(1-J45)*INDEX(Assumptions!$C$90:$E$90,$B$3)</f>
        <v>6376.32</v>
      </c>
      <c r="K56" s="8" t="n">
        <f aca="false">(K27+K28)*(1-K45)*INDEX(Assumptions!$C$90:$E$90,$B$3)</f>
        <v>5904</v>
      </c>
      <c r="L56" s="8" t="n">
        <f aca="false">(L27+L28)*(1-L45)*INDEX(Assumptions!$C$90:$E$90,$B$3)</f>
        <v>5195.52</v>
      </c>
      <c r="M56" s="8" t="n">
        <f aca="false">(M27+M28)*(1-M45)*INDEX(Assumptions!$C$90:$E$90,$B$3)</f>
        <v>4959.36</v>
      </c>
      <c r="N56" s="8" t="n">
        <f aca="false">(N27+N28)*(1-N45)*INDEX(Assumptions!$C$90:$E$90,$B$3)</f>
        <v>4723.2</v>
      </c>
      <c r="O56" s="37" t="n">
        <f aca="false">SUM(C56:N56)</f>
        <v>33298.56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74522.7232022781</v>
      </c>
      <c r="D57" s="37" t="n">
        <f aca="false">SUM(D47:D56)</f>
        <v>134949.390478202</v>
      </c>
      <c r="E57" s="37" t="n">
        <f aca="false">SUM(E47:E56)</f>
        <v>239248.838275098</v>
      </c>
      <c r="F57" s="37" t="n">
        <f aca="false">SUM(F47:F56)</f>
        <v>329827.299018666</v>
      </c>
      <c r="G57" s="37" t="n">
        <f aca="false">SUM(G47:G56)</f>
        <v>414003.24304894</v>
      </c>
      <c r="H57" s="37" t="n">
        <f aca="false">SUM(H47:H56)</f>
        <v>501698.261846987</v>
      </c>
      <c r="I57" s="37" t="n">
        <f aca="false">SUM(I47:I56)</f>
        <v>818949.768614376</v>
      </c>
      <c r="J57" s="37" t="n">
        <f aca="false">SUM(J47:J56)</f>
        <v>880843.294380704</v>
      </c>
      <c r="K57" s="37" t="n">
        <f aca="false">SUM(K47:K56)</f>
        <v>857339.767992177</v>
      </c>
      <c r="L57" s="37" t="n">
        <f aca="false">SUM(L47:L56)</f>
        <v>798453.783494133</v>
      </c>
      <c r="M57" s="37" t="n">
        <f aca="false">SUM(M47:M56)</f>
        <v>789751.410130378</v>
      </c>
      <c r="N57" s="37" t="n">
        <f aca="false">SUM(N47:N56)</f>
        <v>784392.968970013</v>
      </c>
      <c r="O57" s="31" t="n">
        <f aca="false">SUM(C57:N57)</f>
        <v>6623980.74945195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44156.1364067797</v>
      </c>
      <c r="D58" s="8" t="n">
        <f aca="false">D47+D48+D49+D50</f>
        <v>82810.7738237288</v>
      </c>
      <c r="E58" s="8" t="n">
        <f aca="false">E47+E48+E49+E50</f>
        <v>130126.241338983</v>
      </c>
      <c r="F58" s="8" t="n">
        <f aca="false">F47+F48+F49+F50</f>
        <v>182706.610169492</v>
      </c>
      <c r="G58" s="8" t="n">
        <f aca="false">G47+G48+G49+G50</f>
        <v>260259.010169492</v>
      </c>
      <c r="H58" s="8" t="n">
        <f aca="false">H47+H48+H49+H50</f>
        <v>322374.350809368</v>
      </c>
      <c r="I58" s="8" t="n">
        <f aca="false">I47+I48+I49+I50</f>
        <v>606611.832343189</v>
      </c>
      <c r="J58" s="8" t="n">
        <f aca="false">J47+J48+J49+J50</f>
        <v>643502.644067797</v>
      </c>
      <c r="K58" s="8" t="n">
        <f aca="false">K47+K48+K49+K50</f>
        <v>600727.830508475</v>
      </c>
      <c r="L58" s="8" t="n">
        <f aca="false">L47+L48+L49+L50</f>
        <v>530713.728813559</v>
      </c>
      <c r="M58" s="8" t="n">
        <f aca="false">M47+M48+M49+M50</f>
        <v>503474.440677966</v>
      </c>
      <c r="N58" s="8" t="n">
        <f aca="false">N47+N48+N49+N50</f>
        <v>479579.084745763</v>
      </c>
      <c r="O58" s="37" t="n">
        <f aca="false">SUM(C58:N58)</f>
        <v>4387042.68387459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3609.9936</v>
      </c>
      <c r="D60" s="8" t="n">
        <f aca="false">((D27+D30)*INDEX(Assumptions!$C$91:$E$91,$B$3)+D28*INDEX(Assumptions!$C$93:$E$93,$B$3))*$N$3</f>
        <v>7324.63272</v>
      </c>
      <c r="E60" s="8" t="n">
        <f aca="false">((E27+E30)*INDEX(Assumptions!$C$91:$E$91,$B$3)+E28*INDEX(Assumptions!$C$93:$E$93,$B$3))*$N$3</f>
        <v>11652.5268</v>
      </c>
      <c r="F60" s="8" t="n">
        <f aca="false">((F27+F30)*INDEX(Assumptions!$C$91:$E$91,$B$3)+F28*INDEX(Assumptions!$C$93:$E$93,$B$3))*$N$3</f>
        <v>16524</v>
      </c>
      <c r="G60" s="8" t="n">
        <f aca="false">((G27+G30)*INDEX(Assumptions!$C$91:$E$91,$B$3)+G28*INDEX(Assumptions!$C$93:$E$93,$B$3))*$N$3</f>
        <v>23497.92</v>
      </c>
      <c r="H60" s="8" t="n">
        <f aca="false">((H27+H30)*INDEX(Assumptions!$C$91:$E$91,$B$3)+H28*INDEX(Assumptions!$C$93:$E$93,$B$3))*$N$3</f>
        <v>29426.2784214649</v>
      </c>
      <c r="I60" s="8" t="n">
        <f aca="false">((I27+I30)*INDEX(Assumptions!$C$91:$E$91,$B$3)+I28*INDEX(Assumptions!$C$93:$E$93,$B$3))*$N$3</f>
        <v>43461.5404735605</v>
      </c>
      <c r="J60" s="8" t="n">
        <f aca="false">((J27+J30)*INDEX(Assumptions!$C$91:$E$91,$B$3)+J28*INDEX(Assumptions!$C$93:$E$93,$B$3))*$N$3</f>
        <v>47527.2</v>
      </c>
      <c r="K60" s="8" t="n">
        <f aca="false">((K27+K30)*INDEX(Assumptions!$C$91:$E$91,$B$3)+K28*INDEX(Assumptions!$C$93:$E$93,$B$3))*$N$3</f>
        <v>44870.4</v>
      </c>
      <c r="L60" s="8" t="n">
        <f aca="false">((L27+L30)*INDEX(Assumptions!$C$91:$E$91,$B$3)+L28*INDEX(Assumptions!$C$93:$E$93,$B$3))*$N$3</f>
        <v>41881.5</v>
      </c>
      <c r="M60" s="8" t="n">
        <f aca="false">((M27+M30)*INDEX(Assumptions!$C$91:$E$91,$B$3)+M28*INDEX(Assumptions!$C$93:$E$93,$B$3))*$N$3</f>
        <v>39427.65</v>
      </c>
      <c r="N60" s="8" t="n">
        <f aca="false">((N27+N30)*INDEX(Assumptions!$C$91:$E$91,$B$3)+N28*INDEX(Assumptions!$C$93:$E$93,$B$3))*$N$3</f>
        <v>37564.2</v>
      </c>
      <c r="O60" s="37" t="n">
        <f aca="false">SUM(C60:N60)</f>
        <v>346767.842015025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7219.9872</v>
      </c>
      <c r="D61" s="8" t="n">
        <f aca="false">(D27+D28)*D45*INDEX(Assumptions!$C$14:$E$14,$B$3)*$N$3</f>
        <v>13205.268</v>
      </c>
      <c r="E61" s="8" t="n">
        <f aca="false">(E27+E28)*E45*INDEX(Assumptions!$C$14:$E$14,$B$3)*$N$3</f>
        <v>20664</v>
      </c>
      <c r="F61" s="8" t="n">
        <f aca="false">(F27+F28)*F45*INDEX(Assumptions!$C$14:$E$14,$B$3)*$N$3</f>
        <v>28915.2</v>
      </c>
      <c r="G61" s="8" t="n">
        <f aca="false">(G27+G28)*G45*INDEX(Assumptions!$C$14:$E$14,$B$3)*$N$3</f>
        <v>41212.8</v>
      </c>
      <c r="H61" s="8" t="n">
        <f aca="false">(H27+H28)*H45*INDEX(Assumptions!$C$14:$E$14,$B$3)*$N$3</f>
        <v>50855.4047356054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162072.659935605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802.2208</v>
      </c>
      <c r="D62" s="8" t="n">
        <f aca="false">D29*INDEX(Assumptions!$C$92:$E$92,$B$3)*$N$3</f>
        <v>1467.252</v>
      </c>
      <c r="E62" s="8" t="n">
        <f aca="false">E29*INDEX(Assumptions!$C$92:$E$92,$B$3)*$N$3</f>
        <v>2296</v>
      </c>
      <c r="F62" s="8" t="n">
        <f aca="false">F29*INDEX(Assumptions!$C$92:$E$92,$B$3)*$N$3</f>
        <v>3212.8</v>
      </c>
      <c r="G62" s="8" t="n">
        <f aca="false">G29*INDEX(Assumptions!$C$92:$E$92,$B$3)*$N$3</f>
        <v>4579.2</v>
      </c>
      <c r="H62" s="8" t="n">
        <f aca="false">H29*INDEX(Assumptions!$C$92:$E$92,$B$3)*$N$3</f>
        <v>5650.60052617838</v>
      </c>
      <c r="I62" s="8" t="n">
        <f aca="false">I29*INDEX(Assumptions!$C$92:$E$92,$B$3)*$N$3</f>
        <v>8528</v>
      </c>
      <c r="J62" s="8" t="n">
        <f aca="false">J29*INDEX(Assumptions!$C$92:$E$92,$B$3)*$N$3</f>
        <v>8856</v>
      </c>
      <c r="K62" s="8" t="n">
        <f aca="false">K29*INDEX(Assumptions!$C$92:$E$92,$B$3)*$N$3</f>
        <v>8200</v>
      </c>
      <c r="L62" s="8" t="n">
        <f aca="false">L29*INDEX(Assumptions!$C$92:$E$92,$B$3)*$N$3</f>
        <v>7216</v>
      </c>
      <c r="M62" s="8" t="n">
        <f aca="false">M29*INDEX(Assumptions!$C$92:$E$92,$B$3)*$N$3</f>
        <v>6888</v>
      </c>
      <c r="N62" s="8" t="n">
        <f aca="false">N29*INDEX(Assumptions!$C$92:$E$92,$B$3)*$N$3</f>
        <v>6560</v>
      </c>
      <c r="O62" s="37" t="n">
        <f aca="false">SUM(C62:N62)</f>
        <v>64256.0733261784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3035.17260787993</v>
      </c>
      <c r="D63" s="8" t="n">
        <f aca="false">(D37*INDEX(Assumptions!$C$94:$E$94,$B$3)+D38*INDEX(Assumptions!$C$95:$E$95,$B$3)+D39*INDEX(Assumptions!$C$96:$E$96,$B$3))*$N$3</f>
        <v>5230.12781425891</v>
      </c>
      <c r="E63" s="8" t="n">
        <f aca="false">(E37*INDEX(Assumptions!$C$94:$E$94,$B$3)+E38*INDEX(Assumptions!$C$95:$E$95,$B$3)+E39*INDEX(Assumptions!$C$96:$E$96,$B$3))*$N$3</f>
        <v>11273.0769230769</v>
      </c>
      <c r="F63" s="8" t="n">
        <f aca="false">(F37*INDEX(Assumptions!$C$94:$E$94,$B$3)+F38*INDEX(Assumptions!$C$95:$E$95,$B$3)+F39*INDEX(Assumptions!$C$96:$E$96,$B$3))*$N$3</f>
        <v>15541.8386491557</v>
      </c>
      <c r="G63" s="8" t="n">
        <f aca="false">(G37*INDEX(Assumptions!$C$94:$E$94,$B$3)+G38*INDEX(Assumptions!$C$95:$E$95,$B$3)+G39*INDEX(Assumptions!$C$96:$E$96,$B$3))*$N$3</f>
        <v>16942.4015009381</v>
      </c>
      <c r="H63" s="8" t="n">
        <f aca="false">(H37*INDEX(Assumptions!$C$94:$E$94,$B$3)+H38*INDEX(Assumptions!$C$95:$E$95,$B$3)+H39*INDEX(Assumptions!$C$96:$E$96,$B$3))*$N$3</f>
        <v>20107.3170731707</v>
      </c>
      <c r="I63" s="8" t="n">
        <f aca="false">(I37*INDEX(Assumptions!$C$94:$E$94,$B$3)+I38*INDEX(Assumptions!$C$95:$E$95,$B$3)+I39*INDEX(Assumptions!$C$96:$E$96,$B$3))*$N$3</f>
        <v>23700</v>
      </c>
      <c r="J63" s="8" t="n">
        <f aca="false">(J37*INDEX(Assumptions!$C$94:$E$94,$B$3)+J38*INDEX(Assumptions!$C$95:$E$95,$B$3)+J39*INDEX(Assumptions!$C$96:$E$96,$B$3))*$N$3</f>
        <v>26596.1538461538</v>
      </c>
      <c r="K63" s="8" t="n">
        <f aca="false">(K37*INDEX(Assumptions!$C$94:$E$94,$B$3)+K38*INDEX(Assumptions!$C$95:$E$95,$B$3)+K39*INDEX(Assumptions!$C$96:$E$96,$B$3))*$N$3</f>
        <v>26403.8461538462</v>
      </c>
      <c r="L63" s="8" t="n">
        <f aca="false">(L37*INDEX(Assumptions!$C$94:$E$94,$B$3)+L38*INDEX(Assumptions!$C$95:$E$95,$B$3)+L39*INDEX(Assumptions!$C$96:$E$96,$B$3))*$N$3</f>
        <v>27315.3846153846</v>
      </c>
      <c r="M63" s="8" t="n">
        <f aca="false">(M37*INDEX(Assumptions!$C$94:$E$94,$B$3)+M38*INDEX(Assumptions!$C$95:$E$95,$B$3)+M39*INDEX(Assumptions!$C$96:$E$96,$B$3))*$N$3</f>
        <v>29019.2307692308</v>
      </c>
      <c r="N63" s="8" t="n">
        <f aca="false">(N37*INDEX(Assumptions!$C$94:$E$94,$B$3)+N38*INDEX(Assumptions!$C$95:$E$95,$B$3)+N39*INDEX(Assumptions!$C$96:$E$96,$B$3))*$N$3</f>
        <v>30723.0769230769</v>
      </c>
      <c r="O63" s="37" t="n">
        <f aca="false">SUM(C63:N63)</f>
        <v>235887.626876173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2390.48514757376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4382.59374024557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7531.78846694231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10435.1469568405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13546.111895955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16524.3434151003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28876.4108771861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30984.3803473846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29775.4232246154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27283.4617904615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26630.1074790769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26124.7221676923</v>
      </c>
      <c r="O66" s="37" t="n">
        <f aca="false">SUM(C66:N66)</f>
        <v>224484.975509074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601.6656</v>
      </c>
      <c r="D67" s="8" t="n">
        <f aca="false">D31*INDEX(Assumptions!$C$198:$E$198,$B$3)*INDEX(Assumptions!$C$69:$E$69,$B$3)</f>
        <v>1100.439</v>
      </c>
      <c r="E67" s="8" t="n">
        <f aca="false">E31*INDEX(Assumptions!$C$198:$E$198,$B$3)*INDEX(Assumptions!$C$69:$E$69,$B$3)</f>
        <v>1722</v>
      </c>
      <c r="F67" s="8" t="n">
        <f aca="false">F31*INDEX(Assumptions!$C$198:$E$198,$B$3)*INDEX(Assumptions!$C$69:$E$69,$B$3)</f>
        <v>2409.6</v>
      </c>
      <c r="G67" s="8" t="n">
        <f aca="false">G31*INDEX(Assumptions!$C$198:$E$198,$B$3)*INDEX(Assumptions!$C$69:$E$69,$B$3)</f>
        <v>3434.4</v>
      </c>
      <c r="H67" s="8" t="n">
        <f aca="false">H31*INDEX(Assumptions!$C$198:$E$198,$B$3)*INDEX(Assumptions!$C$69:$E$69,$B$3)</f>
        <v>4237.95039463378</v>
      </c>
      <c r="I67" s="8" t="n">
        <f aca="false">I31*INDEX(Assumptions!$C$198:$E$198,$B$3)*INDEX(Assumptions!$C$69:$E$69,$B$3)</f>
        <v>6396</v>
      </c>
      <c r="J67" s="8" t="n">
        <f aca="false">J31*INDEX(Assumptions!$C$198:$E$198,$B$3)*INDEX(Assumptions!$C$69:$E$69,$B$3)</f>
        <v>6642</v>
      </c>
      <c r="K67" s="8" t="n">
        <f aca="false">K31*INDEX(Assumptions!$C$198:$E$198,$B$3)*INDEX(Assumptions!$C$69:$E$69,$B$3)</f>
        <v>6150</v>
      </c>
      <c r="L67" s="8" t="n">
        <f aca="false">L31*INDEX(Assumptions!$C$198:$E$198,$B$3)*INDEX(Assumptions!$C$69:$E$69,$B$3)</f>
        <v>5412</v>
      </c>
      <c r="M67" s="8" t="n">
        <f aca="false">M31*INDEX(Assumptions!$C$198:$E$198,$B$3)*INDEX(Assumptions!$C$69:$E$69,$B$3)</f>
        <v>5166</v>
      </c>
      <c r="N67" s="8" t="n">
        <f aca="false">N31*INDEX(Assumptions!$C$198:$E$198,$B$3)*INDEX(Assumptions!$C$69:$E$69,$B$3)</f>
        <v>4920</v>
      </c>
      <c r="O67" s="37" t="n">
        <f aca="false">SUM(C67:N67)</f>
        <v>48192.0549946338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17659.5249554537</v>
      </c>
      <c r="D68" s="37" t="n">
        <f aca="false">SUM(D60:D67)</f>
        <v>32710.3132745045</v>
      </c>
      <c r="E68" s="37" t="n">
        <f aca="false">SUM(E60:E67)</f>
        <v>55615.3921900192</v>
      </c>
      <c r="F68" s="37" t="n">
        <f aca="false">SUM(F60:F67)</f>
        <v>77990.5856059962</v>
      </c>
      <c r="G68" s="37" t="n">
        <f aca="false">SUM(G60:G67)</f>
        <v>104640.833396893</v>
      </c>
      <c r="H68" s="37" t="n">
        <f aca="false">SUM(H60:H67)</f>
        <v>128705.894566153</v>
      </c>
      <c r="I68" s="37" t="n">
        <f aca="false">SUM(I60:I67)</f>
        <v>113341.951350747</v>
      </c>
      <c r="J68" s="37" t="n">
        <f aca="false">SUM(J60:J67)</f>
        <v>123461.734193538</v>
      </c>
      <c r="K68" s="37" t="n">
        <f aca="false">SUM(K60:K67)</f>
        <v>144255.669378462</v>
      </c>
      <c r="L68" s="37" t="n">
        <f aca="false">SUM(L60:L67)</f>
        <v>137964.346405846</v>
      </c>
      <c r="M68" s="37" t="n">
        <f aca="false">SUM(M60:M67)</f>
        <v>135986.988248308</v>
      </c>
      <c r="N68" s="37" t="n">
        <f aca="false">SUM(N60:N67)</f>
        <v>134747.999090769</v>
      </c>
      <c r="O68" s="31" t="n">
        <f aca="false">SUM(C68:N68)</f>
        <v>1207081.23265669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56863.1982468244</v>
      </c>
      <c r="D69" s="37" t="n">
        <f aca="false">D57-D68</f>
        <v>102239.077203698</v>
      </c>
      <c r="E69" s="37" t="n">
        <f aca="false">E57-E68</f>
        <v>183633.446085079</v>
      </c>
      <c r="F69" s="37" t="n">
        <f aca="false">F57-F68</f>
        <v>251836.71341267</v>
      </c>
      <c r="G69" s="37" t="n">
        <f aca="false">G57-G68</f>
        <v>309362.409652046</v>
      </c>
      <c r="H69" s="37" t="n">
        <f aca="false">H57-H68</f>
        <v>372992.367280833</v>
      </c>
      <c r="I69" s="37" t="n">
        <f aca="false">I57-I68</f>
        <v>705607.817263629</v>
      </c>
      <c r="J69" s="37" t="n">
        <f aca="false">J57-J68</f>
        <v>757381.560187166</v>
      </c>
      <c r="K69" s="37" t="n">
        <f aca="false">K57-K68</f>
        <v>713084.098613716</v>
      </c>
      <c r="L69" s="37" t="n">
        <f aca="false">L57-L68</f>
        <v>660489.437088287</v>
      </c>
      <c r="M69" s="37" t="n">
        <f aca="false">M57-M68</f>
        <v>653764.42188207</v>
      </c>
      <c r="N69" s="37" t="n">
        <f aca="false">N57-N68</f>
        <v>649644.969879244</v>
      </c>
      <c r="O69" s="31" t="n">
        <f aca="false">SUM(C69:N69)</f>
        <v>5416899.51679526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0.763031674144272</v>
      </c>
      <c r="D70" s="7" t="n">
        <f aca="false">IFERROR(D69/D57,0)</f>
        <v>0.757610514885667</v>
      </c>
      <c r="E70" s="7" t="n">
        <f aca="false">IFERROR(E69/E57,0)</f>
        <v>0.76754164161888</v>
      </c>
      <c r="F70" s="7" t="n">
        <f aca="false">IFERROR(F69/F57,0)</f>
        <v>0.763541144598882</v>
      </c>
      <c r="G70" s="7" t="n">
        <f aca="false">IFERROR(G69/G57,0)</f>
        <v>0.74724634370914</v>
      </c>
      <c r="H70" s="7" t="n">
        <f aca="false">IFERROR(H69/H57,0)</f>
        <v>0.743459556562292</v>
      </c>
      <c r="I70" s="7" t="n">
        <f aca="false">IFERROR(I69/I57,0)</f>
        <v>0.861600850632737</v>
      </c>
      <c r="J70" s="7" t="n">
        <f aca="false">IFERROR(J69/J57,0)</f>
        <v>0.859836891554768</v>
      </c>
      <c r="K70" s="7" t="n">
        <f aca="false">IFERROR(K69/K57,0)</f>
        <v>0.831740373228811</v>
      </c>
      <c r="L70" s="7" t="n">
        <f aca="false">IFERROR(L69/L57,0)</f>
        <v>0.827210604723924</v>
      </c>
      <c r="M70" s="7" t="n">
        <f aca="false">IFERROR(M69/M57,0)</f>
        <v>0.827810388808476</v>
      </c>
      <c r="N70" s="7" t="n">
        <f aca="false">IFERROR(N69/N57,0)</f>
        <v>0.828213657667397</v>
      </c>
      <c r="O70" s="13" t="n">
        <f aca="false">IFERROR(O69/O57,0)</f>
        <v>0.817771023450429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10500</v>
      </c>
      <c r="D87" s="8" t="n">
        <f aca="false">D15</f>
        <v>28000</v>
      </c>
      <c r="E87" s="8" t="n">
        <f aca="false">E15</f>
        <v>35000</v>
      </c>
      <c r="F87" s="8" t="n">
        <f aca="false">F15</f>
        <v>42000</v>
      </c>
      <c r="G87" s="8" t="n">
        <f aca="false">G15</f>
        <v>56000</v>
      </c>
      <c r="H87" s="8" t="n">
        <f aca="false">H15</f>
        <v>63000</v>
      </c>
      <c r="I87" s="8" t="n">
        <f aca="false">I15</f>
        <v>70000</v>
      </c>
      <c r="J87" s="8" t="n">
        <f aca="false">J15</f>
        <v>70000</v>
      </c>
      <c r="K87" s="8" t="n">
        <f aca="false">K15</f>
        <v>70000</v>
      </c>
      <c r="L87" s="8" t="n">
        <f aca="false">L15</f>
        <v>70000</v>
      </c>
      <c r="M87" s="8" t="n">
        <f aca="false">M15</f>
        <v>70000</v>
      </c>
      <c r="N87" s="8" t="n">
        <f aca="false">N15</f>
        <v>70000</v>
      </c>
      <c r="O87" s="37" t="n">
        <f aca="false">SUM(C87:N87)</f>
        <v>654500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287333</v>
      </c>
      <c r="D91" s="37" t="n">
        <f aca="false">D82+SUM(D84:D90)</f>
        <v>299833</v>
      </c>
      <c r="E91" s="37" t="n">
        <f aca="false">E82+SUM(E84:E90)</f>
        <v>471833</v>
      </c>
      <c r="F91" s="37" t="n">
        <f aca="false">F82+SUM(F84:F90)</f>
        <v>328833</v>
      </c>
      <c r="G91" s="37" t="n">
        <f aca="false">G82+SUM(G84:G90)</f>
        <v>342833</v>
      </c>
      <c r="H91" s="37" t="n">
        <f aca="false">H82+SUM(H84:H90)</f>
        <v>362333</v>
      </c>
      <c r="I91" s="37" t="n">
        <f aca="false">I82+SUM(I84:I90)</f>
        <v>479933</v>
      </c>
      <c r="J91" s="37" t="n">
        <f aca="false">J82+SUM(J84:J90)</f>
        <v>479933</v>
      </c>
      <c r="K91" s="37" t="n">
        <f aca="false">K82+SUM(K84:K90)</f>
        <v>484933</v>
      </c>
      <c r="L91" s="37" t="n">
        <f aca="false">L82+SUM(L84:L90)</f>
        <v>484933</v>
      </c>
      <c r="M91" s="37" t="n">
        <f aca="false">M82+SUM(M84:M90)</f>
        <v>484933</v>
      </c>
      <c r="N91" s="37" t="n">
        <f aca="false">N82+SUM(N84:N90)</f>
        <v>484933</v>
      </c>
      <c r="O91" s="31" t="n">
        <f aca="false">SUM(C91:N91)</f>
        <v>4992596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-230469.801753176</v>
      </c>
      <c r="D92" s="37" t="n">
        <f aca="false">D69-D91</f>
        <v>-197593.922796302</v>
      </c>
      <c r="E92" s="37" t="n">
        <f aca="false">E69-E91</f>
        <v>-288199.553914922</v>
      </c>
      <c r="F92" s="37" t="n">
        <f aca="false">F69-F91</f>
        <v>-76996.28658733</v>
      </c>
      <c r="G92" s="37" t="n">
        <f aca="false">G69-G91</f>
        <v>-33470.5903479536</v>
      </c>
      <c r="H92" s="37" t="n">
        <f aca="false">H69-H91</f>
        <v>10659.3672808331</v>
      </c>
      <c r="I92" s="37" t="n">
        <f aca="false">I69-I91</f>
        <v>225674.817263629</v>
      </c>
      <c r="J92" s="37" t="n">
        <f aca="false">J69-J91</f>
        <v>277448.560187166</v>
      </c>
      <c r="K92" s="37" t="n">
        <f aca="false">K69-K91</f>
        <v>228151.098613716</v>
      </c>
      <c r="L92" s="37" t="n">
        <f aca="false">L69-L91</f>
        <v>175556.437088287</v>
      </c>
      <c r="M92" s="37" t="n">
        <f aca="false">M69-M91</f>
        <v>168831.42188207</v>
      </c>
      <c r="N92" s="37" t="n">
        <f aca="false">N69-N91</f>
        <v>164711.969879244</v>
      </c>
      <c r="O92" s="31" t="n">
        <f aca="false">SUM(C92:N92)</f>
        <v>424303.516795262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-3.09261111040733</v>
      </c>
      <c r="D93" s="7" t="n">
        <f aca="false">IFERROR(D92/D57,0)</f>
        <v>-1.46420759735272</v>
      </c>
      <c r="E93" s="7" t="n">
        <f aca="false">IFERROR(E92/E57,0)</f>
        <v>-1.20460168581274</v>
      </c>
      <c r="F93" s="7" t="n">
        <f aca="false">IFERROR(F92/F57,0)</f>
        <v>-0.233444250419588</v>
      </c>
      <c r="G93" s="7" t="n">
        <f aca="false">IFERROR(G92/G57,0)</f>
        <v>-0.0808462032844438</v>
      </c>
      <c r="H93" s="7" t="n">
        <f aca="false">IFERROR(H92/H57,0)</f>
        <v>0.0212465700829638</v>
      </c>
      <c r="I93" s="7" t="n">
        <f aca="false">IFERROR(I92/I57,0)</f>
        <v>0.275566128610623</v>
      </c>
      <c r="J93" s="7" t="n">
        <f aca="false">IFERROR(J92/J57,0)</f>
        <v>0.314980612280453</v>
      </c>
      <c r="K93" s="7" t="n">
        <f aca="false">IFERROR(K92/K57,0)</f>
        <v>0.26611514726306</v>
      </c>
      <c r="L93" s="7" t="n">
        <f aca="false">IFERROR(L92/L57,0)</f>
        <v>0.219870505616531</v>
      </c>
      <c r="M93" s="7" t="n">
        <f aca="false">IFERROR(M92/M57,0)</f>
        <v>0.213777930265675</v>
      </c>
      <c r="N93" s="7" t="n">
        <f aca="false">IFERROR(N92/N57,0)</f>
        <v>0.209986545513695</v>
      </c>
      <c r="O93" s="7" t="n">
        <f aca="false">IFERROR(O92/O57,0)</f>
        <v>0.0640556687653972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-305469.801753176</v>
      </c>
      <c r="D94" s="8" t="n">
        <f aca="false">D92-INDEX(Assumptions!$C$163:$E$163,$B$3)</f>
        <v>-272593.922796302</v>
      </c>
      <c r="E94" s="8" t="n">
        <f aca="false">E92-INDEX(Assumptions!$C$163:$E$163,$B$3)</f>
        <v>-363199.553914922</v>
      </c>
      <c r="F94" s="8" t="n">
        <f aca="false">F92-INDEX(Assumptions!$C$163:$E$163,$B$3)</f>
        <v>-151996.28658733</v>
      </c>
      <c r="G94" s="8" t="n">
        <f aca="false">G92-INDEX(Assumptions!$C$163:$E$163,$B$3)</f>
        <v>-108470.590347954</v>
      </c>
      <c r="H94" s="8" t="n">
        <f aca="false">H92-INDEX(Assumptions!$C$163:$E$163,$B$3)</f>
        <v>-64340.6327191669</v>
      </c>
      <c r="I94" s="8" t="n">
        <f aca="false">I92-INDEX(Assumptions!$C$163:$E$163,$B$3)</f>
        <v>150674.817263629</v>
      </c>
      <c r="J94" s="8" t="n">
        <f aca="false">J92-INDEX(Assumptions!$C$163:$E$163,$B$3)</f>
        <v>202448.560187166</v>
      </c>
      <c r="K94" s="8" t="n">
        <f aca="false">K92-INDEX(Assumptions!$C$163:$E$163,$B$3)</f>
        <v>153151.098613716</v>
      </c>
      <c r="L94" s="8" t="n">
        <f aca="false">L92-INDEX(Assumptions!$C$163:$E$163,$B$3)</f>
        <v>100556.437088287</v>
      </c>
      <c r="M94" s="8" t="n">
        <f aca="false">M92-INDEX(Assumptions!$C$163:$E$163,$B$3)</f>
        <v>93831.4218820704</v>
      </c>
      <c r="N94" s="8" t="n">
        <f aca="false">N92-INDEX(Assumptions!$C$163:$E$163,$B$3)</f>
        <v>89711.9698792438</v>
      </c>
      <c r="O94" s="37" t="n">
        <f aca="false">SUM(C94:N94)</f>
        <v>-475696.483204738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-22078.0682033898</v>
      </c>
      <c r="D102" s="8" t="n">
        <f aca="false">((D58+IF(INDEX(Assumptions!$C$87:$E$87,$B$3)&gt;=2,C58,0)+IF(INDEX(Assumptions!$C$87:$E$87,$B$3)&gt;=3,0,0))/INDEX(Assumptions!$C$87:$E$87,$B$3))-D58</f>
        <v>-19327.3187084746</v>
      </c>
      <c r="E102" s="8" t="n">
        <f aca="false">((E58+IF(INDEX(Assumptions!$C$87:$E$87,$B$3)&gt;=2,D58,0)+IF(INDEX(Assumptions!$C$87:$E$87,$B$3)&gt;=3,C58,0))/INDEX(Assumptions!$C$87:$E$87,$B$3))-E58</f>
        <v>-23657.7337576271</v>
      </c>
      <c r="F102" s="8" t="n">
        <f aca="false">((F58+IF(INDEX(Assumptions!$C$87:$E$87,$B$3)&gt;=2,E58,0)+IF(INDEX(Assumptions!$C$87:$E$87,$B$3)&gt;=3,D58,0))/INDEX(Assumptions!$C$87:$E$87,$B$3))-F58</f>
        <v>-26290.1844152542</v>
      </c>
      <c r="G102" s="8" t="n">
        <f aca="false">((G58+IF(INDEX(Assumptions!$C$87:$E$87,$B$3)&gt;=2,F58,0)+IF(INDEX(Assumptions!$C$87:$E$87,$B$3)&gt;=3,E58,0))/INDEX(Assumptions!$C$87:$E$87,$B$3))-G58</f>
        <v>-38776.2</v>
      </c>
      <c r="H102" s="8" t="n">
        <f aca="false">((H58+IF(INDEX(Assumptions!$C$87:$E$87,$B$3)&gt;=2,G58,0)+IF(INDEX(Assumptions!$C$87:$E$87,$B$3)&gt;=3,F58,0))/INDEX(Assumptions!$C$87:$E$87,$B$3))-H58</f>
        <v>-31057.6703199381</v>
      </c>
      <c r="I102" s="8" t="n">
        <f aca="false">((I58+IF(INDEX(Assumptions!$C$87:$E$87,$B$3)&gt;=2,H58,0)+IF(INDEX(Assumptions!$C$87:$E$87,$B$3)&gt;=3,G58,0))/INDEX(Assumptions!$C$87:$E$87,$B$3))-I58</f>
        <v>-142118.740766911</v>
      </c>
      <c r="J102" s="8" t="n">
        <f aca="false">((J58+IF(INDEX(Assumptions!$C$87:$E$87,$B$3)&gt;=2,I58,0)+IF(INDEX(Assumptions!$C$87:$E$87,$B$3)&gt;=3,H58,0))/INDEX(Assumptions!$C$87:$E$87,$B$3))-J58</f>
        <v>-18445.4058623038</v>
      </c>
      <c r="K102" s="8" t="n">
        <f aca="false">((K58+IF(INDEX(Assumptions!$C$87:$E$87,$B$3)&gt;=2,J58,0)+IF(INDEX(Assumptions!$C$87:$E$87,$B$3)&gt;=3,I58,0))/INDEX(Assumptions!$C$87:$E$87,$B$3))-K58</f>
        <v>21387.406779661</v>
      </c>
      <c r="L102" s="8" t="n">
        <f aca="false">((L58+IF(INDEX(Assumptions!$C$87:$E$87,$B$3)&gt;=2,K58,0)+IF(INDEX(Assumptions!$C$87:$E$87,$B$3)&gt;=3,J58,0))/INDEX(Assumptions!$C$87:$E$87,$B$3))-L58</f>
        <v>35007.0508474577</v>
      </c>
      <c r="M102" s="8" t="n">
        <f aca="false">((M58+IF(INDEX(Assumptions!$C$87:$E$87,$B$3)&gt;=2,L58,0)+IF(INDEX(Assumptions!$C$87:$E$87,$B$3)&gt;=3,K58,0))/INDEX(Assumptions!$C$87:$E$87,$B$3))-M58</f>
        <v>13619.6440677966</v>
      </c>
      <c r="N102" s="8" t="n">
        <f aca="false">((N58+IF(INDEX(Assumptions!$C$87:$E$87,$B$3)&gt;=2,M58,0)+IF(INDEX(Assumptions!$C$87:$E$87,$B$3)&gt;=3,L58,0))/INDEX(Assumptions!$C$87:$E$87,$B$3))-N58</f>
        <v>11947.6779661017</v>
      </c>
      <c r="O102" s="37" t="n">
        <f aca="false">SUM(C102:N102)</f>
        <v>-239789.542372881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-402547.869956565</v>
      </c>
      <c r="D103" s="37" t="n">
        <f aca="false">D92+D102-D101</f>
        <v>-216921.241504777</v>
      </c>
      <c r="E103" s="37" t="n">
        <f aca="false">E92+E102-E101</f>
        <v>-311857.287672549</v>
      </c>
      <c r="F103" s="37" t="n">
        <f aca="false">F92+F102-F101</f>
        <v>-103286.471002584</v>
      </c>
      <c r="G103" s="37" t="n">
        <f aca="false">G92+G102-G101</f>
        <v>-72246.7903479536</v>
      </c>
      <c r="H103" s="37" t="n">
        <f aca="false">H92+H102-H101</f>
        <v>-1492398.30303911</v>
      </c>
      <c r="I103" s="37" t="n">
        <f aca="false">I92+I102-I101</f>
        <v>83556.0764967182</v>
      </c>
      <c r="J103" s="37" t="n">
        <f aca="false">J92+J102-J101</f>
        <v>-90996.8456751382</v>
      </c>
      <c r="K103" s="37" t="n">
        <f aca="false">K92+K102-K101</f>
        <v>249538.505393377</v>
      </c>
      <c r="L103" s="37" t="n">
        <f aca="false">L92+L102-L101</f>
        <v>210563.487935745</v>
      </c>
      <c r="M103" s="37" t="n">
        <f aca="false">M92+M102-M101</f>
        <v>182451.065949867</v>
      </c>
      <c r="N103" s="37" t="n">
        <f aca="false">N92+N102-N101</f>
        <v>176659.647845346</v>
      </c>
      <c r="O103" s="31" t="n">
        <f aca="false">SUM(C103:N103)</f>
        <v>-1787486.02557762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-402547.869956565</v>
      </c>
      <c r="D104" s="37" t="n">
        <f aca="false">C104+D103</f>
        <v>-619469.111461342</v>
      </c>
      <c r="E104" s="37" t="n">
        <f aca="false">D104+E103</f>
        <v>-931326.399133891</v>
      </c>
      <c r="F104" s="37" t="n">
        <f aca="false">E104+F103</f>
        <v>-1034612.87013648</v>
      </c>
      <c r="G104" s="37" t="n">
        <f aca="false">F104+G103</f>
        <v>-1106859.66048443</v>
      </c>
      <c r="H104" s="37" t="n">
        <f aca="false">G104+H103</f>
        <v>-2599257.96352353</v>
      </c>
      <c r="I104" s="37" t="n">
        <f aca="false">H104+I103</f>
        <v>-2515701.88702681</v>
      </c>
      <c r="J104" s="37" t="n">
        <f aca="false">I104+J103</f>
        <v>-2606698.73270195</v>
      </c>
      <c r="K104" s="37" t="n">
        <f aca="false">J104+K103</f>
        <v>-2357160.22730858</v>
      </c>
      <c r="L104" s="37" t="n">
        <f aca="false">K104+L103</f>
        <v>-2146596.73937283</v>
      </c>
      <c r="M104" s="37" t="n">
        <f aca="false">L104+M103</f>
        <v>-1964145.67342296</v>
      </c>
      <c r="N104" s="37" t="n">
        <f aca="false">M104+N103</f>
        <v>-1787486.02557762</v>
      </c>
      <c r="O104" s="31" t="n">
        <f aca="false">N104</f>
        <v>-1787486.02557762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402547.869956565</v>
      </c>
      <c r="D105" s="37" t="n">
        <f aca="false">-MIN(0,MIN($C$104:D104))</f>
        <v>619469.111461342</v>
      </c>
      <c r="E105" s="37" t="n">
        <f aca="false">-MIN(0,MIN($C$104:E104))</f>
        <v>931326.399133891</v>
      </c>
      <c r="F105" s="37" t="n">
        <f aca="false">-MIN(0,MIN($C$104:F104))</f>
        <v>1034612.87013648</v>
      </c>
      <c r="G105" s="37" t="n">
        <f aca="false">-MIN(0,MIN($C$104:G104))</f>
        <v>1106859.66048443</v>
      </c>
      <c r="H105" s="37" t="n">
        <f aca="false">-MIN(0,MIN($C$104:H104))</f>
        <v>2599257.96352353</v>
      </c>
      <c r="I105" s="37" t="n">
        <f aca="false">-MIN(0,MIN($C$104:I104))</f>
        <v>2599257.96352353</v>
      </c>
      <c r="J105" s="37" t="n">
        <f aca="false">-MIN(0,MIN($C$104:J104))</f>
        <v>2606698.73270195</v>
      </c>
      <c r="K105" s="37" t="n">
        <f aca="false">-MIN(0,MIN($C$104:K104))</f>
        <v>2606698.73270195</v>
      </c>
      <c r="L105" s="37" t="n">
        <f aca="false">-MIN(0,MIN($C$104:L104))</f>
        <v>2606698.73270195</v>
      </c>
      <c r="M105" s="37" t="n">
        <f aca="false">-MIN(0,MIN($C$104:M104))</f>
        <v>2606698.73270195</v>
      </c>
      <c r="N105" s="37" t="n">
        <f aca="false">-MIN(0,MIN($C$104:N104))</f>
        <v>2606698.73270195</v>
      </c>
      <c r="O105" s="31" t="n">
        <f aca="false">MAX(C105:N105)</f>
        <v>2606698.73270195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1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6623980.74945195</v>
      </c>
    </row>
    <row r="110" customFormat="false" ht="15" hidden="false" customHeight="false" outlineLevel="0" collapsed="false">
      <c r="A110" s="3" t="s">
        <v>28</v>
      </c>
      <c r="B110" s="31" t="n">
        <f aca="false">O92</f>
        <v>424303.516795262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0.0640556687653972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-475696.483204738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2606698.73270195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393301.267298047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80.320091657723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9.635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0.713365833333333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484933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238041.199633481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4.9185962553177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59.0231550638124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8476.04220723058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0.125021622556651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0.414980215273469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15.4172194642717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509099.828849601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6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-1787486.02557762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1227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f aca="false">INDEX(Assumptions!$C$16:$E$16,$B$3)</f>
        <v>1</v>
      </c>
      <c r="I4" s="2" t="s">
        <v>1096</v>
      </c>
      <c r="J4" s="21" t="n">
        <v>1.3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19500</v>
      </c>
      <c r="D15" s="8" t="n">
        <f aca="false">INDEX(Assumptions!$C$122:$E$122,$D$3)*$J$4</f>
        <v>52000</v>
      </c>
      <c r="E15" s="8" t="n">
        <f aca="false">INDEX(Assumptions!$C$123:$E$123,$D$3)*$J$4</f>
        <v>65000</v>
      </c>
      <c r="F15" s="8" t="n">
        <f aca="false">INDEX(Assumptions!$C$124:$E$124,$D$3)*$J$4</f>
        <v>78000</v>
      </c>
      <c r="G15" s="8" t="n">
        <f aca="false">INDEX(Assumptions!$C$125:$E$125,$D$3)*$J$4</f>
        <v>104000</v>
      </c>
      <c r="H15" s="8" t="n">
        <f aca="false">INDEX(Assumptions!$C$126:$E$126,$D$3)*$J$4</f>
        <v>117000</v>
      </c>
      <c r="I15" s="8" t="n">
        <f aca="false">INDEX(Assumptions!$C$127:$E$127,$D$3)*$J$4</f>
        <v>130000</v>
      </c>
      <c r="J15" s="8" t="n">
        <f aca="false">INDEX(Assumptions!$C$128:$E$128,$D$3)*$J$4</f>
        <v>130000</v>
      </c>
      <c r="K15" s="8" t="n">
        <f aca="false">INDEX(Assumptions!$C$129:$E$129,$D$3)*$J$4</f>
        <v>130000</v>
      </c>
      <c r="L15" s="8" t="n">
        <f aca="false">INDEX(Assumptions!$C$130:$E$130,$D$3)*$J$4</f>
        <v>130000</v>
      </c>
      <c r="M15" s="8" t="n">
        <f aca="false">INDEX(Assumptions!$C$131:$E$131,$D$3)*$J$4</f>
        <v>130000</v>
      </c>
      <c r="N15" s="8" t="n">
        <f aca="false">INDEX(Assumptions!$C$132:$E$132,$D$3)*$J$4</f>
        <v>130000</v>
      </c>
      <c r="O15" s="37" t="n">
        <f aca="false">SUM(C15:N15)</f>
        <v>1215500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1.17</v>
      </c>
      <c r="D18" s="27" t="n">
        <f aca="false">D15*INDEX(Assumptions!$C$119:$E$119,$B$3)/D16</f>
        <v>3.12</v>
      </c>
      <c r="E18" s="27" t="n">
        <f aca="false">E15*INDEX(Assumptions!$C$119:$E$119,$B$3)/E16</f>
        <v>3.9</v>
      </c>
      <c r="F18" s="27" t="n">
        <f aca="false">F15*INDEX(Assumptions!$C$119:$E$119,$B$3)/F16</f>
        <v>4.68</v>
      </c>
      <c r="G18" s="27" t="n">
        <f aca="false">G15*INDEX(Assumptions!$C$119:$E$119,$B$3)/G16</f>
        <v>6.24</v>
      </c>
      <c r="H18" s="27" t="n">
        <f aca="false">H15*INDEX(Assumptions!$C$119:$E$119,$B$3)/H16</f>
        <v>7.02</v>
      </c>
      <c r="I18" s="27" t="n">
        <f aca="false">I15*INDEX(Assumptions!$C$119:$E$119,$B$3)/I16</f>
        <v>7.8</v>
      </c>
      <c r="J18" s="27" t="n">
        <f aca="false">J15*INDEX(Assumptions!$C$119:$E$119,$B$3)/J16</f>
        <v>7.8</v>
      </c>
      <c r="K18" s="27" t="n">
        <f aca="false">K15*INDEX(Assumptions!$C$119:$E$119,$B$3)/K16</f>
        <v>7.8</v>
      </c>
      <c r="L18" s="27" t="n">
        <f aca="false">L15*INDEX(Assumptions!$C$119:$E$119,$B$3)/L16</f>
        <v>7.8</v>
      </c>
      <c r="M18" s="27" t="n">
        <f aca="false">M15*INDEX(Assumptions!$C$119:$E$119,$B$3)/M16</f>
        <v>7.8</v>
      </c>
      <c r="N18" s="27" t="n">
        <f aca="false">N15*INDEX(Assumptions!$C$119:$E$119,$B$3)/N16</f>
        <v>7.8</v>
      </c>
      <c r="O18" s="35" t="n">
        <f aca="false">SUM(C18:N18)</f>
        <v>72.93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1.334984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5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97.9977965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0.8009904</v>
      </c>
      <c r="E24" s="6" t="n">
        <f aca="false">D27+C27+D30+C30+1.25*D28</f>
        <v>2.25887598</v>
      </c>
      <c r="F24" s="6" t="n">
        <f aca="false">E27+D27+E30+D30+1.25*E28</f>
        <v>3.81742308</v>
      </c>
      <c r="G24" s="6" t="n">
        <f aca="false">F27+E27+F30+E30+1.25*F28</f>
        <v>5.7795375</v>
      </c>
      <c r="H24" s="6" t="n">
        <f aca="false">G27+F27+G30+F30+1.25*G28</f>
        <v>8.07</v>
      </c>
      <c r="I24" s="6" t="n">
        <f aca="false">H27+G27+H30+G30+1.25*H28</f>
        <v>8.66253138075314</v>
      </c>
      <c r="J24" s="6" t="n">
        <f aca="false">I27+H27+I30+H30+1.25*I28</f>
        <v>12.5077719665272</v>
      </c>
      <c r="K24" s="6" t="n">
        <f aca="false">J27+I27+J30+I30+1.25*J28</f>
        <v>17.791052192902</v>
      </c>
      <c r="L24" s="6" t="n">
        <f aca="false">K27+J27+K30+J30+1.25*K28</f>
        <v>15.2296342341987</v>
      </c>
      <c r="M24" s="6" t="n">
        <f aca="false">L27+K27+L30+K30+1.25*L28</f>
        <v>13.5259348665018</v>
      </c>
      <c r="N24" s="6" t="n">
        <f aca="false">M27+L27+M30+L30+1.25*M28</f>
        <v>13.5807819568562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1.334984</v>
      </c>
      <c r="D25" s="6" t="n">
        <f aca="false">D19*(INDEX(Assumptions!$C$26:$E$26,$B$3)*(1-D23)+INDEX(Assumptions!$C$26:$E$26,$B$3)*D23*1.25+(1-INDEX(Assumptions!$C$26:$E$26,$B$3)))+C29*INDEX(Assumptions!$C$89:$E$89,$B$3)</f>
        <v>2.32301058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5.42</v>
      </c>
      <c r="G25" s="6" t="n">
        <f aca="false">G19*(INDEX(Assumptions!$C$26:$E$26,$B$3)*(1-G23)+INDEX(Assumptions!$C$26:$E$26,$B$3)*G23*1.25+(1-INDEX(Assumptions!$C$26:$E$26,$B$3)))+F29*INDEX(Assumptions!$C$89:$E$89,$B$3)</f>
        <v>7.35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13.6952405857741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14.0589249279035</v>
      </c>
      <c r="L25" s="6" t="n">
        <f aca="false">L19*(INDEX(Assumptions!$C$26:$E$26,$B$3)*(1-L23)+INDEX(Assumptions!$C$26:$E$26,$B$3)*L23*1.25+(1-INDEX(Assumptions!$C$26:$E$26,$B$3)))+K29*INDEX(Assumptions!$C$89:$E$89,$B$3)</f>
        <v>12.3950375540082</v>
      </c>
      <c r="M25" s="6" t="n">
        <f aca="false">M19*(INDEX(Assumptions!$C$26:$E$26,$B$3)*(1-M23)+INDEX(Assumptions!$C$26:$E$26,$B$3)*M23*1.25+(1-INDEX(Assumptions!$C$26:$E$26,$B$3)))+L29*INDEX(Assumptions!$C$89:$E$89,$B$3)</f>
        <v>12.1472260579111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0.662133891213389</v>
      </c>
      <c r="I26" s="7" t="n">
        <f aca="false">IF(I25&lt;=0,1,MAX(0,MIN(1,(I22-I24)/I25)))</f>
        <v>1</v>
      </c>
      <c r="J26" s="7" t="n">
        <f aca="false">IF(J25&lt;=0,1,MAX(0,MIN(1,(J22-J24)/J25)))</f>
        <v>0.962299338212006</v>
      </c>
      <c r="K26" s="7" t="n">
        <f aca="false">IF(K25&lt;=0,1,MAX(0,MIN(1,(K22-K24)/K25)))</f>
        <v>0.655025036005457</v>
      </c>
      <c r="L26" s="7" t="n">
        <f aca="false">IF(L25&lt;=0,1,MAX(0,MIN(1,(L22-L24)/L25)))</f>
        <v>0.949603074175048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0.655025036005457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0.8009904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3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3.47620292887029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7.79462463951724</v>
      </c>
      <c r="K27" s="35" t="n">
        <f aca="false">K19*INDEX(Assumptions!$C$26:$E$26,$B$3)*(1-K23)*K26</f>
        <v>4.91268777004092</v>
      </c>
      <c r="L27" s="35" t="n">
        <f aca="false">L19*INDEX(Assumptions!$C$26:$E$26,$B$3)*(1-L23)*L26</f>
        <v>4.70053521716649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49.157728455595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1.56684507238883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4.64184507238883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0.5339936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2</v>
      </c>
      <c r="G29" s="27" t="n">
        <f aca="false">G19*(1-INDEX(Assumptions!$C$26:$E$26,$B$3))*G26</f>
        <v>2.7</v>
      </c>
      <c r="H29" s="27" t="n">
        <f aca="false">H19*(1-INDEX(Assumptions!$C$26:$E$26,$B$3))*H26</f>
        <v>2.31746861924686</v>
      </c>
      <c r="I29" s="27" t="n">
        <f aca="false">I19*(1-INDEX(Assumptions!$C$26:$E$26,$B$3))*I26</f>
        <v>5.2</v>
      </c>
      <c r="J29" s="27" t="n">
        <f aca="false">J19*(1-INDEX(Assumptions!$C$26:$E$26,$B$3))*J26</f>
        <v>5.19641642634483</v>
      </c>
      <c r="K29" s="27" t="n">
        <f aca="false">K19*(1-INDEX(Assumptions!$C$26:$E$26,$B$3))*K26</f>
        <v>3.27512518002728</v>
      </c>
      <c r="L29" s="27" t="n">
        <f aca="false">L19*(1-INDEX(Assumptions!$C$26:$E$26,$B$3))*L26</f>
        <v>4.17825352637021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35.8663823519892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0.16019808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0.6</v>
      </c>
      <c r="H30" s="27" t="n">
        <f aca="false">G29*INDEX(Assumptions!$C$89:$E$89,$B$3)*H26</f>
        <v>0.536328451882845</v>
      </c>
      <c r="I30" s="27" t="n">
        <f aca="false">H29*INDEX(Assumptions!$C$89:$E$89,$B$3)*I26</f>
        <v>0.695240585774059</v>
      </c>
      <c r="J30" s="27" t="n">
        <f aca="false">I29*INDEX(Assumptions!$C$89:$E$89,$B$3)*J26</f>
        <v>1.50118696761073</v>
      </c>
      <c r="K30" s="27" t="n">
        <f aca="false">J29*INDEX(Assumptions!$C$89:$E$89,$B$3)*K26</f>
        <v>1.02113485702976</v>
      </c>
      <c r="L30" s="27" t="n">
        <f aca="false">K29*INDEX(Assumptions!$C$89:$E$89,$B$3)*L26</f>
        <v>0.933020681778605</v>
      </c>
      <c r="M30" s="27" t="n">
        <f aca="false">L29*INDEX(Assumptions!$C$89:$E$89,$B$3)*M26</f>
        <v>1.25347605791106</v>
      </c>
      <c r="N30" s="27" t="n">
        <f aca="false">M29*INDEX(Assumptions!$C$89:$E$89,$B$3)*N26</f>
        <v>1.26</v>
      </c>
      <c r="O30" s="35" t="n">
        <f aca="false">SUM(C30:N30)</f>
        <v>8.64012318198706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1.334984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5</v>
      </c>
      <c r="G31" s="35" t="n">
        <f aca="false">G27+G28+G29</f>
        <v>6.75</v>
      </c>
      <c r="H31" s="35" t="n">
        <f aca="false">H27+H28+H29</f>
        <v>5.79367154811715</v>
      </c>
      <c r="I31" s="35" t="n">
        <f aca="false">I27+I28+I29</f>
        <v>13</v>
      </c>
      <c r="J31" s="35" t="n">
        <f aca="false">J27+J28+J29</f>
        <v>12.9910410658621</v>
      </c>
      <c r="K31" s="35" t="n">
        <f aca="false">K27+K28+K29</f>
        <v>8.18781295006821</v>
      </c>
      <c r="L31" s="35" t="n">
        <f aca="false">L27+L28+L29</f>
        <v>10.4456338159255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89.665955879973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0.333746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1.25</v>
      </c>
      <c r="G32" s="27" t="n">
        <f aca="false">G31*INDEX(Assumptions!$C$74:$E$74,$B$3)</f>
        <v>1.6875</v>
      </c>
      <c r="H32" s="27" t="n">
        <f aca="false">H31*INDEX(Assumptions!$C$74:$E$74,$B$3)</f>
        <v>1.44841788702929</v>
      </c>
      <c r="I32" s="27" t="n">
        <f aca="false">I31*INDEX(Assumptions!$C$74:$E$74,$B$3)</f>
        <v>3.25</v>
      </c>
      <c r="J32" s="27" t="n">
        <f aca="false">J31*INDEX(Assumptions!$C$74:$E$74,$B$3)</f>
        <v>3.24776026646552</v>
      </c>
      <c r="K32" s="27" t="n">
        <f aca="false">K31*INDEX(Assumptions!$C$74:$E$74,$B$3)</f>
        <v>2.04695323751705</v>
      </c>
      <c r="L32" s="27" t="n">
        <f aca="false">L31*INDEX(Assumptions!$C$74:$E$74,$B$3)</f>
        <v>2.61140845398138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22.4164889699932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1.334984</v>
      </c>
      <c r="D33" s="6" t="n">
        <f aca="false">D24+D27+D30+D29+1.25*D28</f>
        <v>3.12400098</v>
      </c>
      <c r="E33" s="6" t="n">
        <f aca="false">E24+E27+E30+E29+1.25*E28</f>
        <v>6.01841348</v>
      </c>
      <c r="F33" s="6" t="n">
        <f aca="false">F24+F27+F30+F29+1.25*F28</f>
        <v>9.23742308</v>
      </c>
      <c r="G33" s="6" t="n">
        <f aca="false">G24+G27+G30+G29+1.25*G28</f>
        <v>13.1295375</v>
      </c>
      <c r="H33" s="6" t="n">
        <f aca="false">H24+H27+H30+H29+1.25*H28</f>
        <v>14.4</v>
      </c>
      <c r="I33" s="6" t="n">
        <f aca="false">I24+I27+I30+I29+1.25*I28</f>
        <v>22.3577719665272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25.6731609244129</v>
      </c>
      <c r="N33" s="6" t="n">
        <f aca="false">N24+N27+N30+N29+1.25*N28</f>
        <v>25.2157819568562</v>
      </c>
      <c r="O33" s="39" t="n">
        <f aca="false">AVERAGE(C33:N33)</f>
        <v>16.790922823983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0.0834365</v>
      </c>
      <c r="D34" s="36" t="n">
        <f aca="false">D33/(D20*D21)</f>
        <v>0.19525006125</v>
      </c>
      <c r="E34" s="36" t="n">
        <f aca="false">E33/(E20*E21)</f>
        <v>0.3761508425</v>
      </c>
      <c r="F34" s="36" t="n">
        <f aca="false">F33/(F20*F21)</f>
        <v>0.5773389425</v>
      </c>
      <c r="G34" s="36" t="n">
        <f aca="false">G33/(G20*G21)</f>
        <v>0.82059609375</v>
      </c>
      <c r="H34" s="36" t="n">
        <f aca="false">H33/(H20*H21)</f>
        <v>0.9</v>
      </c>
      <c r="I34" s="36" t="n">
        <f aca="false">I33/(I20*I21)</f>
        <v>0.745259065550907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0.855772030813762</v>
      </c>
      <c r="N34" s="36" t="n">
        <f aca="false">N33/(N20*N21)</f>
        <v>0.840526065228539</v>
      </c>
      <c r="O34" s="30" t="n">
        <f aca="false">N34</f>
        <v>0.840526065228539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1.25233020637899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4.69043151969981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91.9303907129456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40728.3254237288</v>
      </c>
      <c r="D47" s="8" t="n">
        <f aca="false">D27*D44/(1+INDEX(Assumptions!$C$15:$E$15,$B$3)*$H$4)</f>
        <v>65984.1101694915</v>
      </c>
      <c r="E47" s="8" t="n">
        <f aca="false">E27*E44/(1+INDEX(Assumptions!$C$15:$E$15,$B$3)*$H$4)</f>
        <v>106779.661016949</v>
      </c>
      <c r="F47" s="8" t="n">
        <f aca="false">F27*F44/(1+INDEX(Assumptions!$C$15:$E$15,$B$3)*$H$4)</f>
        <v>152542.372881356</v>
      </c>
      <c r="G47" s="8" t="n">
        <f aca="false">G27*G44/(1+INDEX(Assumptions!$C$15:$E$15,$B$3)*$H$4)</f>
        <v>205932.203389831</v>
      </c>
      <c r="H47" s="8" t="n">
        <f aca="false">H27*H44/(1+INDEX(Assumptions!$C$15:$E$15,$B$3)*$H$4)</f>
        <v>176756.081128998</v>
      </c>
      <c r="I47" s="8" t="n">
        <f aca="false">I27*I44/(1+INDEX(Assumptions!$C$15:$E$15,$B$3)*$H$4)</f>
        <v>528813.559322034</v>
      </c>
      <c r="J47" s="8" t="n">
        <f aca="false">J27*J44/(1+INDEX(Assumptions!$C$15:$E$15,$B$3)*$H$4)</f>
        <v>528449.128102864</v>
      </c>
      <c r="K47" s="8" t="n">
        <f aca="false">K27*K44/(1+INDEX(Assumptions!$C$15:$E$15,$B$3)*$H$4)</f>
        <v>333063.577629893</v>
      </c>
      <c r="L47" s="8" t="n">
        <f aca="false">L27*L44/(1+INDEX(Assumptions!$C$15:$E$15,$B$3)*$H$4)</f>
        <v>318680.353706203</v>
      </c>
      <c r="M47" s="8" t="n">
        <f aca="false">M27*M44/(1+INDEX(Assumptions!$C$15:$E$15,$B$3)*$H$4)</f>
        <v>320338.983050848</v>
      </c>
      <c r="N47" s="8" t="n">
        <f aca="false">N27*N44/(1+INDEX(Assumptions!$C$15:$E$15,$B$3)*$H$4)</f>
        <v>305084.745762712</v>
      </c>
      <c r="O47" s="37" t="n">
        <f aca="false">SUM(C47:N47)</f>
        <v>3083153.10158491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106226.784568734</v>
      </c>
      <c r="M48" s="8" t="n">
        <f aca="false">M28*M44/(1+INDEX(Assumptions!$C$15:$E$15,$B$3)*$H$4)</f>
        <v>106779.661016949</v>
      </c>
      <c r="N48" s="8" t="n">
        <f aca="false">N28*N44/(1+INDEX(Assumptions!$C$15:$E$15,$B$3)*$H$4)</f>
        <v>101694.915254237</v>
      </c>
      <c r="O48" s="37" t="n">
        <f aca="false">SUM(C48:N48)</f>
        <v>314701.360839921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2728.79780338983</v>
      </c>
      <c r="E49" s="8" t="n">
        <f aca="false">E30*MAX(0,E44-INDEX(Assumptions!$C$18:$E$18,$B$3)*$H$3)/(1+INDEX(Assumptions!$C$15:$E$15,$B$3)*$H$4)</f>
        <v>4420.93538135593</v>
      </c>
      <c r="F49" s="8" t="n">
        <f aca="false">F30*MAX(0,F44-INDEX(Assumptions!$C$18:$E$18,$B$3)*$H$3)/(1+INDEX(Assumptions!$C$15:$E$15,$B$3)*$H$4)</f>
        <v>7154.23728813559</v>
      </c>
      <c r="G49" s="8" t="n">
        <f aca="false">G30*MAX(0,G44-INDEX(Assumptions!$C$18:$E$18,$B$3)*$H$3)/(1+INDEX(Assumptions!$C$15:$E$15,$B$3)*$H$4)</f>
        <v>10220.3389830508</v>
      </c>
      <c r="H49" s="8" t="n">
        <f aca="false">H30*MAX(0,H44-INDEX(Assumptions!$C$18:$E$18,$B$3)*$H$3)/(1+INDEX(Assumptions!$C$15:$E$15,$B$3)*$H$4)</f>
        <v>9135.76430749592</v>
      </c>
      <c r="I49" s="8" t="n">
        <f aca="false">I30*MAX(0,I44-INDEX(Assumptions!$C$18:$E$18,$B$3)*$H$3)/(1+INDEX(Assumptions!$C$15:$E$15,$B$3)*$H$4)</f>
        <v>23626.3961775761</v>
      </c>
      <c r="J49" s="8" t="n">
        <f aca="false">J30*MAX(0,J44-INDEX(Assumptions!$C$18:$E$18,$B$3)*$H$3)/(1+INDEX(Assumptions!$C$15:$E$15,$B$3)*$H$4)</f>
        <v>51014.9130518561</v>
      </c>
      <c r="K49" s="8" t="n">
        <f aca="false">K30*MAX(0,K44-INDEX(Assumptions!$C$18:$E$18,$B$3)*$H$3)/(1+INDEX(Assumptions!$C$15:$E$15,$B$3)*$H$4)</f>
        <v>34701.2777685537</v>
      </c>
      <c r="L49" s="8" t="n">
        <f aca="false">L30*MAX(0,L44-INDEX(Assumptions!$C$18:$E$18,$B$3)*$H$3)/(1+INDEX(Assumptions!$C$15:$E$15,$B$3)*$H$4)</f>
        <v>31706.8892706119</v>
      </c>
      <c r="M49" s="8" t="n">
        <f aca="false">M30*MAX(0,M44-INDEX(Assumptions!$C$18:$E$18,$B$3)*$H$3)/(1+INDEX(Assumptions!$C$15:$E$15,$B$3)*$H$4)</f>
        <v>42596.9406120624</v>
      </c>
      <c r="N49" s="8" t="n">
        <f aca="false">N30*MAX(0,N44-INDEX(Assumptions!$C$18:$E$18,$B$3)*$H$3)/(1+INDEX(Assumptions!$C$15:$E$15,$B$3)*$H$4)</f>
        <v>42818.6440677966</v>
      </c>
      <c r="O49" s="37" t="n">
        <f aca="false">SUM(C49:N49)</f>
        <v>260125.134711885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18056.2242711864</v>
      </c>
      <c r="D50" s="8" t="n">
        <f aca="false">D29*INDEX(Assumptions!$C$18:$E$18,$B$3)*$H$3/(1+INDEX(Assumptions!$C$15:$E$15,$B$3)*$H$4)</f>
        <v>29252.9555084746</v>
      </c>
      <c r="E50" s="8" t="n">
        <f aca="false">E29*INDEX(Assumptions!$C$18:$E$18,$B$3)*$H$3/(1+INDEX(Assumptions!$C$15:$E$15,$B$3)*$H$4)</f>
        <v>47338.9830508475</v>
      </c>
      <c r="F50" s="8" t="n">
        <f aca="false">F29*INDEX(Assumptions!$C$18:$E$18,$B$3)*$H$3/(1+INDEX(Assumptions!$C$15:$E$15,$B$3)*$H$4)</f>
        <v>67627.1186440678</v>
      </c>
      <c r="G50" s="8" t="n">
        <f aca="false">G29*INDEX(Assumptions!$C$18:$E$18,$B$3)*$H$3/(1+INDEX(Assumptions!$C$15:$E$15,$B$3)*$H$4)</f>
        <v>91296.6101694915</v>
      </c>
      <c r="H50" s="8" t="n">
        <f aca="false">H29*INDEX(Assumptions!$C$18:$E$18,$B$3)*$H$3/(1+INDEX(Assumptions!$C$15:$E$15,$B$3)*$H$4)</f>
        <v>78361.8626338558</v>
      </c>
      <c r="I50" s="8" t="n">
        <f aca="false">I29*INDEX(Assumptions!$C$18:$E$18,$B$3)*$H$3/(1+INDEX(Assumptions!$C$15:$E$15,$B$3)*$H$4)</f>
        <v>175830.508474576</v>
      </c>
      <c r="J50" s="8" t="n">
        <f aca="false">J29*INDEX(Assumptions!$C$18:$E$18,$B$3)*$H$3/(1+INDEX(Assumptions!$C$15:$E$15,$B$3)*$H$4)</f>
        <v>175709.335094202</v>
      </c>
      <c r="K50" s="8" t="n">
        <f aca="false">K29*INDEX(Assumptions!$C$18:$E$18,$B$3)*$H$3/(1+INDEX(Assumptions!$C$15:$E$15,$B$3)*$H$4)</f>
        <v>110743.639561939</v>
      </c>
      <c r="L50" s="8" t="n">
        <f aca="false">L29*INDEX(Assumptions!$C$18:$E$18,$B$3)*$H$3/(1+INDEX(Assumptions!$C$15:$E$15,$B$3)*$H$4)</f>
        <v>141281.623476416</v>
      </c>
      <c r="M50" s="8" t="n">
        <f aca="false">M29*INDEX(Assumptions!$C$18:$E$18,$B$3)*$H$3/(1+INDEX(Assumptions!$C$15:$E$15,$B$3)*$H$4)</f>
        <v>142016.949152542</v>
      </c>
      <c r="N50" s="8" t="n">
        <f aca="false">N29*INDEX(Assumptions!$C$18:$E$18,$B$3)*$H$3/(1+INDEX(Assumptions!$C$15:$E$15,$B$3)*$H$4)</f>
        <v>135254.237288136</v>
      </c>
      <c r="O50" s="37" t="n">
        <f aca="false">SUM(C50:N50)</f>
        <v>1212770.04732574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947.214385231024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1534.58551754738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2483.36335739498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3547.66193913569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4789.34361783318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6208.40839348745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9223.92104175279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9578.68723566636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8869.15484783922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7804.85626609852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7450.09007218495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7095.32387827138</v>
      </c>
      <c r="O51" s="37" t="n">
        <f aca="false">SUM(C51:N51)</f>
        <v>69532.6105524429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28813.5593220339</v>
      </c>
      <c r="F52" s="8" t="n">
        <f aca="false">F37*INDEX(Assumptions!$C$21:$E$21,$B$3)*$H$3/(1+INDEX(Assumptions!$C$15:$E$15,$B$3)*$H$4)</f>
        <v>57627.1186440678</v>
      </c>
      <c r="G52" s="8" t="n">
        <f aca="false">G37*INDEX(Assumptions!$C$21:$E$21,$B$3)*$H$3/(1+INDEX(Assumptions!$C$15:$E$15,$B$3)*$H$4)</f>
        <v>86440.6779661017</v>
      </c>
      <c r="H52" s="8" t="n">
        <f aca="false">H37*INDEX(Assumptions!$C$21:$E$21,$B$3)*$H$3/(1+INDEX(Assumptions!$C$15:$E$15,$B$3)*$H$4)</f>
        <v>115254.237288136</v>
      </c>
      <c r="I52" s="8" t="n">
        <f aca="false">I37*INDEX(Assumptions!$C$21:$E$21,$B$3)*$H$3/(1+INDEX(Assumptions!$C$15:$E$15,$B$3)*$H$4)</f>
        <v>144067.79661017</v>
      </c>
      <c r="J52" s="8" t="n">
        <f aca="false">J37*INDEX(Assumptions!$C$21:$E$21,$B$3)*$H$3/(1+INDEX(Assumptions!$C$15:$E$15,$B$3)*$H$4)</f>
        <v>172881.355932203</v>
      </c>
      <c r="K52" s="8" t="n">
        <f aca="false">K37*INDEX(Assumptions!$C$21:$E$21,$B$3)*$H$3/(1+INDEX(Assumptions!$C$15:$E$15,$B$3)*$H$4)</f>
        <v>172881.355932203</v>
      </c>
      <c r="L52" s="8" t="n">
        <f aca="false">L37*INDEX(Assumptions!$C$21:$E$21,$B$3)*$H$3/(1+INDEX(Assumptions!$C$15:$E$15,$B$3)*$H$4)</f>
        <v>172881.355932203</v>
      </c>
      <c r="M52" s="8" t="n">
        <f aca="false">M37*INDEX(Assumptions!$C$21:$E$21,$B$3)*$H$3/(1+INDEX(Assumptions!$C$15:$E$15,$B$3)*$H$4)</f>
        <v>172881.355932203</v>
      </c>
      <c r="N52" s="8" t="n">
        <f aca="false">N37*INDEX(Assumptions!$C$21:$E$21,$B$3)*$H$3/(1+INDEX(Assumptions!$C$15:$E$15,$B$3)*$H$4)</f>
        <v>172881.355932203</v>
      </c>
      <c r="O52" s="37" t="n">
        <f aca="false">SUM(C52:N52)</f>
        <v>1296610.16949153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29655.0847457627</v>
      </c>
      <c r="D53" s="8" t="n">
        <f aca="false">D38*INDEX(Assumptions!$C$22:$E$22,$B$3)*$H$3/(1+INDEX(Assumptions!$C$15:$E$15,$B$3)*$H$4)</f>
        <v>50837.2881355932</v>
      </c>
      <c r="E53" s="8" t="n">
        <f aca="false">E38*INDEX(Assumptions!$C$22:$E$22,$B$3)*$H$3/(1+INDEX(Assumptions!$C$15:$E$15,$B$3)*$H$4)</f>
        <v>76255.9322033898</v>
      </c>
      <c r="F53" s="8" t="n">
        <f aca="false">F38*INDEX(Assumptions!$C$22:$E$22,$B$3)*$H$3/(1+INDEX(Assumptions!$C$15:$E$15,$B$3)*$H$4)</f>
        <v>82610.593220339</v>
      </c>
      <c r="G53" s="8" t="n">
        <f aca="false">G38*INDEX(Assumptions!$C$22:$E$22,$B$3)*$H$3/(1+INDEX(Assumptions!$C$15:$E$15,$B$3)*$H$4)</f>
        <v>57191.9491525424</v>
      </c>
      <c r="H53" s="8" t="n">
        <f aca="false">H38*INDEX(Assumptions!$C$22:$E$22,$B$3)*$H$3/(1+INDEX(Assumptions!$C$15:$E$15,$B$3)*$H$4)</f>
        <v>50837.2881355932</v>
      </c>
      <c r="I53" s="8" t="n">
        <f aca="false">I38*INDEX(Assumptions!$C$22:$E$22,$B$3)*$H$3/(1+INDEX(Assumptions!$C$15:$E$15,$B$3)*$H$4)</f>
        <v>44482.6271186441</v>
      </c>
      <c r="J53" s="8" t="n">
        <f aca="false">J38*INDEX(Assumptions!$C$22:$E$22,$B$3)*$H$3/(1+INDEX(Assumptions!$C$15:$E$15,$B$3)*$H$4)</f>
        <v>38127.9661016949</v>
      </c>
      <c r="K53" s="8" t="n">
        <f aca="false">K38*INDEX(Assumptions!$C$22:$E$22,$B$3)*$H$3/(1+INDEX(Assumptions!$C$15:$E$15,$B$3)*$H$4)</f>
        <v>38127.9661016949</v>
      </c>
      <c r="L53" s="8" t="n">
        <f aca="false">L38*INDEX(Assumptions!$C$22:$E$22,$B$3)*$H$3/(1+INDEX(Assumptions!$C$15:$E$15,$B$3)*$H$4)</f>
        <v>50837.2881355932</v>
      </c>
      <c r="M53" s="8" t="n">
        <f aca="false">M38*INDEX(Assumptions!$C$22:$E$22,$B$3)*$H$3/(1+INDEX(Assumptions!$C$15:$E$15,$B$3)*$H$4)</f>
        <v>69901.2711864407</v>
      </c>
      <c r="N53" s="8" t="n">
        <f aca="false">N38*INDEX(Assumptions!$C$22:$E$22,$B$3)*$H$3/(1+INDEX(Assumptions!$C$15:$E$15,$B$3)*$H$4)</f>
        <v>88965.2542372881</v>
      </c>
      <c r="O53" s="37" t="n">
        <f aca="false">SUM(C53:N53)</f>
        <v>677830.508474576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20325.4237288136</v>
      </c>
      <c r="L54" s="8" t="n">
        <f aca="false">L41*INDEX(Assumptions!$C$83:$E$83,$B$3)/(1+INDEX(Assumptions!$C$15:$E$15,$B$3)*$H$4)</f>
        <v>20325.4237288136</v>
      </c>
      <c r="M54" s="8" t="n">
        <f aca="false">M41*INDEX(Assumptions!$C$83:$E$83,$B$3)/(1+INDEX(Assumptions!$C$15:$E$15,$B$3)*$H$4)</f>
        <v>20325.4237288136</v>
      </c>
      <c r="N54" s="8" t="n">
        <f aca="false">N41*INDEX(Assumptions!$C$83:$E$83,$B$3)/(1+INDEX(Assumptions!$C$15:$E$15,$B$3)*$H$4)</f>
        <v>20325.4237288136</v>
      </c>
      <c r="O54" s="37" t="n">
        <f aca="false">SUM(C54:N54)</f>
        <v>81301.6949152542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2016.74745762712</v>
      </c>
      <c r="F55" s="8" t="n">
        <f aca="false">F42*INDEX(Assumptions!$C$23:$E$23,$B$3)/(1+INDEX(Assumptions!$C$15:$E$15,$B$3)*$H$4)</f>
        <v>4033.49491525424</v>
      </c>
      <c r="G55" s="8" t="n">
        <f aca="false">G42*INDEX(Assumptions!$C$23:$E$23,$B$3)/(1+INDEX(Assumptions!$C$15:$E$15,$B$3)*$H$4)</f>
        <v>6050.24237288136</v>
      </c>
      <c r="H55" s="8" t="n">
        <f aca="false">H42*INDEX(Assumptions!$C$23:$E$23,$B$3)/(1+INDEX(Assumptions!$C$15:$E$15,$B$3)*$H$4)</f>
        <v>8066.98983050847</v>
      </c>
      <c r="I55" s="8" t="n">
        <f aca="false">I42*INDEX(Assumptions!$C$23:$E$23,$B$3)/(1+INDEX(Assumptions!$C$15:$E$15,$B$3)*$H$4)</f>
        <v>10083.7372881356</v>
      </c>
      <c r="J55" s="8" t="n">
        <f aca="false">J42*INDEX(Assumptions!$C$23:$E$23,$B$3)/(1+INDEX(Assumptions!$C$15:$E$15,$B$3)*$H$4)</f>
        <v>12100.4847457627</v>
      </c>
      <c r="K55" s="8" t="n">
        <f aca="false">K42*INDEX(Assumptions!$C$23:$E$23,$B$3)/(1+INDEX(Assumptions!$C$15:$E$15,$B$3)*$H$4)</f>
        <v>12100.4847457627</v>
      </c>
      <c r="L55" s="8" t="n">
        <f aca="false">L42*INDEX(Assumptions!$C$23:$E$23,$B$3)/(1+INDEX(Assumptions!$C$15:$E$15,$B$3)*$H$4)</f>
        <v>12100.4847457627</v>
      </c>
      <c r="M55" s="8" t="n">
        <f aca="false">M42*INDEX(Assumptions!$C$23:$E$23,$B$3)/(1+INDEX(Assumptions!$C$15:$E$15,$B$3)*$H$4)</f>
        <v>12100.4847457627</v>
      </c>
      <c r="N55" s="8" t="n">
        <f aca="false">N42*INDEX(Assumptions!$C$23:$E$23,$B$3)/(1+INDEX(Assumptions!$C$15:$E$15,$B$3)*$H$4)</f>
        <v>12100.4847457627</v>
      </c>
      <c r="O55" s="37" t="n">
        <f aca="false">SUM(C55:N55)</f>
        <v>90753.6355932203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7482.83965393656</v>
      </c>
      <c r="K56" s="8" t="n">
        <f aca="false">(K27+K28)*(1-K45)*INDEX(Assumptions!$C$90:$E$90,$B$3)</f>
        <v>4716.18025923929</v>
      </c>
      <c r="L56" s="8" t="n">
        <f aca="false">(L27+L28)*(1-L45)*INDEX(Assumptions!$C$90:$E$90,$B$3)</f>
        <v>6016.6850779731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37511.7049911489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89386.848825909</v>
      </c>
      <c r="D57" s="37" t="n">
        <f aca="false">SUM(D47:D56)</f>
        <v>150337.737134497</v>
      </c>
      <c r="E57" s="37" t="n">
        <f aca="false">SUM(E47:E56)</f>
        <v>268109.181789598</v>
      </c>
      <c r="F57" s="37" t="n">
        <f aca="false">SUM(F47:F56)</f>
        <v>375142.597532356</v>
      </c>
      <c r="G57" s="37" t="n">
        <f aca="false">SUM(G47:G56)</f>
        <v>461921.365651732</v>
      </c>
      <c r="H57" s="37" t="n">
        <f aca="false">SUM(H47:H56)</f>
        <v>444620.631718074</v>
      </c>
      <c r="I57" s="37" t="n">
        <f aca="false">SUM(I47:I56)</f>
        <v>943616.546032888</v>
      </c>
      <c r="J57" s="37" t="n">
        <f aca="false">SUM(J47:J56)</f>
        <v>995344.709918187</v>
      </c>
      <c r="K57" s="37" t="n">
        <f aca="false">SUM(K47:K56)</f>
        <v>735529.06057594</v>
      </c>
      <c r="L57" s="37" t="n">
        <f aca="false">SUM(L47:L56)</f>
        <v>867861.74490841</v>
      </c>
      <c r="M57" s="37" t="n">
        <f aca="false">SUM(M47:M56)</f>
        <v>900439.159497807</v>
      </c>
      <c r="N57" s="37" t="n">
        <f aca="false">SUM(N47:N56)</f>
        <v>891980.384895221</v>
      </c>
      <c r="O57" s="31" t="n">
        <f aca="false">SUM(C57:N57)</f>
        <v>7124289.96848062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58784.5496949153</v>
      </c>
      <c r="D58" s="8" t="n">
        <f aca="false">D47+D48+D49+D50</f>
        <v>97965.8634813559</v>
      </c>
      <c r="E58" s="8" t="n">
        <f aca="false">E47+E48+E49+E50</f>
        <v>158539.579449153</v>
      </c>
      <c r="F58" s="8" t="n">
        <f aca="false">F47+F48+F49+F50</f>
        <v>227323.728813559</v>
      </c>
      <c r="G58" s="8" t="n">
        <f aca="false">G47+G48+G49+G50</f>
        <v>307449.152542373</v>
      </c>
      <c r="H58" s="8" t="n">
        <f aca="false">H47+H48+H49+H50</f>
        <v>264253.70807035</v>
      </c>
      <c r="I58" s="8" t="n">
        <f aca="false">I47+I48+I49+I50</f>
        <v>728270.463974186</v>
      </c>
      <c r="J58" s="8" t="n">
        <f aca="false">J47+J48+J49+J50</f>
        <v>755173.376248923</v>
      </c>
      <c r="K58" s="8" t="n">
        <f aca="false">K47+K48+K49+K50</f>
        <v>478508.494960386</v>
      </c>
      <c r="L58" s="8" t="n">
        <f aca="false">L47+L48+L49+L50</f>
        <v>597895.651021965</v>
      </c>
      <c r="M58" s="8" t="n">
        <f aca="false">M47+M48+M49+M50</f>
        <v>611732.533832402</v>
      </c>
      <c r="N58" s="8" t="n">
        <f aca="false">N47+N48+N49+N50</f>
        <v>584852.542372881</v>
      </c>
      <c r="O58" s="37" t="n">
        <f aca="false">SUM(C58:N58)</f>
        <v>4870749.64446245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4805.9424</v>
      </c>
      <c r="D60" s="8" t="n">
        <f aca="false">((D27+D30)*INDEX(Assumptions!$C$91:$E$91,$B$3)+D28*INDEX(Assumptions!$C$93:$E$93,$B$3))*$N$3</f>
        <v>8747.31348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20520</v>
      </c>
      <c r="G60" s="8" t="n">
        <f aca="false">((G27+G30)*INDEX(Assumptions!$C$91:$E$91,$B$3)+G28*INDEX(Assumptions!$C$93:$E$93,$B$3))*$N$3</f>
        <v>27900</v>
      </c>
      <c r="H60" s="8" t="n">
        <f aca="false">((H27+H30)*INDEX(Assumptions!$C$91:$E$91,$B$3)+H28*INDEX(Assumptions!$C$93:$E$93,$B$3))*$N$3</f>
        <v>24075.1882845188</v>
      </c>
      <c r="I60" s="8" t="n">
        <f aca="false">((I27+I30)*INDEX(Assumptions!$C$91:$E$91,$B$3)+I28*INDEX(Assumptions!$C$93:$E$93,$B$3))*$N$3</f>
        <v>50971.4435146443</v>
      </c>
      <c r="J60" s="8" t="n">
        <f aca="false">((J27+J30)*INDEX(Assumptions!$C$91:$E$91,$B$3)+J28*INDEX(Assumptions!$C$93:$E$93,$B$3))*$N$3</f>
        <v>55774.8696427678</v>
      </c>
      <c r="K60" s="8" t="n">
        <f aca="false">((K27+K30)*INDEX(Assumptions!$C$91:$E$91,$B$3)+K28*INDEX(Assumptions!$C$93:$E$93,$B$3))*$N$3</f>
        <v>35602.9357624241</v>
      </c>
      <c r="L60" s="8" t="n">
        <f aca="false">((L27+L30)*INDEX(Assumptions!$C$91:$E$91,$B$3)+L28*INDEX(Assumptions!$C$93:$E$93,$B$3))*$N$3</f>
        <v>45552.6734365868</v>
      </c>
      <c r="M60" s="8" t="n">
        <f aca="false">((M27+M30)*INDEX(Assumptions!$C$91:$E$91,$B$3)+M28*INDEX(Assumptions!$C$93:$E$93,$B$3))*$N$3</f>
        <v>47683.3563474664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381600.947868408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9611.8848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36000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41714.4351464435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176698.569946444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1067.9872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4000</v>
      </c>
      <c r="G62" s="8" t="n">
        <f aca="false">G29*INDEX(Assumptions!$C$92:$E$92,$B$3)*$N$3</f>
        <v>5400</v>
      </c>
      <c r="H62" s="8" t="n">
        <f aca="false">H29*INDEX(Assumptions!$C$92:$E$92,$B$3)*$N$3</f>
        <v>4634.93723849372</v>
      </c>
      <c r="I62" s="8" t="n">
        <f aca="false">I29*INDEX(Assumptions!$C$92:$E$92,$B$3)*$N$3</f>
        <v>10400</v>
      </c>
      <c r="J62" s="8" t="n">
        <f aca="false">J29*INDEX(Assumptions!$C$92:$E$92,$B$3)*$N$3</f>
        <v>10392.8328526897</v>
      </c>
      <c r="K62" s="8" t="n">
        <f aca="false">K29*INDEX(Assumptions!$C$92:$E$92,$B$3)*$N$3</f>
        <v>6550.25036005457</v>
      </c>
      <c r="L62" s="8" t="n">
        <f aca="false">L29*INDEX(Assumptions!$C$92:$E$92,$B$3)*$N$3</f>
        <v>8356.50705274042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71732.7647039784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3113.08255159475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15772.607879925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239982.597678236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2950.56955229145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4966.89214601412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12151.1003017636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15364.8942293809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14331.7135168102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33677.2355674431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35456.0676039142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24952.8300935701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29910.616848654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30949.9909877873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30334.9420835272</v>
      </c>
      <c r="O66" s="37" t="n">
        <f aca="false">SUM(C66:N66)</f>
        <v>243670.521937016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800.9904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3000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3476.20292887029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7794.62463951725</v>
      </c>
      <c r="K67" s="8" t="n">
        <f aca="false">K31*INDEX(Assumptions!$C$198:$E$198,$B$3)*INDEX(Assumptions!$C$69:$E$69,$B$3)</f>
        <v>4912.68777004092</v>
      </c>
      <c r="L67" s="8" t="n">
        <f aca="false">L31*INDEX(Assumptions!$C$198:$E$198,$B$3)*INDEX(Assumptions!$C$69:$E$69,$B$3)</f>
        <v>6267.38028955532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53799.5735279838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22350.4569038862</v>
      </c>
      <c r="D68" s="37" t="n">
        <f aca="false">SUM(D60:D67)</f>
        <v>37621.6193220742</v>
      </c>
      <c r="E68" s="37" t="n">
        <f aca="false">SUM(E60:E67)</f>
        <v>64777.719521807</v>
      </c>
      <c r="F68" s="37" t="n">
        <f aca="false">SUM(F60:F67)</f>
        <v>92395.7081816886</v>
      </c>
      <c r="G68" s="37" t="n">
        <f aca="false">SUM(G60:G67)</f>
        <v>119925.91486728</v>
      </c>
      <c r="H68" s="37" t="n">
        <f aca="false">SUM(H60:H67)</f>
        <v>110588.540905005</v>
      </c>
      <c r="I68" s="37" t="n">
        <f aca="false">SUM(I60:I67)</f>
        <v>129477.459569892</v>
      </c>
      <c r="J68" s="37" t="n">
        <f aca="false">SUM(J60:J67)</f>
        <v>139440.436014686</v>
      </c>
      <c r="K68" s="37" t="n">
        <f aca="false">SUM(K60:K67)</f>
        <v>127806.223685902</v>
      </c>
      <c r="L68" s="37" t="n">
        <f aca="false">SUM(L60:L67)</f>
        <v>146722.914963371</v>
      </c>
      <c r="M68" s="37" t="n">
        <f aca="false">SUM(M60:M67)</f>
        <v>151651.823883096</v>
      </c>
      <c r="N68" s="37" t="n">
        <f aca="false">SUM(N60:N67)</f>
        <v>150146.157843377</v>
      </c>
      <c r="O68" s="31" t="n">
        <f aca="false">SUM(C68:N68)</f>
        <v>1292904.97566207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67036.3919220228</v>
      </c>
      <c r="D69" s="37" t="n">
        <f aca="false">D57-D68</f>
        <v>112716.117812422</v>
      </c>
      <c r="E69" s="37" t="n">
        <f aca="false">E57-E68</f>
        <v>203331.462267791</v>
      </c>
      <c r="F69" s="37" t="n">
        <f aca="false">F57-F68</f>
        <v>282746.889350668</v>
      </c>
      <c r="G69" s="37" t="n">
        <f aca="false">G57-G68</f>
        <v>341995.450784452</v>
      </c>
      <c r="H69" s="37" t="n">
        <f aca="false">H57-H68</f>
        <v>334032.090813069</v>
      </c>
      <c r="I69" s="37" t="n">
        <f aca="false">I57-I68</f>
        <v>814139.086462996</v>
      </c>
      <c r="J69" s="37" t="n">
        <f aca="false">J57-J68</f>
        <v>855904.2739035</v>
      </c>
      <c r="K69" s="37" t="n">
        <f aca="false">K57-K68</f>
        <v>607722.836890037</v>
      </c>
      <c r="L69" s="37" t="n">
        <f aca="false">L57-L68</f>
        <v>721138.829945038</v>
      </c>
      <c r="M69" s="37" t="n">
        <f aca="false">M57-M68</f>
        <v>748787.335614711</v>
      </c>
      <c r="N69" s="37" t="n">
        <f aca="false">N57-N68</f>
        <v>741834.227051843</v>
      </c>
      <c r="O69" s="31" t="n">
        <f aca="false">SUM(C69:N69)</f>
        <v>5831384.99281855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0.749958106841687</v>
      </c>
      <c r="D70" s="7" t="n">
        <f aca="false">IFERROR(D69/D57,0)</f>
        <v>0.749752656657212</v>
      </c>
      <c r="E70" s="7" t="n">
        <f aca="false">IFERROR(E69/E57,0)</f>
        <v>0.758390521766457</v>
      </c>
      <c r="F70" s="7" t="n">
        <f aca="false">IFERROR(F69/F57,0)</f>
        <v>0.753705100968387</v>
      </c>
      <c r="G70" s="7" t="n">
        <f aca="false">IFERROR(G69/G57,0)</f>
        <v>0.740375908574668</v>
      </c>
      <c r="H70" s="7" t="n">
        <f aca="false">IFERROR(H69/H57,0)</f>
        <v>0.751274383112461</v>
      </c>
      <c r="I70" s="7" t="n">
        <f aca="false">IFERROR(I69/I57,0)</f>
        <v>0.862785937662671</v>
      </c>
      <c r="J70" s="7" t="n">
        <f aca="false">IFERROR(J69/J57,0)</f>
        <v>0.859907392257957</v>
      </c>
      <c r="K70" s="7" t="n">
        <f aca="false">IFERROR(K69/K57,0)</f>
        <v>0.826239056298025</v>
      </c>
      <c r="L70" s="7" t="n">
        <f aca="false">IFERROR(L69/L57,0)</f>
        <v>0.830937455390598</v>
      </c>
      <c r="M70" s="7" t="n">
        <f aca="false">IFERROR(M69/M57,0)</f>
        <v>0.831580154768396</v>
      </c>
      <c r="N70" s="7" t="n">
        <f aca="false">IFERROR(N69/N57,0)</f>
        <v>0.831671009378738</v>
      </c>
      <c r="O70" s="13" t="n">
        <f aca="false">IFERROR(O69/O57,0)</f>
        <v>0.818521567569238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19500</v>
      </c>
      <c r="D87" s="8" t="n">
        <f aca="false">D15</f>
        <v>52000</v>
      </c>
      <c r="E87" s="8" t="n">
        <f aca="false">E15</f>
        <v>65000</v>
      </c>
      <c r="F87" s="8" t="n">
        <f aca="false">F15</f>
        <v>78000</v>
      </c>
      <c r="G87" s="8" t="n">
        <f aca="false">G15</f>
        <v>104000</v>
      </c>
      <c r="H87" s="8" t="n">
        <f aca="false">H15</f>
        <v>117000</v>
      </c>
      <c r="I87" s="8" t="n">
        <f aca="false">I15</f>
        <v>130000</v>
      </c>
      <c r="J87" s="8" t="n">
        <f aca="false">J15</f>
        <v>130000</v>
      </c>
      <c r="K87" s="8" t="n">
        <f aca="false">K15</f>
        <v>130000</v>
      </c>
      <c r="L87" s="8" t="n">
        <f aca="false">L15</f>
        <v>130000</v>
      </c>
      <c r="M87" s="8" t="n">
        <f aca="false">M15</f>
        <v>130000</v>
      </c>
      <c r="N87" s="8" t="n">
        <f aca="false">N15</f>
        <v>130000</v>
      </c>
      <c r="O87" s="37" t="n">
        <f aca="false">SUM(C87:N87)</f>
        <v>1215500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296333</v>
      </c>
      <c r="D91" s="37" t="n">
        <f aca="false">D82+SUM(D84:D90)</f>
        <v>323833</v>
      </c>
      <c r="E91" s="37" t="n">
        <f aca="false">E82+SUM(E84:E90)</f>
        <v>501833</v>
      </c>
      <c r="F91" s="37" t="n">
        <f aca="false">F82+SUM(F84:F90)</f>
        <v>364833</v>
      </c>
      <c r="G91" s="37" t="n">
        <f aca="false">G82+SUM(G84:G90)</f>
        <v>390833</v>
      </c>
      <c r="H91" s="37" t="n">
        <f aca="false">H82+SUM(H84:H90)</f>
        <v>416333</v>
      </c>
      <c r="I91" s="37" t="n">
        <f aca="false">I82+SUM(I84:I90)</f>
        <v>539933</v>
      </c>
      <c r="J91" s="37" t="n">
        <f aca="false">J82+SUM(J84:J90)</f>
        <v>539933</v>
      </c>
      <c r="K91" s="37" t="n">
        <f aca="false">K82+SUM(K84:K90)</f>
        <v>544933</v>
      </c>
      <c r="L91" s="37" t="n">
        <f aca="false">L82+SUM(L84:L90)</f>
        <v>544933</v>
      </c>
      <c r="M91" s="37" t="n">
        <f aca="false">M82+SUM(M84:M90)</f>
        <v>544933</v>
      </c>
      <c r="N91" s="37" t="n">
        <f aca="false">N82+SUM(N84:N90)</f>
        <v>544933</v>
      </c>
      <c r="O91" s="31" t="n">
        <f aca="false">SUM(C91:N91)</f>
        <v>5553596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-229296.608077977</v>
      </c>
      <c r="D92" s="37" t="n">
        <f aca="false">D69-D91</f>
        <v>-211116.882187578</v>
      </c>
      <c r="E92" s="37" t="n">
        <f aca="false">E69-E91</f>
        <v>-298501.537732209</v>
      </c>
      <c r="F92" s="37" t="n">
        <f aca="false">F69-F91</f>
        <v>-82086.1106493325</v>
      </c>
      <c r="G92" s="37" t="n">
        <f aca="false">G69-G91</f>
        <v>-48837.549215548</v>
      </c>
      <c r="H92" s="37" t="n">
        <f aca="false">H69-H91</f>
        <v>-82300.9091869309</v>
      </c>
      <c r="I92" s="37" t="n">
        <f aca="false">I69-I91</f>
        <v>274206.086462996</v>
      </c>
      <c r="J92" s="37" t="n">
        <f aca="false">J69-J91</f>
        <v>315971.2739035</v>
      </c>
      <c r="K92" s="37" t="n">
        <f aca="false">K69-K91</f>
        <v>62789.8368900374</v>
      </c>
      <c r="L92" s="37" t="n">
        <f aca="false">L69-L91</f>
        <v>176205.829945038</v>
      </c>
      <c r="M92" s="37" t="n">
        <f aca="false">M69-M91</f>
        <v>203854.335614711</v>
      </c>
      <c r="N92" s="37" t="n">
        <f aca="false">N69-N91</f>
        <v>196901.227051843</v>
      </c>
      <c r="O92" s="31" t="n">
        <f aca="false">SUM(C92:N92)</f>
        <v>277788.992818551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-2.56521637231623</v>
      </c>
      <c r="D93" s="7" t="n">
        <f aca="false">IFERROR(D92/D57,0)</f>
        <v>-1.40428402217273</v>
      </c>
      <c r="E93" s="7" t="n">
        <f aca="false">IFERROR(E92/E57,0)</f>
        <v>-1.1133581317124</v>
      </c>
      <c r="F93" s="7" t="n">
        <f aca="false">IFERROR(F92/F57,0)</f>
        <v>-0.218813089180715</v>
      </c>
      <c r="G93" s="7" t="n">
        <f aca="false">IFERROR(G92/G57,0)</f>
        <v>-0.105726976163232</v>
      </c>
      <c r="H93" s="7" t="n">
        <f aca="false">IFERROR(H92/H57,0)</f>
        <v>-0.185103666622282</v>
      </c>
      <c r="I93" s="7" t="n">
        <f aca="false">IFERROR(I92/I57,0)</f>
        <v>0.290590587475179</v>
      </c>
      <c r="J93" s="7" t="n">
        <f aca="false">IFERROR(J92/J57,0)</f>
        <v>0.317449091510691</v>
      </c>
      <c r="K93" s="7" t="n">
        <f aca="false">IFERROR(K92/K57,0)</f>
        <v>0.0853669015346195</v>
      </c>
      <c r="L93" s="7" t="n">
        <f aca="false">IFERROR(L92/L57,0)</f>
        <v>0.203034447570487</v>
      </c>
      <c r="M93" s="7" t="n">
        <f aca="false">IFERROR(M92/M57,0)</f>
        <v>0.226394347096593</v>
      </c>
      <c r="N93" s="7" t="n">
        <f aca="false">IFERROR(N92/N57,0)</f>
        <v>0.220746140146314</v>
      </c>
      <c r="O93" s="7" t="n">
        <f aca="false">IFERROR(O92/O57,0)</f>
        <v>0.0389918144892402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-304296.608077977</v>
      </c>
      <c r="D94" s="8" t="n">
        <f aca="false">D92-INDEX(Assumptions!$C$163:$E$163,$B$3)</f>
        <v>-286116.882187578</v>
      </c>
      <c r="E94" s="8" t="n">
        <f aca="false">E92-INDEX(Assumptions!$C$163:$E$163,$B$3)</f>
        <v>-373501.537732209</v>
      </c>
      <c r="F94" s="8" t="n">
        <f aca="false">F92-INDEX(Assumptions!$C$163:$E$163,$B$3)</f>
        <v>-157086.110649333</v>
      </c>
      <c r="G94" s="8" t="n">
        <f aca="false">G92-INDEX(Assumptions!$C$163:$E$163,$B$3)</f>
        <v>-123837.549215548</v>
      </c>
      <c r="H94" s="8" t="n">
        <f aca="false">H92-INDEX(Assumptions!$C$163:$E$163,$B$3)</f>
        <v>-157300.909186931</v>
      </c>
      <c r="I94" s="8" t="n">
        <f aca="false">I92-INDEX(Assumptions!$C$163:$E$163,$B$3)</f>
        <v>199206.086462996</v>
      </c>
      <c r="J94" s="8" t="n">
        <f aca="false">J92-INDEX(Assumptions!$C$163:$E$163,$B$3)</f>
        <v>240971.2739035</v>
      </c>
      <c r="K94" s="8" t="n">
        <f aca="false">K92-INDEX(Assumptions!$C$163:$E$163,$B$3)</f>
        <v>-12210.1631099626</v>
      </c>
      <c r="L94" s="8" t="n">
        <f aca="false">L92-INDEX(Assumptions!$C$163:$E$163,$B$3)</f>
        <v>101205.829945038</v>
      </c>
      <c r="M94" s="8" t="n">
        <f aca="false">M92-INDEX(Assumptions!$C$163:$E$163,$B$3)</f>
        <v>128854.335614711</v>
      </c>
      <c r="N94" s="8" t="n">
        <f aca="false">N92-INDEX(Assumptions!$C$163:$E$163,$B$3)</f>
        <v>121901.227051843</v>
      </c>
      <c r="O94" s="37" t="n">
        <f aca="false">SUM(C94:N94)</f>
        <v>-622211.007181449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-29392.2748474576</v>
      </c>
      <c r="D102" s="8" t="n">
        <f aca="false">((D58+IF(INDEX(Assumptions!$C$87:$E$87,$B$3)&gt;=2,C58,0)+IF(INDEX(Assumptions!$C$87:$E$87,$B$3)&gt;=3,0,0))/INDEX(Assumptions!$C$87:$E$87,$B$3))-D58</f>
        <v>-19590.6568932203</v>
      </c>
      <c r="E102" s="8" t="n">
        <f aca="false">((E58+IF(INDEX(Assumptions!$C$87:$E$87,$B$3)&gt;=2,D58,0)+IF(INDEX(Assumptions!$C$87:$E$87,$B$3)&gt;=3,C58,0))/INDEX(Assumptions!$C$87:$E$87,$B$3))-E58</f>
        <v>-30286.8579838983</v>
      </c>
      <c r="F102" s="8" t="n">
        <f aca="false">((F58+IF(INDEX(Assumptions!$C$87:$E$87,$B$3)&gt;=2,E58,0)+IF(INDEX(Assumptions!$C$87:$E$87,$B$3)&gt;=3,D58,0))/INDEX(Assumptions!$C$87:$E$87,$B$3))-F58</f>
        <v>-34392.0746822034</v>
      </c>
      <c r="G102" s="8" t="n">
        <f aca="false">((G58+IF(INDEX(Assumptions!$C$87:$E$87,$B$3)&gt;=2,F58,0)+IF(INDEX(Assumptions!$C$87:$E$87,$B$3)&gt;=3,E58,0))/INDEX(Assumptions!$C$87:$E$87,$B$3))-G58</f>
        <v>-40062.7118644068</v>
      </c>
      <c r="H102" s="8" t="n">
        <f aca="false">((H58+IF(INDEX(Assumptions!$C$87:$E$87,$B$3)&gt;=2,G58,0)+IF(INDEX(Assumptions!$C$87:$E$87,$B$3)&gt;=3,F58,0))/INDEX(Assumptions!$C$87:$E$87,$B$3))-H58</f>
        <v>21597.7222360116</v>
      </c>
      <c r="I102" s="8" t="n">
        <f aca="false">((I58+IF(INDEX(Assumptions!$C$87:$E$87,$B$3)&gt;=2,H58,0)+IF(INDEX(Assumptions!$C$87:$E$87,$B$3)&gt;=3,G58,0))/INDEX(Assumptions!$C$87:$E$87,$B$3))-I58</f>
        <v>-232008.377951918</v>
      </c>
      <c r="J102" s="8" t="n">
        <f aca="false">((J58+IF(INDEX(Assumptions!$C$87:$E$87,$B$3)&gt;=2,I58,0)+IF(INDEX(Assumptions!$C$87:$E$87,$B$3)&gt;=3,H58,0))/INDEX(Assumptions!$C$87:$E$87,$B$3))-J58</f>
        <v>-13451.4561373681</v>
      </c>
      <c r="K102" s="8" t="n">
        <f aca="false">((K58+IF(INDEX(Assumptions!$C$87:$E$87,$B$3)&gt;=2,J58,0)+IF(INDEX(Assumptions!$C$87:$E$87,$B$3)&gt;=3,I58,0))/INDEX(Assumptions!$C$87:$E$87,$B$3))-K58</f>
        <v>138332.440644268</v>
      </c>
      <c r="L102" s="8" t="n">
        <f aca="false">((L58+IF(INDEX(Assumptions!$C$87:$E$87,$B$3)&gt;=2,K58,0)+IF(INDEX(Assumptions!$C$87:$E$87,$B$3)&gt;=3,J58,0))/INDEX(Assumptions!$C$87:$E$87,$B$3))-L58</f>
        <v>-59693.5780307893</v>
      </c>
      <c r="M102" s="8" t="n">
        <f aca="false">((M58+IF(INDEX(Assumptions!$C$87:$E$87,$B$3)&gt;=2,L58,0)+IF(INDEX(Assumptions!$C$87:$E$87,$B$3)&gt;=3,K58,0))/INDEX(Assumptions!$C$87:$E$87,$B$3))-M58</f>
        <v>-6918.44140521821</v>
      </c>
      <c r="N102" s="8" t="n">
        <f aca="false">((N58+IF(INDEX(Assumptions!$C$87:$E$87,$B$3)&gt;=2,M58,0)+IF(INDEX(Assumptions!$C$87:$E$87,$B$3)&gt;=3,L58,0))/INDEX(Assumptions!$C$87:$E$87,$B$3))-N58</f>
        <v>13439.9957297602</v>
      </c>
      <c r="O102" s="37" t="n">
        <f aca="false">SUM(C102:N102)</f>
        <v>-292426.27118644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-408688.882925435</v>
      </c>
      <c r="D103" s="37" t="n">
        <f aca="false">D92+D102-D101</f>
        <v>-230707.539080798</v>
      </c>
      <c r="E103" s="37" t="n">
        <f aca="false">E92+E102-E101</f>
        <v>-328788.395716107</v>
      </c>
      <c r="F103" s="37" t="n">
        <f aca="false">F92+F102-F101</f>
        <v>-116478.185331536</v>
      </c>
      <c r="G103" s="37" t="n">
        <f aca="false">G92+G102-G101</f>
        <v>-88900.2610799548</v>
      </c>
      <c r="H103" s="37" t="n">
        <f aca="false">H92+H102-H101</f>
        <v>-1532703.18695092</v>
      </c>
      <c r="I103" s="37" t="n">
        <f aca="false">I92+I102-I101</f>
        <v>42197.7085110777</v>
      </c>
      <c r="J103" s="37" t="n">
        <f aca="false">J92+J102-J101</f>
        <v>-47480.1822338678</v>
      </c>
      <c r="K103" s="37" t="n">
        <f aca="false">K92+K102-K101</f>
        <v>201122.277534305</v>
      </c>
      <c r="L103" s="37" t="n">
        <f aca="false">L92+L102-L101</f>
        <v>116512.251914249</v>
      </c>
      <c r="M103" s="37" t="n">
        <f aca="false">M92+M102-M101</f>
        <v>196935.894209493</v>
      </c>
      <c r="N103" s="37" t="n">
        <f aca="false">N92+N102-N101</f>
        <v>210341.222781604</v>
      </c>
      <c r="O103" s="31" t="n">
        <f aca="false">SUM(C103:N103)</f>
        <v>-1986637.27836789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-408688.882925435</v>
      </c>
      <c r="D104" s="37" t="n">
        <f aca="false">C104+D103</f>
        <v>-639396.422006233</v>
      </c>
      <c r="E104" s="37" t="n">
        <f aca="false">D104+E103</f>
        <v>-968184.81772234</v>
      </c>
      <c r="F104" s="37" t="n">
        <f aca="false">E104+F103</f>
        <v>-1084663.00305388</v>
      </c>
      <c r="G104" s="37" t="n">
        <f aca="false">F104+G103</f>
        <v>-1173563.26413383</v>
      </c>
      <c r="H104" s="37" t="n">
        <f aca="false">G104+H103</f>
        <v>-2706266.45108475</v>
      </c>
      <c r="I104" s="37" t="n">
        <f aca="false">H104+I103</f>
        <v>-2664068.74257367</v>
      </c>
      <c r="J104" s="37" t="n">
        <f aca="false">I104+J103</f>
        <v>-2711548.92480754</v>
      </c>
      <c r="K104" s="37" t="n">
        <f aca="false">J104+K103</f>
        <v>-2510426.64727323</v>
      </c>
      <c r="L104" s="37" t="n">
        <f aca="false">K104+L103</f>
        <v>-2393914.39535899</v>
      </c>
      <c r="M104" s="37" t="n">
        <f aca="false">L104+M103</f>
        <v>-2196978.50114949</v>
      </c>
      <c r="N104" s="37" t="n">
        <f aca="false">M104+N103</f>
        <v>-1986637.27836789</v>
      </c>
      <c r="O104" s="31" t="n">
        <f aca="false">N104</f>
        <v>-1986637.27836789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408688.882925435</v>
      </c>
      <c r="D105" s="37" t="n">
        <f aca="false">-MIN(0,MIN($C$104:D104))</f>
        <v>639396.422006233</v>
      </c>
      <c r="E105" s="37" t="n">
        <f aca="false">-MIN(0,MIN($C$104:E104))</f>
        <v>968184.81772234</v>
      </c>
      <c r="F105" s="37" t="n">
        <f aca="false">-MIN(0,MIN($C$104:F104))</f>
        <v>1084663.00305388</v>
      </c>
      <c r="G105" s="37" t="n">
        <f aca="false">-MIN(0,MIN($C$104:G104))</f>
        <v>1173563.26413383</v>
      </c>
      <c r="H105" s="37" t="n">
        <f aca="false">-MIN(0,MIN($C$104:H104))</f>
        <v>2706266.45108475</v>
      </c>
      <c r="I105" s="37" t="n">
        <f aca="false">-MIN(0,MIN($C$104:I104))</f>
        <v>2706266.45108475</v>
      </c>
      <c r="J105" s="37" t="n">
        <f aca="false">-MIN(0,MIN($C$104:J104))</f>
        <v>2711548.92480754</v>
      </c>
      <c r="K105" s="37" t="n">
        <f aca="false">-MIN(0,MIN($C$104:K104))</f>
        <v>2711548.92480754</v>
      </c>
      <c r="L105" s="37" t="n">
        <f aca="false">-MIN(0,MIN($C$104:L104))</f>
        <v>2711548.92480754</v>
      </c>
      <c r="M105" s="37" t="n">
        <f aca="false">-MIN(0,MIN($C$104:M104))</f>
        <v>2711548.92480754</v>
      </c>
      <c r="N105" s="37" t="n">
        <f aca="false">-MIN(0,MIN($C$104:N104))</f>
        <v>2711548.92480754</v>
      </c>
      <c r="O105" s="31" t="n">
        <f aca="false">MAX(C105:N105)</f>
        <v>2711548.92480754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0</v>
      </c>
      <c r="H106" s="8" t="n">
        <f aca="false">IF(H92&gt;=0,1,0)</f>
        <v>0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7124289.96848062</v>
      </c>
    </row>
    <row r="110" customFormat="false" ht="15" hidden="false" customHeight="false" outlineLevel="0" collapsed="false">
      <c r="A110" s="3" t="s">
        <v>28</v>
      </c>
      <c r="B110" s="31" t="n">
        <f aca="false">O92</f>
        <v>277788.992818551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0.0389918144892402</v>
      </c>
    </row>
    <row r="112" customFormat="false" ht="15" hidden="false" customHeight="false" outlineLevel="0" collapsed="false">
      <c r="A112" s="3" t="s">
        <v>30</v>
      </c>
      <c r="B112" s="31" t="n">
        <f aca="false">O94</f>
        <v>-622211.007181449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2711548.92480754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288451.07519246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89.665955879973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10.8540813053093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0.840526065228539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50195.5817372881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544933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239878.409678962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6.07731955209966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72.9278346251959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13973.2384897908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0.206105267724414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0.470334286043158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19.5946827101138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576961.392611592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7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-1986637.27836789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60"/>
  </cols>
  <sheetData>
    <row r="1" customFormat="false" ht="17.35" hidden="false" customHeight="false" outlineLevel="0" collapsed="false">
      <c r="A1" s="1" t="s">
        <v>1228</v>
      </c>
    </row>
    <row r="2" customFormat="false" ht="15" hidden="false" customHeight="false" outlineLevel="0" collapsed="false">
      <c r="A2" s="2" t="s">
        <v>1086</v>
      </c>
    </row>
    <row r="3" customFormat="false" ht="15" hidden="false" customHeight="false" outlineLevel="0" collapsed="false">
      <c r="A3" s="0" t="s">
        <v>1087</v>
      </c>
      <c r="B3" s="34" t="n">
        <v>2</v>
      </c>
      <c r="C3" s="13" t="s">
        <v>1088</v>
      </c>
      <c r="D3" s="34" t="n">
        <v>2</v>
      </c>
      <c r="E3" s="2" t="s">
        <v>1089</v>
      </c>
      <c r="F3" s="21" t="n">
        <v>1</v>
      </c>
      <c r="G3" s="2" t="s">
        <v>1090</v>
      </c>
      <c r="H3" s="21" t="n">
        <v>1</v>
      </c>
      <c r="I3" s="2" t="s">
        <v>1091</v>
      </c>
      <c r="J3" s="21" t="n">
        <v>1</v>
      </c>
      <c r="K3" s="2" t="s">
        <v>1092</v>
      </c>
      <c r="L3" s="21" t="n">
        <v>1</v>
      </c>
      <c r="M3" s="2" t="s">
        <v>1093</v>
      </c>
      <c r="N3" s="21" t="n">
        <v>1</v>
      </c>
    </row>
    <row r="4" customFormat="false" ht="15" hidden="false" customHeight="false" outlineLevel="0" collapsed="false">
      <c r="E4" s="2" t="s">
        <v>1094</v>
      </c>
      <c r="F4" s="21" t="n">
        <v>1</v>
      </c>
      <c r="G4" s="2" t="s">
        <v>1095</v>
      </c>
      <c r="H4" s="21" t="n">
        <v>0</v>
      </c>
      <c r="I4" s="2" t="s">
        <v>1096</v>
      </c>
      <c r="J4" s="21" t="n">
        <v>1</v>
      </c>
    </row>
    <row r="5" customFormat="false" ht="15" hidden="false" customHeight="false" outlineLevel="0" collapsed="false">
      <c r="A5" s="5" t="s">
        <v>1097</v>
      </c>
      <c r="B5" s="5" t="s">
        <v>26</v>
      </c>
      <c r="C5" s="5" t="s">
        <v>1098</v>
      </c>
      <c r="D5" s="5" t="s">
        <v>1099</v>
      </c>
      <c r="E5" s="5" t="s">
        <v>1100</v>
      </c>
      <c r="F5" s="5" t="s">
        <v>1101</v>
      </c>
      <c r="G5" s="5" t="s">
        <v>1102</v>
      </c>
      <c r="H5" s="5" t="s">
        <v>1103</v>
      </c>
      <c r="I5" s="5" t="s">
        <v>1104</v>
      </c>
      <c r="J5" s="5" t="s">
        <v>1105</v>
      </c>
      <c r="K5" s="5" t="s">
        <v>1106</v>
      </c>
      <c r="L5" s="5" t="s">
        <v>1107</v>
      </c>
      <c r="M5" s="5" t="s">
        <v>1108</v>
      </c>
      <c r="N5" s="5" t="s">
        <v>1109</v>
      </c>
      <c r="O5" s="5" t="s">
        <v>1110</v>
      </c>
      <c r="P5" s="5" t="s">
        <v>1111</v>
      </c>
    </row>
    <row r="6" customFormat="false" ht="15" hidden="false" customHeight="false" outlineLevel="0" collapsed="false">
      <c r="A6" s="10" t="s">
        <v>1112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</row>
    <row r="7" customFormat="false" ht="15" hidden="false" customHeight="false" outlineLevel="0" collapsed="false">
      <c r="A7" s="28" t="s">
        <v>1113</v>
      </c>
      <c r="C7" s="8" t="n">
        <f aca="false">1</f>
        <v>1</v>
      </c>
      <c r="D7" s="8" t="n">
        <f aca="false">2</f>
        <v>2</v>
      </c>
      <c r="E7" s="8" t="n">
        <f aca="false">3</f>
        <v>3</v>
      </c>
      <c r="F7" s="8" t="n">
        <f aca="false">4</f>
        <v>4</v>
      </c>
      <c r="G7" s="8" t="n">
        <f aca="false">5</f>
        <v>5</v>
      </c>
      <c r="H7" s="8" t="n">
        <f aca="false">6</f>
        <v>6</v>
      </c>
      <c r="I7" s="8" t="n">
        <f aca="false">7</f>
        <v>7</v>
      </c>
      <c r="J7" s="8" t="n">
        <f aca="false">8</f>
        <v>8</v>
      </c>
      <c r="K7" s="8" t="n">
        <f aca="false">9</f>
        <v>9</v>
      </c>
      <c r="L7" s="8" t="n">
        <f aca="false">10</f>
        <v>10</v>
      </c>
      <c r="M7" s="8" t="n">
        <f aca="false">11</f>
        <v>11</v>
      </c>
      <c r="N7" s="8" t="n">
        <f aca="false">12</f>
        <v>12</v>
      </c>
      <c r="P7" s="2"/>
    </row>
    <row r="8" customFormat="false" ht="15" hidden="false" customHeight="false" outlineLevel="0" collapsed="false">
      <c r="A8" s="28" t="s">
        <v>1114</v>
      </c>
      <c r="C8" s="8" t="n">
        <f aca="false">MOD(C7+9,12)+1</f>
        <v>11</v>
      </c>
      <c r="D8" s="8" t="n">
        <f aca="false">MOD(D7+9,12)+1</f>
        <v>12</v>
      </c>
      <c r="E8" s="8" t="n">
        <f aca="false">MOD(E7+9,12)+1</f>
        <v>1</v>
      </c>
      <c r="F8" s="8" t="n">
        <f aca="false">MOD(F7+9,12)+1</f>
        <v>2</v>
      </c>
      <c r="G8" s="8" t="n">
        <f aca="false">MOD(G7+9,12)+1</f>
        <v>3</v>
      </c>
      <c r="H8" s="8" t="n">
        <f aca="false">MOD(H7+9,12)+1</f>
        <v>4</v>
      </c>
      <c r="I8" s="8" t="n">
        <f aca="false">MOD(I7+9,12)+1</f>
        <v>5</v>
      </c>
      <c r="J8" s="8" t="n">
        <f aca="false">MOD(J7+9,12)+1</f>
        <v>6</v>
      </c>
      <c r="K8" s="8" t="n">
        <f aca="false">MOD(K7+9,12)+1</f>
        <v>7</v>
      </c>
      <c r="L8" s="8" t="n">
        <f aca="false">MOD(L7+9,12)+1</f>
        <v>8</v>
      </c>
      <c r="M8" s="8" t="n">
        <f aca="false">MOD(M7+9,12)+1</f>
        <v>9</v>
      </c>
      <c r="N8" s="8" t="n">
        <f aca="false">MOD(N7+9,12)+1</f>
        <v>10</v>
      </c>
      <c r="P8" s="2"/>
    </row>
    <row r="9" customFormat="false" ht="15" hidden="false" customHeight="false" outlineLevel="0" collapsed="false">
      <c r="A9" s="28" t="s">
        <v>1115</v>
      </c>
      <c r="C9" s="27" t="n">
        <f aca="false">INDEX(Assumptions!$D$133:$D$144,C8)</f>
        <v>0.8</v>
      </c>
      <c r="D9" s="27" t="n">
        <f aca="false">INDEX(Assumptions!$D$133:$D$144,D8)</f>
        <v>0.75</v>
      </c>
      <c r="E9" s="27" t="n">
        <f aca="false">INDEX(Assumptions!$D$133:$D$144,E8)</f>
        <v>0.7</v>
      </c>
      <c r="F9" s="27" t="n">
        <f aca="false">INDEX(Assumptions!$D$133:$D$144,F8)</f>
        <v>0.8</v>
      </c>
      <c r="G9" s="27" t="n">
        <f aca="false">INDEX(Assumptions!$D$133:$D$144,G8)</f>
        <v>0.9</v>
      </c>
      <c r="H9" s="27" t="n">
        <f aca="false">INDEX(Assumptions!$D$133:$D$144,H8)</f>
        <v>1</v>
      </c>
      <c r="I9" s="27" t="n">
        <f aca="false">INDEX(Assumptions!$D$133:$D$144,I8)</f>
        <v>1.3</v>
      </c>
      <c r="J9" s="27" t="n">
        <f aca="false">INDEX(Assumptions!$D$133:$D$144,J8)</f>
        <v>1.35</v>
      </c>
      <c r="K9" s="27" t="n">
        <f aca="false">INDEX(Assumptions!$D$133:$D$144,K8)</f>
        <v>1.25</v>
      </c>
      <c r="L9" s="27" t="n">
        <f aca="false">INDEX(Assumptions!$D$133:$D$144,L8)</f>
        <v>1.1</v>
      </c>
      <c r="M9" s="27" t="n">
        <f aca="false">INDEX(Assumptions!$D$133:$D$144,M8)</f>
        <v>1.05</v>
      </c>
      <c r="N9" s="27" t="n">
        <f aca="false">INDEX(Assumptions!$D$133:$D$144,N8)</f>
        <v>1</v>
      </c>
      <c r="O9" s="35" t="n">
        <f aca="false">AVERAGE(C9:N9)</f>
        <v>1</v>
      </c>
      <c r="P9" s="2"/>
    </row>
    <row r="10" customFormat="false" ht="15" hidden="false" customHeight="false" outlineLevel="0" collapsed="false">
      <c r="A10" s="28" t="s">
        <v>1116</v>
      </c>
      <c r="C10" s="27" t="n">
        <f aca="false">INDEX(Assumptions!$D$145:$D$156,C8)</f>
        <v>1.4</v>
      </c>
      <c r="D10" s="27" t="n">
        <f aca="false">INDEX(Assumptions!$D$145:$D$156,D8)</f>
        <v>1.2</v>
      </c>
      <c r="E10" s="27" t="n">
        <f aca="false">INDEX(Assumptions!$D$145:$D$156,E8)</f>
        <v>1.2</v>
      </c>
      <c r="F10" s="27" t="n">
        <f aca="false">INDEX(Assumptions!$D$145:$D$156,F8)</f>
        <v>1.3</v>
      </c>
      <c r="G10" s="27" t="n">
        <f aca="false">INDEX(Assumptions!$D$145:$D$156,G8)</f>
        <v>0.9</v>
      </c>
      <c r="H10" s="27" t="n">
        <f aca="false">INDEX(Assumptions!$D$145:$D$156,H8)</f>
        <v>0.8</v>
      </c>
      <c r="I10" s="27" t="n">
        <f aca="false">INDEX(Assumptions!$D$145:$D$156,I8)</f>
        <v>0.7</v>
      </c>
      <c r="J10" s="27" t="n">
        <f aca="false">INDEX(Assumptions!$D$145:$D$156,J8)</f>
        <v>0.6</v>
      </c>
      <c r="K10" s="27" t="n">
        <f aca="false">INDEX(Assumptions!$D$145:$D$156,K8)</f>
        <v>0.6</v>
      </c>
      <c r="L10" s="27" t="n">
        <f aca="false">INDEX(Assumptions!$D$145:$D$156,L8)</f>
        <v>0.8</v>
      </c>
      <c r="M10" s="27" t="n">
        <f aca="false">INDEX(Assumptions!$D$145:$D$156,M8)</f>
        <v>1.1</v>
      </c>
      <c r="N10" s="27" t="n">
        <f aca="false">INDEX(Assumptions!$D$145:$D$156,N8)</f>
        <v>1.4</v>
      </c>
      <c r="O10" s="35" t="n">
        <f aca="false">AVERAGE(C10:N10)</f>
        <v>1</v>
      </c>
      <c r="P10" s="2"/>
    </row>
    <row r="11" customFormat="false" ht="15" hidden="false" customHeight="false" outlineLevel="0" collapsed="false">
      <c r="A11" s="28" t="s">
        <v>1117</v>
      </c>
      <c r="C11" s="7" t="n">
        <f aca="false">IF(1&lt;=6,1-(1-INDEX(Assumptions!$C$157:$E$157,$D$3))*1/6,INDEX(Assumptions!$C$157:$E$157,$D$3)-(INDEX(Assumptions!$C$157:$E$157,$D$3)-INDEX(Assumptions!$C$158:$E$158,$D$3))*(1-6)/6)</f>
        <v>0.916666666666667</v>
      </c>
      <c r="D11" s="7" t="n">
        <f aca="false">IF(2&lt;=6,1-(1-INDEX(Assumptions!$C$157:$E$157,$D$3))*2/6,INDEX(Assumptions!$C$157:$E$157,$D$3)-(INDEX(Assumptions!$C$157:$E$157,$D$3)-INDEX(Assumptions!$C$158:$E$158,$D$3))*(2-6)/6)</f>
        <v>0.833333333333333</v>
      </c>
      <c r="E11" s="7" t="n">
        <f aca="false">IF(3&lt;=6,1-(1-INDEX(Assumptions!$C$157:$E$157,$D$3))*3/6,INDEX(Assumptions!$C$157:$E$157,$D$3)-(INDEX(Assumptions!$C$157:$E$157,$D$3)-INDEX(Assumptions!$C$158:$E$158,$D$3))*(3-6)/6)</f>
        <v>0.75</v>
      </c>
      <c r="F11" s="7" t="n">
        <f aca="false">IF(4&lt;=6,1-(1-INDEX(Assumptions!$C$157:$E$157,$D$3))*4/6,INDEX(Assumptions!$C$157:$E$157,$D$3)-(INDEX(Assumptions!$C$157:$E$157,$D$3)-INDEX(Assumptions!$C$158:$E$158,$D$3))*(4-6)/6)</f>
        <v>0.666666666666667</v>
      </c>
      <c r="G11" s="7" t="n">
        <f aca="false">IF(5&lt;=6,1-(1-INDEX(Assumptions!$C$157:$E$157,$D$3))*5/6,INDEX(Assumptions!$C$157:$E$157,$D$3)-(INDEX(Assumptions!$C$157:$E$157,$D$3)-INDEX(Assumptions!$C$158:$E$158,$D$3))*(5-6)/6)</f>
        <v>0.583333333333333</v>
      </c>
      <c r="H11" s="7" t="n">
        <f aca="false">IF(6&lt;=6,1-(1-INDEX(Assumptions!$C$157:$E$157,$D$3))*6/6,INDEX(Assumptions!$C$157:$E$157,$D$3)-(INDEX(Assumptions!$C$157:$E$157,$D$3)-INDEX(Assumptions!$C$158:$E$158,$D$3))*(6-6)/6)</f>
        <v>0.5</v>
      </c>
      <c r="I11" s="7" t="n">
        <f aca="false">IF(7&lt;=6,1-(1-INDEX(Assumptions!$C$157:$E$157,$D$3))*7/6,INDEX(Assumptions!$C$157:$E$157,$D$3)-(INDEX(Assumptions!$C$157:$E$157,$D$3)-INDEX(Assumptions!$C$158:$E$158,$D$3))*(7-6)/6)</f>
        <v>0.466666666666667</v>
      </c>
      <c r="J11" s="7" t="n">
        <f aca="false">IF(8&lt;=6,1-(1-INDEX(Assumptions!$C$157:$E$157,$D$3))*8/6,INDEX(Assumptions!$C$157:$E$157,$D$3)-(INDEX(Assumptions!$C$157:$E$157,$D$3)-INDEX(Assumptions!$C$158:$E$158,$D$3))*(8-6)/6)</f>
        <v>0.433333333333333</v>
      </c>
      <c r="K11" s="7" t="n">
        <f aca="false">IF(9&lt;=6,1-(1-INDEX(Assumptions!$C$157:$E$157,$D$3))*9/6,INDEX(Assumptions!$C$157:$E$157,$D$3)-(INDEX(Assumptions!$C$157:$E$157,$D$3)-INDEX(Assumptions!$C$158:$E$158,$D$3))*(9-6)/6)</f>
        <v>0.4</v>
      </c>
      <c r="L11" s="7" t="n">
        <f aca="false">IF(10&lt;=6,1-(1-INDEX(Assumptions!$C$157:$E$157,$D$3))*10/6,INDEX(Assumptions!$C$157:$E$157,$D$3)-(INDEX(Assumptions!$C$157:$E$157,$D$3)-INDEX(Assumptions!$C$158:$E$158,$D$3))*(10-6)/6)</f>
        <v>0.366666666666667</v>
      </c>
      <c r="M11" s="7" t="n">
        <f aca="false">IF(11&lt;=6,1-(1-INDEX(Assumptions!$C$157:$E$157,$D$3))*11/6,INDEX(Assumptions!$C$157:$E$157,$D$3)-(INDEX(Assumptions!$C$157:$E$157,$D$3)-INDEX(Assumptions!$C$158:$E$158,$D$3))*(11-6)/6)</f>
        <v>0.333333333333333</v>
      </c>
      <c r="N11" s="7" t="n">
        <f aca="false">IF(12&lt;=6,1-(1-INDEX(Assumptions!$C$157:$E$157,$D$3))*12/6,INDEX(Assumptions!$C$157:$E$157,$D$3)-(INDEX(Assumptions!$C$157:$E$157,$D$3)-INDEX(Assumptions!$C$158:$E$158,$D$3))*(12-6)/6)</f>
        <v>0.3</v>
      </c>
      <c r="O11" s="36" t="n">
        <f aca="false">N11</f>
        <v>0.3</v>
      </c>
      <c r="P11" s="2"/>
    </row>
    <row r="12" customFormat="false" ht="15" hidden="false" customHeight="false" outlineLevel="0" collapsed="false">
      <c r="A12" s="10" t="s">
        <v>1118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</row>
    <row r="13" customFormat="false" ht="15" hidden="false" customHeight="false" outlineLevel="0" collapsed="false">
      <c r="A13" s="28" t="s">
        <v>1119</v>
      </c>
      <c r="C13" s="27" t="n">
        <f aca="false">INDEX(Assumptions!$C$9:$E$9,$B$3)*INDEX(Assumptions!$C$12:$E$12,$B$3)/12</f>
        <v>2.5</v>
      </c>
      <c r="D13" s="27" t="n">
        <f aca="false">INDEX(Assumptions!$C$9:$E$9,$B$3)*INDEX(Assumptions!$C$12:$E$12,$B$3)/12</f>
        <v>2.5</v>
      </c>
      <c r="E13" s="27" t="n">
        <f aca="false">INDEX(Assumptions!$C$9:$E$9,$B$3)*INDEX(Assumptions!$C$12:$E$12,$B$3)/12</f>
        <v>2.5</v>
      </c>
      <c r="F13" s="27" t="n">
        <f aca="false">INDEX(Assumptions!$C$9:$E$9,$B$3)*INDEX(Assumptions!$C$12:$E$12,$B$3)/12</f>
        <v>2.5</v>
      </c>
      <c r="G13" s="27" t="n">
        <f aca="false">INDEX(Assumptions!$C$9:$E$9,$B$3)*INDEX(Assumptions!$C$12:$E$12,$B$3)/12</f>
        <v>2.5</v>
      </c>
      <c r="H13" s="27" t="n">
        <f aca="false">INDEX(Assumptions!$C$9:$E$9,$B$3)*INDEX(Assumptions!$C$12:$E$12,$B$3)/12</f>
        <v>2.5</v>
      </c>
      <c r="I13" s="27" t="n">
        <f aca="false">INDEX(Assumptions!$C$9:$E$9,$B$3)*INDEX(Assumptions!$C$12:$E$12,$B$3)/12</f>
        <v>2.5</v>
      </c>
      <c r="J13" s="27" t="n">
        <f aca="false">INDEX(Assumptions!$C$9:$E$9,$B$3)*INDEX(Assumptions!$C$12:$E$12,$B$3)/12</f>
        <v>2.5</v>
      </c>
      <c r="K13" s="27" t="n">
        <f aca="false">INDEX(Assumptions!$C$9:$E$9,$B$3)*INDEX(Assumptions!$C$12:$E$12,$B$3)/12</f>
        <v>2.5</v>
      </c>
      <c r="L13" s="27" t="n">
        <f aca="false">INDEX(Assumptions!$C$9:$E$9,$B$3)*INDEX(Assumptions!$C$12:$E$12,$B$3)/12</f>
        <v>2.5</v>
      </c>
      <c r="M13" s="27" t="n">
        <f aca="false">INDEX(Assumptions!$C$9:$E$9,$B$3)*INDEX(Assumptions!$C$12:$E$12,$B$3)/12</f>
        <v>2.5</v>
      </c>
      <c r="N13" s="27" t="n">
        <f aca="false">INDEX(Assumptions!$C$9:$E$9,$B$3)*INDEX(Assumptions!$C$12:$E$12,$B$3)/12</f>
        <v>2.5</v>
      </c>
      <c r="O13" s="35" t="n">
        <f aca="false">SUM(C13:N13)</f>
        <v>30</v>
      </c>
      <c r="P13" s="2"/>
    </row>
    <row r="14" customFormat="false" ht="15" hidden="false" customHeight="false" outlineLevel="0" collapsed="false">
      <c r="A14" s="28" t="s">
        <v>1120</v>
      </c>
      <c r="C14" s="27" t="n">
        <f aca="false">C13+(INDEX(Assumptions!$C$25:$E$25,$D$3)-C13)*MIN(1,(1-1)/6)</f>
        <v>2.5</v>
      </c>
      <c r="D14" s="27" t="n">
        <f aca="false">D13+(INDEX(Assumptions!$C$25:$E$25,$D$3)-D13)*MIN(1,(2-1)/6)</f>
        <v>3.75</v>
      </c>
      <c r="E14" s="27" t="n">
        <f aca="false">E13+(INDEX(Assumptions!$C$25:$E$25,$D$3)-E13)*MIN(1,(3-1)/6)</f>
        <v>5</v>
      </c>
      <c r="F14" s="27" t="n">
        <f aca="false">F13+(INDEX(Assumptions!$C$25:$E$25,$D$3)-F13)*MIN(1,(4-1)/6)</f>
        <v>6.25</v>
      </c>
      <c r="G14" s="27" t="n">
        <f aca="false">G13+(INDEX(Assumptions!$C$25:$E$25,$D$3)-G13)*MIN(1,(5-1)/6)</f>
        <v>7.5</v>
      </c>
      <c r="H14" s="27" t="n">
        <f aca="false">H13+(INDEX(Assumptions!$C$25:$E$25,$D$3)-H13)*MIN(1,(6-1)/6)</f>
        <v>8.75</v>
      </c>
      <c r="I14" s="27" t="n">
        <f aca="false">I13+(INDEX(Assumptions!$C$25:$E$25,$D$3)-I13)*MIN(1,(7-1)/6)</f>
        <v>10</v>
      </c>
      <c r="J14" s="27" t="n">
        <f aca="false">J13+(INDEX(Assumptions!$C$25:$E$25,$D$3)-J13)*MIN(1,(8-1)/6)</f>
        <v>10</v>
      </c>
      <c r="K14" s="27" t="n">
        <f aca="false">K13+(INDEX(Assumptions!$C$25:$E$25,$D$3)-K13)*MIN(1,(9-1)/6)</f>
        <v>10</v>
      </c>
      <c r="L14" s="27" t="n">
        <f aca="false">L13+(INDEX(Assumptions!$C$25:$E$25,$D$3)-L13)*MIN(1,(10-1)/6)</f>
        <v>10</v>
      </c>
      <c r="M14" s="27" t="n">
        <f aca="false">M13+(INDEX(Assumptions!$C$25:$E$25,$D$3)-M13)*MIN(1,(11-1)/6)</f>
        <v>10</v>
      </c>
      <c r="N14" s="27" t="n">
        <f aca="false">N13+(INDEX(Assumptions!$C$25:$E$25,$D$3)-N13)*MIN(1,(12-1)/6)</f>
        <v>10</v>
      </c>
      <c r="O14" s="35" t="n">
        <f aca="false">SUM(C14:N14)</f>
        <v>93.75</v>
      </c>
      <c r="P14" s="2"/>
    </row>
    <row r="15" customFormat="false" ht="15" hidden="false" customHeight="false" outlineLevel="0" collapsed="false">
      <c r="A15" s="28" t="s">
        <v>1121</v>
      </c>
      <c r="C15" s="8" t="n">
        <f aca="false">INDEX(Assumptions!$C$121:$E$121,$D$3)*$J$4</f>
        <v>15000</v>
      </c>
      <c r="D15" s="8" t="n">
        <f aca="false">INDEX(Assumptions!$C$122:$E$122,$D$3)*$J$4</f>
        <v>40000</v>
      </c>
      <c r="E15" s="8" t="n">
        <f aca="false">INDEX(Assumptions!$C$123:$E$123,$D$3)*$J$4</f>
        <v>50000</v>
      </c>
      <c r="F15" s="8" t="n">
        <f aca="false">INDEX(Assumptions!$C$124:$E$124,$D$3)*$J$4</f>
        <v>60000</v>
      </c>
      <c r="G15" s="8" t="n">
        <f aca="false">INDEX(Assumptions!$C$125:$E$125,$D$3)*$J$4</f>
        <v>80000</v>
      </c>
      <c r="H15" s="8" t="n">
        <f aca="false">INDEX(Assumptions!$C$126:$E$126,$D$3)*$J$4</f>
        <v>90000</v>
      </c>
      <c r="I15" s="8" t="n">
        <f aca="false">INDEX(Assumptions!$C$127:$E$127,$D$3)*$J$4</f>
        <v>100000</v>
      </c>
      <c r="J15" s="8" t="n">
        <f aca="false">INDEX(Assumptions!$C$128:$E$128,$D$3)*$J$4</f>
        <v>100000</v>
      </c>
      <c r="K15" s="8" t="n">
        <f aca="false">INDEX(Assumptions!$C$129:$E$129,$D$3)*$J$4</f>
        <v>100000</v>
      </c>
      <c r="L15" s="8" t="n">
        <f aca="false">INDEX(Assumptions!$C$130:$E$130,$D$3)*$J$4</f>
        <v>100000</v>
      </c>
      <c r="M15" s="8" t="n">
        <f aca="false">INDEX(Assumptions!$C$131:$E$131,$D$3)*$J$4</f>
        <v>100000</v>
      </c>
      <c r="N15" s="8" t="n">
        <f aca="false">INDEX(Assumptions!$C$132:$E$132,$D$3)*$J$4</f>
        <v>100000</v>
      </c>
      <c r="O15" s="37" t="n">
        <f aca="false">SUM(C15:N15)</f>
        <v>935000</v>
      </c>
      <c r="P15" s="2" t="s">
        <v>1122</v>
      </c>
    </row>
    <row r="16" customFormat="false" ht="15" hidden="false" customHeight="false" outlineLevel="0" collapsed="false">
      <c r="A16" s="28" t="s">
        <v>1123</v>
      </c>
      <c r="C16" s="8" t="n">
        <f aca="false">INDEX(Assumptions!$C$115:$E$115,$B$3)*INDEX(Assumptions!$C$120:$E$120,$B$3)*$L$3/$F$3</f>
        <v>11666.6666666667</v>
      </c>
      <c r="D16" s="8" t="n">
        <f aca="false">INDEX(Assumptions!$C$115:$E$115,$B$3)*INDEX(Assumptions!$C$120:$E$120,$B$3)*$L$3/$F$3</f>
        <v>11666.6666666667</v>
      </c>
      <c r="E16" s="8" t="n">
        <f aca="false">INDEX(Assumptions!$C$115:$E$115,$B$3)*INDEX(Assumptions!$C$120:$E$120,$B$3)*$L$3/$F$3</f>
        <v>11666.6666666667</v>
      </c>
      <c r="F16" s="8" t="n">
        <f aca="false">INDEX(Assumptions!$C$115:$E$115,$B$3)*INDEX(Assumptions!$C$120:$E$120,$B$3)*$L$3/$F$3</f>
        <v>11666.6666666667</v>
      </c>
      <c r="G16" s="8" t="n">
        <f aca="false">INDEX(Assumptions!$C$115:$E$115,$B$3)*INDEX(Assumptions!$C$120:$E$120,$B$3)*$L$3/$F$3</f>
        <v>11666.6666666667</v>
      </c>
      <c r="H16" s="8" t="n">
        <f aca="false">INDEX(Assumptions!$C$115:$E$115,$B$3)*INDEX(Assumptions!$C$120:$E$120,$B$3)*$L$3/$F$3</f>
        <v>11666.6666666667</v>
      </c>
      <c r="I16" s="8" t="n">
        <f aca="false">INDEX(Assumptions!$C$115:$E$115,$B$3)*INDEX(Assumptions!$C$120:$E$120,$B$3)*$L$3/$F$3</f>
        <v>11666.6666666667</v>
      </c>
      <c r="J16" s="8" t="n">
        <f aca="false">INDEX(Assumptions!$C$115:$E$115,$B$3)*INDEX(Assumptions!$C$120:$E$120,$B$3)*$L$3/$F$3</f>
        <v>11666.6666666667</v>
      </c>
      <c r="K16" s="8" t="n">
        <f aca="false">INDEX(Assumptions!$C$115:$E$115,$B$3)*INDEX(Assumptions!$C$120:$E$120,$B$3)*$L$3/$F$3</f>
        <v>11666.6666666667</v>
      </c>
      <c r="L16" s="8" t="n">
        <f aca="false">INDEX(Assumptions!$C$115:$E$115,$B$3)*INDEX(Assumptions!$C$120:$E$120,$B$3)*$L$3/$F$3</f>
        <v>11666.6666666667</v>
      </c>
      <c r="M16" s="8" t="n">
        <f aca="false">INDEX(Assumptions!$C$115:$E$115,$B$3)*INDEX(Assumptions!$C$120:$E$120,$B$3)*$L$3/$F$3</f>
        <v>11666.6666666667</v>
      </c>
      <c r="N16" s="8" t="n">
        <f aca="false">INDEX(Assumptions!$C$115:$E$115,$B$3)*INDEX(Assumptions!$C$120:$E$120,$B$3)*$L$3/$F$3</f>
        <v>11666.6666666667</v>
      </c>
      <c r="O16" s="37" t="n">
        <f aca="false">AVERAGE(C16:N16)</f>
        <v>11666.6666666667</v>
      </c>
      <c r="P16" s="2"/>
    </row>
    <row r="17" customFormat="false" ht="15" hidden="false" customHeight="false" outlineLevel="0" collapsed="false">
      <c r="A17" s="28" t="s">
        <v>1124</v>
      </c>
      <c r="C17" s="27" t="n">
        <f aca="false">IF(1&gt;=INDEX(Assumptions!$C$106:$E$106,$D$3),1,1-(INDEX(Assumptions!$C$27:$E$27,$B$3)+INDEX(Assumptions!$C$28:$E$28,$B$3)+INDEX(Assumptions!$C$29:$E$29,$B$3))*(1-INDEX(Assumptions!$C$59:$E$59,$B$3)))</f>
        <v>0.769</v>
      </c>
      <c r="D17" s="27" t="n">
        <f aca="false">IF(2&gt;=INDEX(Assumptions!$C$106:$E$106,$D$3),1,1-(INDEX(Assumptions!$C$27:$E$27,$B$3)+INDEX(Assumptions!$C$28:$E$28,$B$3)+INDEX(Assumptions!$C$29:$E$29,$B$3))*(1-INDEX(Assumptions!$C$59:$E$59,$B$3)))</f>
        <v>0.769</v>
      </c>
      <c r="E17" s="27" t="n">
        <f aca="false">IF(3&gt;=INDEX(Assumptions!$C$106:$E$106,$D$3),1,1-(INDEX(Assumptions!$C$27:$E$27,$B$3)+INDEX(Assumptions!$C$28:$E$28,$B$3)+INDEX(Assumptions!$C$29:$E$29,$B$3))*(1-INDEX(Assumptions!$C$59:$E$59,$B$3)))</f>
        <v>1</v>
      </c>
      <c r="F17" s="27" t="n">
        <f aca="false">IF(4&gt;=INDEX(Assumptions!$C$106:$E$106,$D$3),1,1-(INDEX(Assumptions!$C$27:$E$27,$B$3)+INDEX(Assumptions!$C$28:$E$28,$B$3)+INDEX(Assumptions!$C$29:$E$29,$B$3))*(1-INDEX(Assumptions!$C$59:$E$59,$B$3)))</f>
        <v>1</v>
      </c>
      <c r="G17" s="27" t="n">
        <f aca="false">IF(5&gt;=INDEX(Assumptions!$C$106:$E$106,$D$3),1,1-(INDEX(Assumptions!$C$27:$E$27,$B$3)+INDEX(Assumptions!$C$28:$E$28,$B$3)+INDEX(Assumptions!$C$29:$E$29,$B$3))*(1-INDEX(Assumptions!$C$59:$E$59,$B$3)))</f>
        <v>1</v>
      </c>
      <c r="H17" s="27" t="n">
        <f aca="false">IF(6&gt;=INDEX(Assumptions!$C$106:$E$106,$D$3),1,1-(INDEX(Assumptions!$C$27:$E$27,$B$3)+INDEX(Assumptions!$C$28:$E$28,$B$3)+INDEX(Assumptions!$C$29:$E$29,$B$3))*(1-INDEX(Assumptions!$C$59:$E$59,$B$3)))</f>
        <v>1</v>
      </c>
      <c r="I17" s="27" t="n">
        <f aca="false">IF(7&gt;=INDEX(Assumptions!$C$106:$E$106,$D$3),1,1-(INDEX(Assumptions!$C$27:$E$27,$B$3)+INDEX(Assumptions!$C$28:$E$28,$B$3)+INDEX(Assumptions!$C$29:$E$29,$B$3))*(1-INDEX(Assumptions!$C$59:$E$59,$B$3)))</f>
        <v>1</v>
      </c>
      <c r="J17" s="27" t="n">
        <f aca="false">IF(8&gt;=INDEX(Assumptions!$C$106:$E$106,$D$3),1,1-(INDEX(Assumptions!$C$27:$E$27,$B$3)+INDEX(Assumptions!$C$28:$E$28,$B$3)+INDEX(Assumptions!$C$29:$E$29,$B$3))*(1-INDEX(Assumptions!$C$59:$E$59,$B$3)))</f>
        <v>1</v>
      </c>
      <c r="K17" s="27" t="n">
        <f aca="false">IF(9&gt;=INDEX(Assumptions!$C$106:$E$106,$D$3),1,1-(INDEX(Assumptions!$C$27:$E$27,$B$3)+INDEX(Assumptions!$C$28:$E$28,$B$3)+INDEX(Assumptions!$C$29:$E$29,$B$3))*(1-INDEX(Assumptions!$C$59:$E$59,$B$3)))</f>
        <v>1</v>
      </c>
      <c r="L17" s="27" t="n">
        <f aca="false">IF(10&gt;=INDEX(Assumptions!$C$106:$E$106,$D$3),1,1-(INDEX(Assumptions!$C$27:$E$27,$B$3)+INDEX(Assumptions!$C$28:$E$28,$B$3)+INDEX(Assumptions!$C$29:$E$29,$B$3))*(1-INDEX(Assumptions!$C$59:$E$59,$B$3)))</f>
        <v>1</v>
      </c>
      <c r="M17" s="27" t="n">
        <f aca="false">IF(11&gt;=INDEX(Assumptions!$C$106:$E$106,$D$3),1,1-(INDEX(Assumptions!$C$27:$E$27,$B$3)+INDEX(Assumptions!$C$28:$E$28,$B$3)+INDEX(Assumptions!$C$29:$E$29,$B$3))*(1-INDEX(Assumptions!$C$59:$E$59,$B$3)))</f>
        <v>1</v>
      </c>
      <c r="N17" s="27" t="n">
        <f aca="false">IF(12&gt;=INDEX(Assumptions!$C$106:$E$106,$D$3),1,1-(INDEX(Assumptions!$C$27:$E$27,$B$3)+INDEX(Assumptions!$C$28:$E$28,$B$3)+INDEX(Assumptions!$C$29:$E$29,$B$3))*(1-INDEX(Assumptions!$C$59:$E$59,$B$3)))</f>
        <v>1</v>
      </c>
      <c r="O17" s="35" t="n">
        <f aca="false">AVERAGE(C17:N17)</f>
        <v>0.9615</v>
      </c>
      <c r="P17" s="2"/>
    </row>
    <row r="18" customFormat="false" ht="15" hidden="false" customHeight="false" outlineLevel="0" collapsed="false">
      <c r="A18" s="28" t="s">
        <v>1125</v>
      </c>
      <c r="C18" s="27" t="n">
        <f aca="false">C15*INDEX(Assumptions!$C$119:$E$119,$B$3)/C16</f>
        <v>0.9</v>
      </c>
      <c r="D18" s="27" t="n">
        <f aca="false">D15*INDEX(Assumptions!$C$119:$E$119,$B$3)/D16</f>
        <v>2.4</v>
      </c>
      <c r="E18" s="27" t="n">
        <f aca="false">E15*INDEX(Assumptions!$C$119:$E$119,$B$3)/E16</f>
        <v>3</v>
      </c>
      <c r="F18" s="27" t="n">
        <f aca="false">F15*INDEX(Assumptions!$C$119:$E$119,$B$3)/F16</f>
        <v>3.6</v>
      </c>
      <c r="G18" s="27" t="n">
        <f aca="false">G15*INDEX(Assumptions!$C$119:$E$119,$B$3)/G16</f>
        <v>4.8</v>
      </c>
      <c r="H18" s="27" t="n">
        <f aca="false">H15*INDEX(Assumptions!$C$119:$E$119,$B$3)/H16</f>
        <v>5.4</v>
      </c>
      <c r="I18" s="27" t="n">
        <f aca="false">I15*INDEX(Assumptions!$C$119:$E$119,$B$3)/I16</f>
        <v>6</v>
      </c>
      <c r="J18" s="27" t="n">
        <f aca="false">J15*INDEX(Assumptions!$C$119:$E$119,$B$3)/J16</f>
        <v>6</v>
      </c>
      <c r="K18" s="27" t="n">
        <f aca="false">K15*INDEX(Assumptions!$C$119:$E$119,$B$3)/K16</f>
        <v>6</v>
      </c>
      <c r="L18" s="27" t="n">
        <f aca="false">L15*INDEX(Assumptions!$C$119:$E$119,$B$3)/L16</f>
        <v>6</v>
      </c>
      <c r="M18" s="27" t="n">
        <f aca="false">M15*INDEX(Assumptions!$C$119:$E$119,$B$3)/M16</f>
        <v>6</v>
      </c>
      <c r="N18" s="27" t="n">
        <f aca="false">N15*INDEX(Assumptions!$C$119:$E$119,$B$3)/N16</f>
        <v>6</v>
      </c>
      <c r="O18" s="35" t="n">
        <f aca="false">SUM(C18:N18)</f>
        <v>56.1</v>
      </c>
      <c r="P18" s="2"/>
    </row>
    <row r="19" customFormat="false" ht="15" hidden="false" customHeight="false" outlineLevel="0" collapsed="false">
      <c r="A19" s="3" t="s">
        <v>1126</v>
      </c>
      <c r="C19" s="35" t="n">
        <f aca="false">C9*C17*((1-(INDEX(Assumptions!$C$27:$E$27,$B$3)+INDEX(Assumptions!$C$28:$E$28,$B$3)+INDEX(Assumptions!$C$31:$E$31,$B$3)))*C14*$F$3+MIN((INDEX(Assumptions!$C$27:$E$27,$B$3)+INDEX(Assumptions!$C$28:$E$28,$B$3)+INDEX(Assumptions!$C$31:$E$31,$B$3))*C14,C18))</f>
        <v>1.16888</v>
      </c>
      <c r="D19" s="35" t="n">
        <f aca="false">D9*D17*((1-(INDEX(Assumptions!$C$27:$E$27,$B$3)+INDEX(Assumptions!$C$28:$E$28,$B$3)+INDEX(Assumptions!$C$31:$E$31,$B$3)))*D14*$F$3+MIN((INDEX(Assumptions!$C$27:$E$27,$B$3)+INDEX(Assumptions!$C$28:$E$28,$B$3)+INDEX(Assumptions!$C$31:$E$31,$B$3))*D14,D18))</f>
        <v>2.1628125</v>
      </c>
      <c r="E19" s="35" t="n">
        <f aca="false">E9*E17*((1-(INDEX(Assumptions!$C$27:$E$27,$B$3)+INDEX(Assumptions!$C$28:$E$28,$B$3)+INDEX(Assumptions!$C$31:$E$31,$B$3)))*E14*$F$3+MIN((INDEX(Assumptions!$C$27:$E$27,$B$3)+INDEX(Assumptions!$C$28:$E$28,$B$3)+INDEX(Assumptions!$C$31:$E$31,$B$3))*E14,E18))</f>
        <v>3.5</v>
      </c>
      <c r="F19" s="35" t="n">
        <f aca="false">F9*F17*((1-(INDEX(Assumptions!$C$27:$E$27,$B$3)+INDEX(Assumptions!$C$28:$E$28,$B$3)+INDEX(Assumptions!$C$31:$E$31,$B$3)))*F14*$F$3+MIN((INDEX(Assumptions!$C$27:$E$27,$B$3)+INDEX(Assumptions!$C$28:$E$28,$B$3)+INDEX(Assumptions!$C$31:$E$31,$B$3))*F14,F18))</f>
        <v>4.88</v>
      </c>
      <c r="G19" s="35" t="n">
        <f aca="false">G9*G17*((1-(INDEX(Assumptions!$C$27:$E$27,$B$3)+INDEX(Assumptions!$C$28:$E$28,$B$3)+INDEX(Assumptions!$C$31:$E$31,$B$3)))*G14*$F$3+MIN((INDEX(Assumptions!$C$27:$E$27,$B$3)+INDEX(Assumptions!$C$28:$E$28,$B$3)+INDEX(Assumptions!$C$31:$E$31,$B$3))*G14,G18))</f>
        <v>6.75</v>
      </c>
      <c r="H19" s="35" t="n">
        <f aca="false">H9*H17*((1-(INDEX(Assumptions!$C$27:$E$27,$B$3)+INDEX(Assumptions!$C$28:$E$28,$B$3)+INDEX(Assumptions!$C$31:$E$31,$B$3)))*H14*$F$3+MIN((INDEX(Assumptions!$C$27:$E$27,$B$3)+INDEX(Assumptions!$C$28:$E$28,$B$3)+INDEX(Assumptions!$C$31:$E$31,$B$3))*H14,H18))</f>
        <v>8.75</v>
      </c>
      <c r="I19" s="35" t="n">
        <f aca="false">I9*I17*((1-(INDEX(Assumptions!$C$27:$E$27,$B$3)+INDEX(Assumptions!$C$28:$E$28,$B$3)+INDEX(Assumptions!$C$31:$E$31,$B$3)))*I14*$F$3+MIN((INDEX(Assumptions!$C$27:$E$27,$B$3)+INDEX(Assumptions!$C$28:$E$28,$B$3)+INDEX(Assumptions!$C$31:$E$31,$B$3))*I14,I18))</f>
        <v>13</v>
      </c>
      <c r="J19" s="35" t="n">
        <f aca="false">J9*J17*((1-(INDEX(Assumptions!$C$27:$E$27,$B$3)+INDEX(Assumptions!$C$28:$E$28,$B$3)+INDEX(Assumptions!$C$31:$E$31,$B$3)))*J14*$F$3+MIN((INDEX(Assumptions!$C$27:$E$27,$B$3)+INDEX(Assumptions!$C$28:$E$28,$B$3)+INDEX(Assumptions!$C$31:$E$31,$B$3))*J14,J18))</f>
        <v>13.5</v>
      </c>
      <c r="K19" s="35" t="n">
        <f aca="false">K9*K17*((1-(INDEX(Assumptions!$C$27:$E$27,$B$3)+INDEX(Assumptions!$C$28:$E$28,$B$3)+INDEX(Assumptions!$C$31:$E$31,$B$3)))*K14*$F$3+MIN((INDEX(Assumptions!$C$27:$E$27,$B$3)+INDEX(Assumptions!$C$28:$E$28,$B$3)+INDEX(Assumptions!$C$31:$E$31,$B$3))*K14,K18))</f>
        <v>12.5</v>
      </c>
      <c r="L19" s="35" t="n">
        <f aca="false">L9*L17*((1-(INDEX(Assumptions!$C$27:$E$27,$B$3)+INDEX(Assumptions!$C$28:$E$28,$B$3)+INDEX(Assumptions!$C$31:$E$31,$B$3)))*L14*$F$3+MIN((INDEX(Assumptions!$C$27:$E$27,$B$3)+INDEX(Assumptions!$C$28:$E$28,$B$3)+INDEX(Assumptions!$C$31:$E$31,$B$3))*L14,L18))</f>
        <v>11</v>
      </c>
      <c r="M19" s="35" t="n">
        <f aca="false">M9*M17*((1-(INDEX(Assumptions!$C$27:$E$27,$B$3)+INDEX(Assumptions!$C$28:$E$28,$B$3)+INDEX(Assumptions!$C$31:$E$31,$B$3)))*M14*$F$3+MIN((INDEX(Assumptions!$C$27:$E$27,$B$3)+INDEX(Assumptions!$C$28:$E$28,$B$3)+INDEX(Assumptions!$C$31:$E$31,$B$3))*M14,M18))</f>
        <v>10.5</v>
      </c>
      <c r="N19" s="35" t="n">
        <f aca="false">N9*N17*((1-(INDEX(Assumptions!$C$27:$E$27,$B$3)+INDEX(Assumptions!$C$28:$E$28,$B$3)+INDEX(Assumptions!$C$31:$E$31,$B$3)))*N14*$F$3+MIN((INDEX(Assumptions!$C$27:$E$27,$B$3)+INDEX(Assumptions!$C$28:$E$28,$B$3)+INDEX(Assumptions!$C$31:$E$31,$B$3))*N14,N18))</f>
        <v>10</v>
      </c>
      <c r="O19" s="38" t="n">
        <f aca="false">SUM(C19:N19)</f>
        <v>97.7116925</v>
      </c>
      <c r="P19" s="2"/>
    </row>
    <row r="20" customFormat="false" ht="15" hidden="false" customHeight="false" outlineLevel="0" collapsed="false">
      <c r="A20" s="28" t="s">
        <v>1127</v>
      </c>
      <c r="C20" s="8" t="n">
        <f aca="false">IF(1&gt;=INDEX(Assumptions!$C$173:$E$173,$D$3),INDEX(Assumptions!$C$176:$E$176,$D$3),INDEX(Assumptions!$C$171:$E$171,$B$3))</f>
        <v>8</v>
      </c>
      <c r="D20" s="8" t="n">
        <f aca="false">IF(2&gt;=INDEX(Assumptions!$C$173:$E$173,$D$3),INDEX(Assumptions!$C$176:$E$176,$D$3),INDEX(Assumptions!$C$171:$E$171,$B$3))</f>
        <v>8</v>
      </c>
      <c r="E20" s="8" t="n">
        <f aca="false">IF(3&gt;=INDEX(Assumptions!$C$173:$E$173,$D$3),INDEX(Assumptions!$C$176:$E$176,$D$3),INDEX(Assumptions!$C$171:$E$171,$B$3))</f>
        <v>8</v>
      </c>
      <c r="F20" s="8" t="n">
        <f aca="false">IF(4&gt;=INDEX(Assumptions!$C$173:$E$173,$D$3),INDEX(Assumptions!$C$176:$E$176,$D$3),INDEX(Assumptions!$C$171:$E$171,$B$3))</f>
        <v>8</v>
      </c>
      <c r="G20" s="8" t="n">
        <f aca="false">IF(5&gt;=INDEX(Assumptions!$C$173:$E$173,$D$3),INDEX(Assumptions!$C$176:$E$176,$D$3),INDEX(Assumptions!$C$171:$E$171,$B$3))</f>
        <v>8</v>
      </c>
      <c r="H20" s="8" t="n">
        <f aca="false">IF(6&gt;=INDEX(Assumptions!$C$173:$E$173,$D$3),INDEX(Assumptions!$C$176:$E$176,$D$3),INDEX(Assumptions!$C$171:$E$171,$B$3))</f>
        <v>8</v>
      </c>
      <c r="I20" s="8" t="n">
        <f aca="false">IF(7&gt;=INDEX(Assumptions!$C$173:$E$173,$D$3),INDEX(Assumptions!$C$176:$E$176,$D$3),INDEX(Assumptions!$C$171:$E$171,$B$3))</f>
        <v>12</v>
      </c>
      <c r="J20" s="8" t="n">
        <f aca="false">IF(8&gt;=INDEX(Assumptions!$C$173:$E$173,$D$3),INDEX(Assumptions!$C$176:$E$176,$D$3),INDEX(Assumptions!$C$171:$E$171,$B$3))</f>
        <v>12</v>
      </c>
      <c r="K20" s="8" t="n">
        <f aca="false">IF(9&gt;=INDEX(Assumptions!$C$173:$E$173,$D$3),INDEX(Assumptions!$C$176:$E$176,$D$3),INDEX(Assumptions!$C$171:$E$171,$B$3))</f>
        <v>12</v>
      </c>
      <c r="L20" s="8" t="n">
        <f aca="false">IF(10&gt;=INDEX(Assumptions!$C$173:$E$173,$D$3),INDEX(Assumptions!$C$176:$E$176,$D$3),INDEX(Assumptions!$C$171:$E$171,$B$3))</f>
        <v>12</v>
      </c>
      <c r="M20" s="8" t="n">
        <f aca="false">IF(11&gt;=INDEX(Assumptions!$C$173:$E$173,$D$3),INDEX(Assumptions!$C$176:$E$176,$D$3),INDEX(Assumptions!$C$171:$E$171,$B$3))</f>
        <v>12</v>
      </c>
      <c r="N20" s="8" t="n">
        <f aca="false">IF(12&gt;=INDEX(Assumptions!$C$173:$E$173,$D$3),INDEX(Assumptions!$C$176:$E$176,$D$3),INDEX(Assumptions!$C$171:$E$171,$B$3))</f>
        <v>12</v>
      </c>
      <c r="O20" s="37" t="n">
        <f aca="false">N20</f>
        <v>12</v>
      </c>
      <c r="P20" s="2"/>
    </row>
    <row r="21" customFormat="false" ht="15" hidden="false" customHeight="false" outlineLevel="0" collapsed="false">
      <c r="A21" s="28" t="s">
        <v>800</v>
      </c>
      <c r="C21" s="6" t="n">
        <f aca="false">IF(1&gt;=INDEX(Assumptions!$C$173:$E$173,$D$3),INDEX(Assumptions!$C$177:$E$177,$D$3),INDEX(Assumptions!$C$172:$E$172,$D$3))</f>
        <v>2</v>
      </c>
      <c r="D21" s="6" t="n">
        <f aca="false">IF(2&gt;=INDEX(Assumptions!$C$173:$E$173,$D$3),INDEX(Assumptions!$C$177:$E$177,$D$3),INDEX(Assumptions!$C$172:$E$172,$D$3))</f>
        <v>2</v>
      </c>
      <c r="E21" s="6" t="n">
        <f aca="false">IF(3&gt;=INDEX(Assumptions!$C$173:$E$173,$D$3),INDEX(Assumptions!$C$177:$E$177,$D$3),INDEX(Assumptions!$C$172:$E$172,$D$3))</f>
        <v>2</v>
      </c>
      <c r="F21" s="6" t="n">
        <f aca="false">IF(4&gt;=INDEX(Assumptions!$C$173:$E$173,$D$3),INDEX(Assumptions!$C$177:$E$177,$D$3),INDEX(Assumptions!$C$172:$E$172,$D$3))</f>
        <v>2</v>
      </c>
      <c r="G21" s="6" t="n">
        <f aca="false">IF(5&gt;=INDEX(Assumptions!$C$173:$E$173,$D$3),INDEX(Assumptions!$C$177:$E$177,$D$3),INDEX(Assumptions!$C$172:$E$172,$D$3))</f>
        <v>2</v>
      </c>
      <c r="H21" s="6" t="n">
        <f aca="false">IF(6&gt;=INDEX(Assumptions!$C$173:$E$173,$D$3),INDEX(Assumptions!$C$177:$E$177,$D$3),INDEX(Assumptions!$C$172:$E$172,$D$3))</f>
        <v>2</v>
      </c>
      <c r="I21" s="6" t="n">
        <f aca="false">IF(7&gt;=INDEX(Assumptions!$C$173:$E$173,$D$3),INDEX(Assumptions!$C$177:$E$177,$D$3),INDEX(Assumptions!$C$172:$E$172,$D$3))</f>
        <v>2.5</v>
      </c>
      <c r="J21" s="6" t="n">
        <f aca="false">IF(8&gt;=INDEX(Assumptions!$C$173:$E$173,$D$3),INDEX(Assumptions!$C$177:$E$177,$D$3),INDEX(Assumptions!$C$172:$E$172,$D$3))</f>
        <v>2.5</v>
      </c>
      <c r="K21" s="6" t="n">
        <f aca="false">IF(9&gt;=INDEX(Assumptions!$C$173:$E$173,$D$3),INDEX(Assumptions!$C$177:$E$177,$D$3),INDEX(Assumptions!$C$172:$E$172,$D$3))</f>
        <v>2.5</v>
      </c>
      <c r="L21" s="6" t="n">
        <f aca="false">IF(10&gt;=INDEX(Assumptions!$C$173:$E$173,$D$3),INDEX(Assumptions!$C$177:$E$177,$D$3),INDEX(Assumptions!$C$172:$E$172,$D$3))</f>
        <v>2.5</v>
      </c>
      <c r="M21" s="6" t="n">
        <f aca="false">IF(11&gt;=INDEX(Assumptions!$C$173:$E$173,$D$3),INDEX(Assumptions!$C$177:$E$177,$D$3),INDEX(Assumptions!$C$172:$E$172,$D$3))</f>
        <v>2.5</v>
      </c>
      <c r="N21" s="6" t="n">
        <f aca="false">IF(12&gt;=INDEX(Assumptions!$C$173:$E$173,$D$3),INDEX(Assumptions!$C$177:$E$177,$D$3),INDEX(Assumptions!$C$172:$E$172,$D$3))</f>
        <v>2.5</v>
      </c>
      <c r="O21" s="39" t="n">
        <f aca="false">N21</f>
        <v>2.5</v>
      </c>
      <c r="P21" s="2"/>
    </row>
    <row r="22" customFormat="false" ht="15" hidden="false" customHeight="false" outlineLevel="0" collapsed="false">
      <c r="A22" s="28" t="s">
        <v>1128</v>
      </c>
      <c r="C22" s="6" t="n">
        <f aca="false">C20*C21*INDEX(Assumptions!$C$178:$E$178,$B$3)</f>
        <v>14.4</v>
      </c>
      <c r="D22" s="6" t="n">
        <f aca="false">D20*D21*INDEX(Assumptions!$C$178:$E$178,$B$3)</f>
        <v>14.4</v>
      </c>
      <c r="E22" s="6" t="n">
        <f aca="false">E20*E21*INDEX(Assumptions!$C$178:$E$178,$B$3)</f>
        <v>14.4</v>
      </c>
      <c r="F22" s="6" t="n">
        <f aca="false">F20*F21*INDEX(Assumptions!$C$178:$E$178,$B$3)</f>
        <v>14.4</v>
      </c>
      <c r="G22" s="6" t="n">
        <f aca="false">G20*G21*INDEX(Assumptions!$C$178:$E$178,$B$3)</f>
        <v>14.4</v>
      </c>
      <c r="H22" s="6" t="n">
        <f aca="false">H20*H21*INDEX(Assumptions!$C$178:$E$178,$B$3)</f>
        <v>14.4</v>
      </c>
      <c r="I22" s="6" t="n">
        <f aca="false">I20*I21*INDEX(Assumptions!$C$178:$E$178,$B$3)</f>
        <v>27</v>
      </c>
      <c r="J22" s="6" t="n">
        <f aca="false">J20*J21*INDEX(Assumptions!$C$178:$E$178,$B$3)</f>
        <v>27</v>
      </c>
      <c r="K22" s="6" t="n">
        <f aca="false">K20*K21*INDEX(Assumptions!$C$178:$E$178,$B$3)</f>
        <v>27</v>
      </c>
      <c r="L22" s="6" t="n">
        <f aca="false">L20*L21*INDEX(Assumptions!$C$178:$E$178,$B$3)</f>
        <v>27</v>
      </c>
      <c r="M22" s="6" t="n">
        <f aca="false">M20*M21*INDEX(Assumptions!$C$178:$E$178,$B$3)</f>
        <v>27</v>
      </c>
      <c r="N22" s="6" t="n">
        <f aca="false">N20*N21*INDEX(Assumptions!$C$178:$E$178,$B$3)</f>
        <v>27</v>
      </c>
      <c r="O22" s="39" t="n">
        <f aca="false">N22</f>
        <v>27</v>
      </c>
      <c r="P22" s="2"/>
    </row>
    <row r="23" customFormat="false" ht="15" hidden="false" customHeight="false" outlineLevel="0" collapsed="false">
      <c r="A23" s="28" t="s">
        <v>1129</v>
      </c>
      <c r="C23" s="7" t="n">
        <f aca="false">IF(1&gt;=INDEX(Assumptions!$C$189:$E$189,$D$3),INDEX(Assumptions!$C$74:$E$74,$B$3),0)</f>
        <v>0</v>
      </c>
      <c r="D23" s="7" t="n">
        <f aca="false">IF(2&gt;=INDEX(Assumptions!$C$189:$E$189,$D$3),INDEX(Assumptions!$C$74:$E$74,$B$3),0)</f>
        <v>0</v>
      </c>
      <c r="E23" s="7" t="n">
        <f aca="false">IF(3&gt;=INDEX(Assumptions!$C$189:$E$189,$D$3),INDEX(Assumptions!$C$74:$E$74,$B$3),0)</f>
        <v>0</v>
      </c>
      <c r="F23" s="7" t="n">
        <f aca="false">IF(4&gt;=INDEX(Assumptions!$C$189:$E$189,$D$3),INDEX(Assumptions!$C$74:$E$74,$B$3),0)</f>
        <v>0</v>
      </c>
      <c r="G23" s="7" t="n">
        <f aca="false">IF(5&gt;=INDEX(Assumptions!$C$189:$E$189,$D$3),INDEX(Assumptions!$C$74:$E$74,$B$3),0)</f>
        <v>0</v>
      </c>
      <c r="H23" s="7" t="n">
        <f aca="false">IF(6&gt;=INDEX(Assumptions!$C$189:$E$189,$D$3),INDEX(Assumptions!$C$74:$E$74,$B$3),0)</f>
        <v>0</v>
      </c>
      <c r="I23" s="7" t="n">
        <f aca="false">IF(7&gt;=INDEX(Assumptions!$C$189:$E$189,$D$3),INDEX(Assumptions!$C$74:$E$74,$B$3),0)</f>
        <v>0</v>
      </c>
      <c r="J23" s="7" t="n">
        <f aca="false">IF(8&gt;=INDEX(Assumptions!$C$189:$E$189,$D$3),INDEX(Assumptions!$C$74:$E$74,$B$3),0)</f>
        <v>0</v>
      </c>
      <c r="K23" s="7" t="n">
        <f aca="false">IF(9&gt;=INDEX(Assumptions!$C$189:$E$189,$D$3),INDEX(Assumptions!$C$74:$E$74,$B$3),0)</f>
        <v>0</v>
      </c>
      <c r="L23" s="7" t="n">
        <f aca="false">IF(10&gt;=INDEX(Assumptions!$C$189:$E$189,$D$3),INDEX(Assumptions!$C$74:$E$74,$B$3),0)</f>
        <v>0.25</v>
      </c>
      <c r="M23" s="7" t="n">
        <f aca="false">IF(11&gt;=INDEX(Assumptions!$C$189:$E$189,$D$3),INDEX(Assumptions!$C$74:$E$74,$B$3),0)</f>
        <v>0.25</v>
      </c>
      <c r="N23" s="7" t="n">
        <f aca="false">IF(12&gt;=INDEX(Assumptions!$C$189:$E$189,$D$3),INDEX(Assumptions!$C$74:$E$74,$B$3),0)</f>
        <v>0.25</v>
      </c>
      <c r="O23" s="36" t="n">
        <f aca="false">N23</f>
        <v>0.25</v>
      </c>
      <c r="P23" s="2"/>
    </row>
    <row r="24" customFormat="false" ht="15" hidden="false" customHeight="false" outlineLevel="0" collapsed="false">
      <c r="A24" s="0" t="s">
        <v>1130</v>
      </c>
      <c r="C24" s="6" t="n">
        <f aca="false">0+0+0+0+1.25*0</f>
        <v>0</v>
      </c>
      <c r="D24" s="6" t="n">
        <f aca="false">C27+0+C30+0+1.25*C28</f>
        <v>0.701328</v>
      </c>
      <c r="E24" s="6" t="n">
        <f aca="false">D27+C27+D30+C30+1.25*D28</f>
        <v>2.1392811</v>
      </c>
      <c r="F24" s="6" t="n">
        <f aca="false">E27+D27+E30+D30+1.25*E28</f>
        <v>3.7974906</v>
      </c>
      <c r="G24" s="6" t="n">
        <f aca="false">F27+E27+F30+E30+1.25*F28</f>
        <v>5.7075375</v>
      </c>
      <c r="H24" s="6" t="n">
        <f aca="false">G27+F27+G30+F30+1.25*G28</f>
        <v>7.9836</v>
      </c>
      <c r="I24" s="6" t="n">
        <f aca="false">H27+G27+H30+G30+1.25*H28</f>
        <v>8.70289958158996</v>
      </c>
      <c r="J24" s="6" t="n">
        <f aca="false">I27+H27+I30+H30+1.25*I28</f>
        <v>12.572029707113</v>
      </c>
      <c r="K24" s="6" t="n">
        <f aca="false">J27+I27+J30+I30+1.25*J28</f>
        <v>17.7593246161796</v>
      </c>
      <c r="L24" s="6" t="n">
        <f aca="false">K27+J27+K30+J30+1.25*K28</f>
        <v>15.2072443245584</v>
      </c>
      <c r="M24" s="6" t="n">
        <f aca="false">L27+K27+L30+K30+1.25*L28</f>
        <v>13.5605106481197</v>
      </c>
      <c r="N24" s="6" t="n">
        <f aca="false">M27+L27+M30+L30+1.25*M28</f>
        <v>13.5954098063864</v>
      </c>
    </row>
    <row r="25" customFormat="false" ht="15" hidden="false" customHeight="false" outlineLevel="0" collapsed="false">
      <c r="A25" s="0" t="s">
        <v>1131</v>
      </c>
      <c r="C25" s="6" t="n">
        <f aca="false">C19*(INDEX(Assumptions!$C$26:$E$26,$B$3)*(1-C23)+INDEX(Assumptions!$C$26:$E$26,$B$3)*C23*1.25+(1-INDEX(Assumptions!$C$26:$E$26,$B$3)))+0*INDEX(Assumptions!$C$89:$E$89,$B$3)</f>
        <v>1.16888</v>
      </c>
      <c r="D25" s="6" t="n">
        <f aca="false">D19*(INDEX(Assumptions!$C$26:$E$26,$B$3)*(1-D23)+INDEX(Assumptions!$C$26:$E$26,$B$3)*D23*1.25+(1-INDEX(Assumptions!$C$26:$E$26,$B$3)))+C29*INDEX(Assumptions!$C$89:$E$89,$B$3)</f>
        <v>2.3030781</v>
      </c>
      <c r="E25" s="6" t="n">
        <f aca="false">E19*(INDEX(Assumptions!$C$26:$E$26,$B$3)*(1-E23)+INDEX(Assumptions!$C$26:$E$26,$B$3)*E23*1.25+(1-INDEX(Assumptions!$C$26:$E$26,$B$3)))+D29*INDEX(Assumptions!$C$89:$E$89,$B$3)</f>
        <v>3.7595375</v>
      </c>
      <c r="F25" s="6" t="n">
        <f aca="false">F19*(INDEX(Assumptions!$C$26:$E$26,$B$3)*(1-F23)+INDEX(Assumptions!$C$26:$E$26,$B$3)*F23*1.25+(1-INDEX(Assumptions!$C$26:$E$26,$B$3)))+E29*INDEX(Assumptions!$C$89:$E$89,$B$3)</f>
        <v>5.3</v>
      </c>
      <c r="G25" s="6" t="n">
        <f aca="false">G19*(INDEX(Assumptions!$C$26:$E$26,$B$3)*(1-G23)+INDEX(Assumptions!$C$26:$E$26,$B$3)*G23*1.25+(1-INDEX(Assumptions!$C$26:$E$26,$B$3)))+F29*INDEX(Assumptions!$C$89:$E$89,$B$3)</f>
        <v>7.3356</v>
      </c>
      <c r="H25" s="6" t="n">
        <f aca="false">H19*(INDEX(Assumptions!$C$26:$E$26,$B$3)*(1-H23)+INDEX(Assumptions!$C$26:$E$26,$B$3)*H23*1.25+(1-INDEX(Assumptions!$C$26:$E$26,$B$3)))+G29*INDEX(Assumptions!$C$89:$E$89,$B$3)</f>
        <v>9.56</v>
      </c>
      <c r="I25" s="6" t="n">
        <f aca="false">I19*(INDEX(Assumptions!$C$26:$E$26,$B$3)*(1-I23)+INDEX(Assumptions!$C$26:$E$26,$B$3)*I23*1.25+(1-INDEX(Assumptions!$C$26:$E$26,$B$3)))+H29*INDEX(Assumptions!$C$89:$E$89,$B$3)</f>
        <v>13.704730125523</v>
      </c>
      <c r="J25" s="6" t="n">
        <f aca="false">J19*(INDEX(Assumptions!$C$26:$E$26,$B$3)*(1-J23)+INDEX(Assumptions!$C$26:$E$26,$B$3)*J23*1.25+(1-INDEX(Assumptions!$C$26:$E$26,$B$3)))+I29*INDEX(Assumptions!$C$89:$E$89,$B$3)</f>
        <v>15.06</v>
      </c>
      <c r="K25" s="6" t="n">
        <f aca="false">K19*(INDEX(Assumptions!$C$26:$E$26,$B$3)*(1-K23)+INDEX(Assumptions!$C$26:$E$26,$B$3)*K23*1.25+(1-INDEX(Assumptions!$C$26:$E$26,$B$3)))+J29*INDEX(Assumptions!$C$89:$E$89,$B$3)</f>
        <v>14.0520127406691</v>
      </c>
      <c r="L25" s="6" t="n">
        <f aca="false">L19*(INDEX(Assumptions!$C$26:$E$26,$B$3)*(1-L23)+INDEX(Assumptions!$C$26:$E$26,$B$3)*L23*1.25+(1-INDEX(Assumptions!$C$26:$E$26,$B$3)))+K29*INDEX(Assumptions!$C$89:$E$89,$B$3)</f>
        <v>12.3989076649756</v>
      </c>
      <c r="M25" s="6" t="n">
        <f aca="false">M19*(INDEX(Assumptions!$C$26:$E$26,$B$3)*(1-M23)+INDEX(Assumptions!$C$26:$E$26,$B$3)*M23*1.25+(1-INDEX(Assumptions!$C$26:$E$26,$B$3)))+L29*INDEX(Assumptions!$C$89:$E$89,$B$3)</f>
        <v>12.1492184583671</v>
      </c>
      <c r="N25" s="6" t="n">
        <f aca="false">N19*(INDEX(Assumptions!$C$26:$E$26,$B$3)*(1-N23)+INDEX(Assumptions!$C$26:$E$26,$B$3)*N23*1.25+(1-INDEX(Assumptions!$C$26:$E$26,$B$3)))+M29*INDEX(Assumptions!$C$89:$E$89,$B$3)</f>
        <v>11.635</v>
      </c>
    </row>
    <row r="26" customFormat="false" ht="15" hidden="false" customHeight="false" outlineLevel="0" collapsed="false">
      <c r="A26" s="0" t="s">
        <v>1132</v>
      </c>
      <c r="C26" s="7" t="n">
        <f aca="false">IF(C25&lt;=0,1,MAX(0,MIN(1,(C22-C24)/C25)))</f>
        <v>1</v>
      </c>
      <c r="D26" s="7" t="n">
        <f aca="false">IF(D25&lt;=0,1,MAX(0,MIN(1,(D22-D24)/D25)))</f>
        <v>1</v>
      </c>
      <c r="E26" s="7" t="n">
        <f aca="false">IF(E25&lt;=0,1,MAX(0,MIN(1,(E22-E24)/E25)))</f>
        <v>1</v>
      </c>
      <c r="F26" s="7" t="n">
        <f aca="false">IF(F25&lt;=0,1,MAX(0,MIN(1,(F22-F24)/F25)))</f>
        <v>1</v>
      </c>
      <c r="G26" s="7" t="n">
        <f aca="false">IF(G25&lt;=0,1,MAX(0,MIN(1,(G22-G24)/G25)))</f>
        <v>1</v>
      </c>
      <c r="H26" s="7" t="n">
        <f aca="false">IF(H25&lt;=0,1,MAX(0,MIN(1,(H22-H24)/H25)))</f>
        <v>0.671171548117155</v>
      </c>
      <c r="I26" s="7" t="n">
        <f aca="false">IF(I25&lt;=0,1,MAX(0,MIN(1,(I22-I24)/I25)))</f>
        <v>1</v>
      </c>
      <c r="J26" s="7" t="n">
        <f aca="false">IF(J25&lt;=0,1,MAX(0,MIN(1,(J22-J24)/J25)))</f>
        <v>0.958032555968594</v>
      </c>
      <c r="K26" s="7" t="n">
        <f aca="false">IF(K25&lt;=0,1,MAX(0,MIN(1,(K22-K24)/K25)))</f>
        <v>0.657605109983721</v>
      </c>
      <c r="L26" s="7" t="n">
        <f aca="false">IF(L25&lt;=0,1,MAX(0,MIN(1,(L22-L24)/L25)))</f>
        <v>0.951112468459925</v>
      </c>
      <c r="M26" s="7" t="n">
        <f aca="false">IF(M25&lt;=0,1,MAX(0,MIN(1,(M22-M24)/M25)))</f>
        <v>1</v>
      </c>
      <c r="N26" s="7" t="n">
        <f aca="false">IF(N25&lt;=0,1,MAX(0,MIN(1,(N22-N24)/N25)))</f>
        <v>1</v>
      </c>
      <c r="O26" s="7" t="n">
        <f aca="false">MIN(C26:N26)</f>
        <v>0.657605109983721</v>
      </c>
    </row>
    <row r="27" customFormat="false" ht="15" hidden="false" customHeight="false" outlineLevel="0" collapsed="false">
      <c r="A27" s="3" t="s">
        <v>1133</v>
      </c>
      <c r="C27" s="35" t="n">
        <f aca="false">C19*INDEX(Assumptions!$C$26:$E$26,$B$3)*(1-C23)*C26</f>
        <v>0.701328</v>
      </c>
      <c r="D27" s="35" t="n">
        <f aca="false">D19*INDEX(Assumptions!$C$26:$E$26,$B$3)*(1-D23)*D26</f>
        <v>1.2976875</v>
      </c>
      <c r="E27" s="35" t="n">
        <f aca="false">E19*INDEX(Assumptions!$C$26:$E$26,$B$3)*(1-E23)*E26</f>
        <v>2.1</v>
      </c>
      <c r="F27" s="35" t="n">
        <f aca="false">F19*INDEX(Assumptions!$C$26:$E$26,$B$3)*(1-F23)*F26</f>
        <v>2.928</v>
      </c>
      <c r="G27" s="35" t="n">
        <f aca="false">G19*INDEX(Assumptions!$C$26:$E$26,$B$3)*(1-G23)*G26</f>
        <v>4.05</v>
      </c>
      <c r="H27" s="35" t="n">
        <f aca="false">H19*INDEX(Assumptions!$C$26:$E$26,$B$3)*(1-H23)*H26</f>
        <v>3.52365062761506</v>
      </c>
      <c r="I27" s="35" t="n">
        <f aca="false">I19*INDEX(Assumptions!$C$26:$E$26,$B$3)*(1-I23)*I26</f>
        <v>7.8</v>
      </c>
      <c r="J27" s="35" t="n">
        <f aca="false">J19*INDEX(Assumptions!$C$26:$E$26,$B$3)*(1-J23)*J26</f>
        <v>7.76006370334561</v>
      </c>
      <c r="K27" s="35" t="n">
        <f aca="false">K19*INDEX(Assumptions!$C$26:$E$26,$B$3)*(1-K23)*K26</f>
        <v>4.93203832487791</v>
      </c>
      <c r="L27" s="35" t="n">
        <f aca="false">L19*INDEX(Assumptions!$C$26:$E$26,$B$3)*(1-L23)*L26</f>
        <v>4.70800671887663</v>
      </c>
      <c r="M27" s="35" t="n">
        <f aca="false">M19*INDEX(Assumptions!$C$26:$E$26,$B$3)*(1-M23)*M26</f>
        <v>4.725</v>
      </c>
      <c r="N27" s="35" t="n">
        <f aca="false">N19*INDEX(Assumptions!$C$26:$E$26,$B$3)*(1-N23)*N26</f>
        <v>4.5</v>
      </c>
      <c r="O27" s="38" t="n">
        <f aca="false">SUM(C27:N27)</f>
        <v>49.0257748747152</v>
      </c>
      <c r="P27" s="2"/>
    </row>
    <row r="28" customFormat="false" ht="15" hidden="false" customHeight="false" outlineLevel="0" collapsed="false">
      <c r="A28" s="28" t="s">
        <v>1134</v>
      </c>
      <c r="C28" s="27" t="n">
        <f aca="false">C19*INDEX(Assumptions!$C$26:$E$26,$B$3)*C23*C26</f>
        <v>0</v>
      </c>
      <c r="D28" s="27" t="n">
        <f aca="false">D19*INDEX(Assumptions!$C$26:$E$26,$B$3)*D23*D26</f>
        <v>0</v>
      </c>
      <c r="E28" s="27" t="n">
        <f aca="false">E19*INDEX(Assumptions!$C$26:$E$26,$B$3)*E23*E26</f>
        <v>0</v>
      </c>
      <c r="F28" s="27" t="n">
        <f aca="false">F19*INDEX(Assumptions!$C$26:$E$26,$B$3)*F23*F26</f>
        <v>0</v>
      </c>
      <c r="G28" s="27" t="n">
        <f aca="false">G19*INDEX(Assumptions!$C$26:$E$26,$B$3)*G23*G26</f>
        <v>0</v>
      </c>
      <c r="H28" s="27" t="n">
        <f aca="false">H19*INDEX(Assumptions!$C$26:$E$26,$B$3)*H23*H26</f>
        <v>0</v>
      </c>
      <c r="I28" s="27" t="n">
        <f aca="false">I19*INDEX(Assumptions!$C$26:$E$26,$B$3)*I23*I26</f>
        <v>0</v>
      </c>
      <c r="J28" s="27" t="n">
        <f aca="false">J19*INDEX(Assumptions!$C$26:$E$26,$B$3)*J23*J26</f>
        <v>0</v>
      </c>
      <c r="K28" s="27" t="n">
        <f aca="false">K19*INDEX(Assumptions!$C$26:$E$26,$B$3)*K23*K26</f>
        <v>0</v>
      </c>
      <c r="L28" s="27" t="n">
        <f aca="false">L19*INDEX(Assumptions!$C$26:$E$26,$B$3)*L23*L26</f>
        <v>1.56933557295888</v>
      </c>
      <c r="M28" s="27" t="n">
        <f aca="false">M19*INDEX(Assumptions!$C$26:$E$26,$B$3)*M23*M26</f>
        <v>1.575</v>
      </c>
      <c r="N28" s="27" t="n">
        <f aca="false">N19*INDEX(Assumptions!$C$26:$E$26,$B$3)*N23*N26</f>
        <v>1.5</v>
      </c>
      <c r="O28" s="35" t="n">
        <f aca="false">SUM(C28:N28)</f>
        <v>4.64433557295888</v>
      </c>
      <c r="P28" s="2"/>
    </row>
    <row r="29" customFormat="false" ht="15" hidden="false" customHeight="false" outlineLevel="0" collapsed="false">
      <c r="A29" s="28" t="s">
        <v>1135</v>
      </c>
      <c r="C29" s="27" t="n">
        <f aca="false">C19*(1-INDEX(Assumptions!$C$26:$E$26,$B$3))*C26</f>
        <v>0.467552</v>
      </c>
      <c r="D29" s="27" t="n">
        <f aca="false">D19*(1-INDEX(Assumptions!$C$26:$E$26,$B$3))*D26</f>
        <v>0.865125</v>
      </c>
      <c r="E29" s="27" t="n">
        <f aca="false">E19*(1-INDEX(Assumptions!$C$26:$E$26,$B$3))*E26</f>
        <v>1.4</v>
      </c>
      <c r="F29" s="27" t="n">
        <f aca="false">F19*(1-INDEX(Assumptions!$C$26:$E$26,$B$3))*F26</f>
        <v>1.952</v>
      </c>
      <c r="G29" s="27" t="n">
        <f aca="false">G19*(1-INDEX(Assumptions!$C$26:$E$26,$B$3))*G26</f>
        <v>2.7</v>
      </c>
      <c r="H29" s="27" t="n">
        <f aca="false">H19*(1-INDEX(Assumptions!$C$26:$E$26,$B$3))*H26</f>
        <v>2.34910041841004</v>
      </c>
      <c r="I29" s="27" t="n">
        <f aca="false">I19*(1-INDEX(Assumptions!$C$26:$E$26,$B$3))*I26</f>
        <v>5.2</v>
      </c>
      <c r="J29" s="27" t="n">
        <f aca="false">J19*(1-INDEX(Assumptions!$C$26:$E$26,$B$3))*J26</f>
        <v>5.17337580223041</v>
      </c>
      <c r="K29" s="27" t="n">
        <f aca="false">K19*(1-INDEX(Assumptions!$C$26:$E$26,$B$3))*K26</f>
        <v>3.28802554991861</v>
      </c>
      <c r="L29" s="27" t="n">
        <f aca="false">L19*(1-INDEX(Assumptions!$C$26:$E$26,$B$3))*L26</f>
        <v>4.18489486122367</v>
      </c>
      <c r="M29" s="27" t="n">
        <f aca="false">M19*(1-INDEX(Assumptions!$C$26:$E$26,$B$3))*M26</f>
        <v>4.2</v>
      </c>
      <c r="N29" s="27" t="n">
        <f aca="false">N19*(1-INDEX(Assumptions!$C$26:$E$26,$B$3))*N26</f>
        <v>4</v>
      </c>
      <c r="O29" s="35" t="n">
        <f aca="false">SUM(C29:N29)</f>
        <v>35.7800736317827</v>
      </c>
      <c r="P29" s="2"/>
    </row>
    <row r="30" customFormat="false" ht="15" hidden="false" customHeight="false" outlineLevel="0" collapsed="false">
      <c r="A30" s="28" t="s">
        <v>1136</v>
      </c>
      <c r="C30" s="27" t="n">
        <f aca="false">0*INDEX(Assumptions!$C$89:$E$89,$B$3)*C26</f>
        <v>0</v>
      </c>
      <c r="D30" s="27" t="n">
        <f aca="false">C29*INDEX(Assumptions!$C$89:$E$89,$B$3)*D26</f>
        <v>0.1402656</v>
      </c>
      <c r="E30" s="27" t="n">
        <f aca="false">D29*INDEX(Assumptions!$C$89:$E$89,$B$3)*E26</f>
        <v>0.2595375</v>
      </c>
      <c r="F30" s="27" t="n">
        <f aca="false">E29*INDEX(Assumptions!$C$89:$E$89,$B$3)*F26</f>
        <v>0.42</v>
      </c>
      <c r="G30" s="27" t="n">
        <f aca="false">F29*INDEX(Assumptions!$C$89:$E$89,$B$3)*G26</f>
        <v>0.5856</v>
      </c>
      <c r="H30" s="27" t="n">
        <f aca="false">G29*INDEX(Assumptions!$C$89:$E$89,$B$3)*H26</f>
        <v>0.543648953974895</v>
      </c>
      <c r="I30" s="27" t="n">
        <f aca="false">H29*INDEX(Assumptions!$C$89:$E$89,$B$3)*I26</f>
        <v>0.704730125523013</v>
      </c>
      <c r="J30" s="27" t="n">
        <f aca="false">I29*INDEX(Assumptions!$C$89:$E$89,$B$3)*J26</f>
        <v>1.49453078731101</v>
      </c>
      <c r="K30" s="27" t="n">
        <f aca="false">J29*INDEX(Assumptions!$C$89:$E$89,$B$3)*K26</f>
        <v>1.02061150902385</v>
      </c>
      <c r="L30" s="27" t="n">
        <f aca="false">K29*INDEX(Assumptions!$C$89:$E$89,$B$3)*L26</f>
        <v>0.938184629142716</v>
      </c>
      <c r="M30" s="27" t="n">
        <f aca="false">L29*INDEX(Assumptions!$C$89:$E$89,$B$3)*M26</f>
        <v>1.2554684583671</v>
      </c>
      <c r="N30" s="27" t="n">
        <f aca="false">M29*INDEX(Assumptions!$C$89:$E$89,$B$3)*N26</f>
        <v>1.26</v>
      </c>
      <c r="O30" s="35" t="n">
        <f aca="false">SUM(C30:N30)</f>
        <v>8.62257756334259</v>
      </c>
      <c r="P30" s="2"/>
    </row>
    <row r="31" customFormat="false" ht="15" hidden="false" customHeight="false" outlineLevel="0" collapsed="false">
      <c r="A31" s="3" t="s">
        <v>1137</v>
      </c>
      <c r="C31" s="35" t="n">
        <f aca="false">C27+C28+C29</f>
        <v>1.16888</v>
      </c>
      <c r="D31" s="35" t="n">
        <f aca="false">D27+D28+D29</f>
        <v>2.1628125</v>
      </c>
      <c r="E31" s="35" t="n">
        <f aca="false">E27+E28+E29</f>
        <v>3.5</v>
      </c>
      <c r="F31" s="35" t="n">
        <f aca="false">F27+F28+F29</f>
        <v>4.88</v>
      </c>
      <c r="G31" s="35" t="n">
        <f aca="false">G27+G28+G29</f>
        <v>6.75</v>
      </c>
      <c r="H31" s="35" t="n">
        <f aca="false">H27+H28+H29</f>
        <v>5.87275104602511</v>
      </c>
      <c r="I31" s="35" t="n">
        <f aca="false">I27+I28+I29</f>
        <v>13</v>
      </c>
      <c r="J31" s="35" t="n">
        <f aca="false">J27+J28+J29</f>
        <v>12.933439505576</v>
      </c>
      <c r="K31" s="35" t="n">
        <f aca="false">K27+K28+K29</f>
        <v>8.22006387479651</v>
      </c>
      <c r="L31" s="35" t="n">
        <f aca="false">L27+L28+L29</f>
        <v>10.4622371530592</v>
      </c>
      <c r="M31" s="35" t="n">
        <f aca="false">M27+M28+M29</f>
        <v>10.5</v>
      </c>
      <c r="N31" s="35" t="n">
        <f aca="false">N27+N28+N29</f>
        <v>10</v>
      </c>
      <c r="O31" s="38" t="n">
        <f aca="false">SUM(C31:N31)</f>
        <v>89.4501840794568</v>
      </c>
      <c r="P31" s="2"/>
    </row>
    <row r="32" customFormat="false" ht="15" hidden="false" customHeight="false" outlineLevel="0" collapsed="false">
      <c r="A32" s="28" t="s">
        <v>1138</v>
      </c>
      <c r="C32" s="27" t="n">
        <f aca="false">C31*INDEX(Assumptions!$C$74:$E$74,$B$3)</f>
        <v>0.29222</v>
      </c>
      <c r="D32" s="27" t="n">
        <f aca="false">D31*INDEX(Assumptions!$C$74:$E$74,$B$3)</f>
        <v>0.540703125</v>
      </c>
      <c r="E32" s="27" t="n">
        <f aca="false">E31*INDEX(Assumptions!$C$74:$E$74,$B$3)</f>
        <v>0.875</v>
      </c>
      <c r="F32" s="27" t="n">
        <f aca="false">F31*INDEX(Assumptions!$C$74:$E$74,$B$3)</f>
        <v>1.22</v>
      </c>
      <c r="G32" s="27" t="n">
        <f aca="false">G31*INDEX(Assumptions!$C$74:$E$74,$B$3)</f>
        <v>1.6875</v>
      </c>
      <c r="H32" s="27" t="n">
        <f aca="false">H31*INDEX(Assumptions!$C$74:$E$74,$B$3)</f>
        <v>1.46818776150628</v>
      </c>
      <c r="I32" s="27" t="n">
        <f aca="false">I31*INDEX(Assumptions!$C$74:$E$74,$B$3)</f>
        <v>3.25</v>
      </c>
      <c r="J32" s="27" t="n">
        <f aca="false">J31*INDEX(Assumptions!$C$74:$E$74,$B$3)</f>
        <v>3.23335987639401</v>
      </c>
      <c r="K32" s="27" t="n">
        <f aca="false">K31*INDEX(Assumptions!$C$74:$E$74,$B$3)</f>
        <v>2.05501596869913</v>
      </c>
      <c r="L32" s="27" t="n">
        <f aca="false">L31*INDEX(Assumptions!$C$74:$E$74,$B$3)</f>
        <v>2.61555928826479</v>
      </c>
      <c r="M32" s="27" t="n">
        <f aca="false">M31*INDEX(Assumptions!$C$74:$E$74,$B$3)</f>
        <v>2.625</v>
      </c>
      <c r="N32" s="27" t="n">
        <f aca="false">N31*INDEX(Assumptions!$C$74:$E$74,$B$3)</f>
        <v>2.5</v>
      </c>
      <c r="O32" s="35" t="n">
        <f aca="false">SUM(C32:N32)</f>
        <v>22.3625460198642</v>
      </c>
      <c r="P32" s="2"/>
    </row>
    <row r="33" customFormat="false" ht="15" hidden="false" customHeight="false" outlineLevel="0" collapsed="false">
      <c r="A33" s="28" t="s">
        <v>1139</v>
      </c>
      <c r="C33" s="6" t="n">
        <f aca="false">C24+C27+C30+C29+1.25*C28</f>
        <v>1.16888</v>
      </c>
      <c r="D33" s="6" t="n">
        <f aca="false">D24+D27+D30+D29+1.25*D28</f>
        <v>3.0044061</v>
      </c>
      <c r="E33" s="6" t="n">
        <f aca="false">E24+E27+E30+E29+1.25*E28</f>
        <v>5.8988186</v>
      </c>
      <c r="F33" s="6" t="n">
        <f aca="false">F24+F27+F30+F29+1.25*F28</f>
        <v>9.0974906</v>
      </c>
      <c r="G33" s="6" t="n">
        <f aca="false">G24+G27+G30+G29+1.25*G28</f>
        <v>13.0431375</v>
      </c>
      <c r="H33" s="6" t="n">
        <f aca="false">H24+H27+H30+H29+1.25*H28</f>
        <v>14.4</v>
      </c>
      <c r="I33" s="6" t="n">
        <f aca="false">I24+I27+I30+I29+1.25*I28</f>
        <v>22.407629707113</v>
      </c>
      <c r="J33" s="6" t="n">
        <f aca="false">J24+J27+J30+J29+1.25*J28</f>
        <v>27</v>
      </c>
      <c r="K33" s="6" t="n">
        <f aca="false">K24+K27+K30+K29+1.25*K28</f>
        <v>27</v>
      </c>
      <c r="L33" s="6" t="n">
        <f aca="false">L24+L27+L30+L29+1.25*L28</f>
        <v>27</v>
      </c>
      <c r="M33" s="6" t="n">
        <f aca="false">M24+M27+M30+M29+1.25*M28</f>
        <v>25.7097291064868</v>
      </c>
      <c r="N33" s="6" t="n">
        <f aca="false">N24+N27+N30+N29+1.25*N28</f>
        <v>25.2304098063865</v>
      </c>
      <c r="O33" s="39" t="n">
        <f aca="false">AVERAGE(C33:N33)</f>
        <v>16.7467084516655</v>
      </c>
      <c r="P33" s="2"/>
    </row>
    <row r="34" customFormat="false" ht="15" hidden="false" customHeight="false" outlineLevel="0" collapsed="false">
      <c r="A34" s="3" t="s">
        <v>1140</v>
      </c>
      <c r="C34" s="36" t="n">
        <f aca="false">C33/(C20*C21)</f>
        <v>0.073055</v>
      </c>
      <c r="D34" s="36" t="n">
        <f aca="false">D33/(D20*D21)</f>
        <v>0.18777538125</v>
      </c>
      <c r="E34" s="36" t="n">
        <f aca="false">E33/(E20*E21)</f>
        <v>0.3686761625</v>
      </c>
      <c r="F34" s="36" t="n">
        <f aca="false">F33/(F20*F21)</f>
        <v>0.5685931625</v>
      </c>
      <c r="G34" s="36" t="n">
        <f aca="false">G33/(G20*G21)</f>
        <v>0.81519609375</v>
      </c>
      <c r="H34" s="36" t="n">
        <f aca="false">H33/(H20*H21)</f>
        <v>0.9</v>
      </c>
      <c r="I34" s="36" t="n">
        <f aca="false">I33/(I20*I21)</f>
        <v>0.746920990237099</v>
      </c>
      <c r="J34" s="36" t="n">
        <f aca="false">J33/(J20*J21)</f>
        <v>0.9</v>
      </c>
      <c r="K34" s="36" t="n">
        <f aca="false">K33/(K20*K21)</f>
        <v>0.9</v>
      </c>
      <c r="L34" s="36" t="n">
        <f aca="false">L33/(L20*L21)</f>
        <v>0.9</v>
      </c>
      <c r="M34" s="36" t="n">
        <f aca="false">M33/(M20*M21)</f>
        <v>0.856990970216227</v>
      </c>
      <c r="N34" s="36" t="n">
        <f aca="false">N33/(N20*N21)</f>
        <v>0.841013660212882</v>
      </c>
      <c r="O34" s="30" t="n">
        <f aca="false">N34</f>
        <v>0.841013660212882</v>
      </c>
      <c r="P34" s="2"/>
    </row>
    <row r="35" customFormat="false" ht="15" hidden="false" customHeight="false" outlineLevel="0" collapsed="false">
      <c r="A35" s="28" t="s">
        <v>1141</v>
      </c>
      <c r="C35" s="8" t="n">
        <f aca="false">IF(C26&lt;0.999,1,0)</f>
        <v>0</v>
      </c>
      <c r="D35" s="8" t="n">
        <f aca="false">IF(D26&lt;0.999,1,0)</f>
        <v>0</v>
      </c>
      <c r="E35" s="8" t="n">
        <f aca="false">IF(E26&lt;0.999,1,0)</f>
        <v>0</v>
      </c>
      <c r="F35" s="8" t="n">
        <f aca="false">IF(F26&lt;0.999,1,0)</f>
        <v>0</v>
      </c>
      <c r="G35" s="8" t="n">
        <f aca="false">IF(G26&lt;0.999,1,0)</f>
        <v>0</v>
      </c>
      <c r="H35" s="8" t="n">
        <f aca="false">IF(H26&lt;0.999,1,0)</f>
        <v>1</v>
      </c>
      <c r="I35" s="8" t="n">
        <f aca="false">IF(I26&lt;0.999,1,0)</f>
        <v>0</v>
      </c>
      <c r="J35" s="8" t="n">
        <f aca="false">IF(J26&lt;0.999,1,0)</f>
        <v>1</v>
      </c>
      <c r="K35" s="8" t="n">
        <f aca="false">IF(K26&lt;0.999,1,0)</f>
        <v>1</v>
      </c>
      <c r="L35" s="8" t="n">
        <f aca="false">IF(L26&lt;0.999,1,0)</f>
        <v>1</v>
      </c>
      <c r="M35" s="8" t="n">
        <f aca="false">IF(M26&lt;0.999,1,0)</f>
        <v>0</v>
      </c>
      <c r="N35" s="8" t="n">
        <f aca="false">IF(N26&lt;0.999,1,0)</f>
        <v>0</v>
      </c>
      <c r="O35" s="37" t="n">
        <f aca="false">SUM(C35:N35)</f>
        <v>4</v>
      </c>
      <c r="P35" s="2"/>
    </row>
    <row r="36" customFormat="false" ht="15" hidden="false" customHeight="false" outlineLevel="0" collapsed="false">
      <c r="A36" s="10" t="s">
        <v>1142</v>
      </c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</row>
    <row r="37" customFormat="false" ht="15" hidden="false" customHeight="false" outlineLevel="0" collapsed="false">
      <c r="A37" s="28" t="s">
        <v>1143</v>
      </c>
      <c r="C37" s="6" t="n">
        <f aca="false">IF(1&gt;=3,INDEX(Assumptions!$C$192:$E$192,$D$3)*INDEX(Assumptions!$C$193:$E$193,$B$3)*MIN(1,(1-2)/6),0)*$F$3</f>
        <v>0</v>
      </c>
      <c r="D37" s="6" t="n">
        <f aca="false">IF(2&gt;=3,INDEX(Assumptions!$C$192:$E$192,$D$3)*INDEX(Assumptions!$C$193:$E$193,$B$3)*MIN(1,(2-2)/6),0)*$F$3</f>
        <v>0</v>
      </c>
      <c r="E37" s="6" t="n">
        <f aca="false">IF(3&gt;=3,INDEX(Assumptions!$C$192:$E$192,$D$3)*INDEX(Assumptions!$C$193:$E$193,$B$3)*MIN(1,(3-2)/6),0)*$F$3</f>
        <v>3.4</v>
      </c>
      <c r="F37" s="6" t="n">
        <f aca="false">IF(4&gt;=3,INDEX(Assumptions!$C$192:$E$192,$D$3)*INDEX(Assumptions!$C$193:$E$193,$B$3)*MIN(1,(4-2)/6),0)*$F$3</f>
        <v>6.8</v>
      </c>
      <c r="G37" s="6" t="n">
        <f aca="false">IF(5&gt;=3,INDEX(Assumptions!$C$192:$E$192,$D$3)*INDEX(Assumptions!$C$193:$E$193,$B$3)*MIN(1,(5-2)/6),0)*$F$3</f>
        <v>10.2</v>
      </c>
      <c r="H37" s="6" t="n">
        <f aca="false">IF(6&gt;=3,INDEX(Assumptions!$C$192:$E$192,$D$3)*INDEX(Assumptions!$C$193:$E$193,$B$3)*MIN(1,(6-2)/6),0)*$F$3</f>
        <v>13.6</v>
      </c>
      <c r="I37" s="6" t="n">
        <f aca="false">IF(7&gt;=3,INDEX(Assumptions!$C$192:$E$192,$D$3)*INDEX(Assumptions!$C$193:$E$193,$B$3)*MIN(1,(7-2)/6),0)*$F$3</f>
        <v>17</v>
      </c>
      <c r="J37" s="6" t="n">
        <f aca="false">IF(8&gt;=3,INDEX(Assumptions!$C$192:$E$192,$D$3)*INDEX(Assumptions!$C$193:$E$193,$B$3)*MIN(1,(8-2)/6),0)*$F$3</f>
        <v>20.4</v>
      </c>
      <c r="K37" s="6" t="n">
        <f aca="false">IF(9&gt;=3,INDEX(Assumptions!$C$192:$E$192,$D$3)*INDEX(Assumptions!$C$193:$E$193,$B$3)*MIN(1,(9-2)/6),0)*$F$3</f>
        <v>20.4</v>
      </c>
      <c r="L37" s="6" t="n">
        <f aca="false">IF(10&gt;=3,INDEX(Assumptions!$C$192:$E$192,$D$3)*INDEX(Assumptions!$C$193:$E$193,$B$3)*MIN(1,(10-2)/6),0)*$F$3</f>
        <v>20.4</v>
      </c>
      <c r="M37" s="6" t="n">
        <f aca="false">IF(11&gt;=3,INDEX(Assumptions!$C$192:$E$192,$D$3)*INDEX(Assumptions!$C$193:$E$193,$B$3)*MIN(1,(11-2)/6),0)*$F$3</f>
        <v>20.4</v>
      </c>
      <c r="N37" s="6" t="n">
        <f aca="false">IF(12&gt;=3,INDEX(Assumptions!$C$192:$E$192,$D$3)*INDEX(Assumptions!$C$193:$E$193,$B$3)*MIN(1,(12-2)/6),0)*$F$3</f>
        <v>20.4</v>
      </c>
      <c r="O37" s="39" t="n">
        <f aca="false">SUM(C37:N37)</f>
        <v>153</v>
      </c>
      <c r="P37" s="2"/>
    </row>
    <row r="38" customFormat="false" ht="15" hidden="false" customHeight="false" outlineLevel="0" collapsed="false">
      <c r="A38" s="28" t="s">
        <v>1144</v>
      </c>
      <c r="C38" s="6" t="n">
        <f aca="false">INDEX(Assumptions!$C$194:$E$194,$D$3)*C10*MIN(1,1/3)*$F$3</f>
        <v>7</v>
      </c>
      <c r="D38" s="6" t="n">
        <f aca="false">INDEX(Assumptions!$C$194:$E$194,$D$3)*D10*MIN(1,2/3)*$F$3</f>
        <v>12</v>
      </c>
      <c r="E38" s="6" t="n">
        <f aca="false">INDEX(Assumptions!$C$194:$E$194,$D$3)*E10*MIN(1,3/3)*$F$3</f>
        <v>18</v>
      </c>
      <c r="F38" s="6" t="n">
        <f aca="false">INDEX(Assumptions!$C$194:$E$194,$D$3)*F10*MIN(1,4/3)*$F$3</f>
        <v>19.5</v>
      </c>
      <c r="G38" s="6" t="n">
        <f aca="false">INDEX(Assumptions!$C$194:$E$194,$D$3)*G10*MIN(1,5/3)*$F$3</f>
        <v>13.5</v>
      </c>
      <c r="H38" s="6" t="n">
        <f aca="false">INDEX(Assumptions!$C$194:$E$194,$D$3)*H10*MIN(1,6/3)*$F$3</f>
        <v>12</v>
      </c>
      <c r="I38" s="6" t="n">
        <f aca="false">INDEX(Assumptions!$C$194:$E$194,$D$3)*I10*MIN(1,7/3)*$F$3</f>
        <v>10.5</v>
      </c>
      <c r="J38" s="6" t="n">
        <f aca="false">INDEX(Assumptions!$C$194:$E$194,$D$3)*J10*MIN(1,8/3)*$F$3</f>
        <v>9</v>
      </c>
      <c r="K38" s="6" t="n">
        <f aca="false">INDEX(Assumptions!$C$194:$E$194,$D$3)*K10*MIN(1,9/3)*$F$3</f>
        <v>9</v>
      </c>
      <c r="L38" s="6" t="n">
        <f aca="false">INDEX(Assumptions!$C$194:$E$194,$D$3)*L10*MIN(1,10/3)*$F$3</f>
        <v>12</v>
      </c>
      <c r="M38" s="6" t="n">
        <f aca="false">INDEX(Assumptions!$C$194:$E$194,$D$3)*M10*MIN(1,11/3)*$F$3</f>
        <v>16.5</v>
      </c>
      <c r="N38" s="6" t="n">
        <f aca="false">INDEX(Assumptions!$C$194:$E$194,$D$3)*N10*MIN(1,12/3)*$F$3</f>
        <v>21</v>
      </c>
      <c r="O38" s="39" t="n">
        <f aca="false">SUM(C38:N38)</f>
        <v>160</v>
      </c>
      <c r="P38" s="2"/>
    </row>
    <row r="39" customFormat="false" ht="15" hidden="false" customHeight="false" outlineLevel="0" collapsed="false">
      <c r="A39" s="28" t="s">
        <v>1145</v>
      </c>
      <c r="C39" s="6" t="n">
        <f aca="false">C19*INDEX(Assumptions!$C$31:$E$31,$B$3)/(INDEX(Assumptions!$C$56:$E$56,$B$3)*INDEX(Assumptions!$C$57:$E$57,$B$3)*INDEX(Assumptions!$C$58:$E$58,$B$3))</f>
        <v>1.09651031894934</v>
      </c>
      <c r="D39" s="6" t="n">
        <f aca="false">D19*INDEX(Assumptions!$C$31:$E$31,$B$3)/(INDEX(Assumptions!$C$56:$E$56,$B$3)*INDEX(Assumptions!$C$57:$E$57,$B$3)*INDEX(Assumptions!$C$58:$E$58,$B$3))</f>
        <v>2.02890478424015</v>
      </c>
      <c r="E39" s="6" t="n">
        <f aca="false">E19*INDEX(Assumptions!$C$31:$E$31,$B$3)/(INDEX(Assumptions!$C$56:$E$56,$B$3)*INDEX(Assumptions!$C$57:$E$57,$B$3)*INDEX(Assumptions!$C$58:$E$58,$B$3))</f>
        <v>3.28330206378987</v>
      </c>
      <c r="F39" s="6" t="n">
        <f aca="false">F19*INDEX(Assumptions!$C$31:$E$31,$B$3)/(INDEX(Assumptions!$C$56:$E$56,$B$3)*INDEX(Assumptions!$C$57:$E$57,$B$3)*INDEX(Assumptions!$C$58:$E$58,$B$3))</f>
        <v>4.57786116322702</v>
      </c>
      <c r="G39" s="6" t="n">
        <f aca="false">G19*INDEX(Assumptions!$C$31:$E$31,$B$3)/(INDEX(Assumptions!$C$56:$E$56,$B$3)*INDEX(Assumptions!$C$57:$E$57,$B$3)*INDEX(Assumptions!$C$58:$E$58,$B$3))</f>
        <v>6.33208255159475</v>
      </c>
      <c r="H39" s="6" t="n">
        <f aca="false">H19*INDEX(Assumptions!$C$31:$E$31,$B$3)/(INDEX(Assumptions!$C$56:$E$56,$B$3)*INDEX(Assumptions!$C$57:$E$57,$B$3)*INDEX(Assumptions!$C$58:$E$58,$B$3))</f>
        <v>8.20825515947467</v>
      </c>
      <c r="I39" s="6" t="n">
        <f aca="false">I19*INDEX(Assumptions!$C$31:$E$31,$B$3)/(INDEX(Assumptions!$C$56:$E$56,$B$3)*INDEX(Assumptions!$C$57:$E$57,$B$3)*INDEX(Assumptions!$C$58:$E$58,$B$3))</f>
        <v>12.1951219512195</v>
      </c>
      <c r="J39" s="6" t="n">
        <f aca="false">J19*INDEX(Assumptions!$C$31:$E$31,$B$3)/(INDEX(Assumptions!$C$56:$E$56,$B$3)*INDEX(Assumptions!$C$57:$E$57,$B$3)*INDEX(Assumptions!$C$58:$E$58,$B$3))</f>
        <v>12.6641651031895</v>
      </c>
      <c r="K39" s="6" t="n">
        <f aca="false">K19*INDEX(Assumptions!$C$31:$E$31,$B$3)/(INDEX(Assumptions!$C$56:$E$56,$B$3)*INDEX(Assumptions!$C$57:$E$57,$B$3)*INDEX(Assumptions!$C$58:$E$58,$B$3))</f>
        <v>11.7260787992495</v>
      </c>
      <c r="L39" s="6" t="n">
        <f aca="false">L19*INDEX(Assumptions!$C$31:$E$31,$B$3)/(INDEX(Assumptions!$C$56:$E$56,$B$3)*INDEX(Assumptions!$C$57:$E$57,$B$3)*INDEX(Assumptions!$C$58:$E$58,$B$3))</f>
        <v>10.3189493433396</v>
      </c>
      <c r="M39" s="6" t="n">
        <f aca="false">M19*INDEX(Assumptions!$C$31:$E$31,$B$3)/(INDEX(Assumptions!$C$56:$E$56,$B$3)*INDEX(Assumptions!$C$57:$E$57,$B$3)*INDEX(Assumptions!$C$58:$E$58,$B$3))</f>
        <v>9.84990619136961</v>
      </c>
      <c r="N39" s="6" t="n">
        <f aca="false">N19*INDEX(Assumptions!$C$31:$E$31,$B$3)/(INDEX(Assumptions!$C$56:$E$56,$B$3)*INDEX(Assumptions!$C$57:$E$57,$B$3)*INDEX(Assumptions!$C$58:$E$58,$B$3))</f>
        <v>9.38086303939962</v>
      </c>
      <c r="O39" s="39" t="n">
        <f aca="false">SUM(C39:N39)</f>
        <v>91.6620004690432</v>
      </c>
      <c r="P39" s="2"/>
    </row>
    <row r="40" customFormat="false" ht="15" hidden="false" customHeight="false" outlineLevel="0" collapsed="false">
      <c r="A40" s="28" t="s">
        <v>1146</v>
      </c>
      <c r="C40" s="27" t="n">
        <f aca="false">IF(1&gt;=INDEX(Assumptions!$C$191:$E$191,$D$3),MAX(INDEX(Assumptions!$C$86:$E$86,$D$3),0.5),0)</f>
        <v>0</v>
      </c>
      <c r="D40" s="27" t="n">
        <f aca="false">IF(2&gt;=INDEX(Assumptions!$C$191:$E$191,$D$3),MAX(INDEX(Assumptions!$C$86:$E$86,$D$3),0.5),0)</f>
        <v>0</v>
      </c>
      <c r="E40" s="27" t="n">
        <f aca="false">IF(3&gt;=INDEX(Assumptions!$C$191:$E$191,$D$3),MAX(INDEX(Assumptions!$C$86:$E$86,$D$3),0.5),0)</f>
        <v>0</v>
      </c>
      <c r="F40" s="27" t="n">
        <f aca="false">IF(4&gt;=INDEX(Assumptions!$C$191:$E$191,$D$3),MAX(INDEX(Assumptions!$C$86:$E$86,$D$3),0.5),0)</f>
        <v>0</v>
      </c>
      <c r="G40" s="27" t="n">
        <f aca="false">IF(5&gt;=INDEX(Assumptions!$C$191:$E$191,$D$3),MAX(INDEX(Assumptions!$C$86:$E$86,$D$3),0.5),0)</f>
        <v>0</v>
      </c>
      <c r="H40" s="27" t="n">
        <f aca="false">IF(6&gt;=INDEX(Assumptions!$C$191:$E$191,$D$3),MAX(INDEX(Assumptions!$C$86:$E$86,$D$3),0.5),0)</f>
        <v>0</v>
      </c>
      <c r="I40" s="27" t="n">
        <f aca="false">IF(7&gt;=INDEX(Assumptions!$C$191:$E$191,$D$3),MAX(INDEX(Assumptions!$C$86:$E$86,$D$3),0.5),0)</f>
        <v>0</v>
      </c>
      <c r="J40" s="27" t="n">
        <f aca="false">IF(8&gt;=INDEX(Assumptions!$C$191:$E$191,$D$3),MAX(INDEX(Assumptions!$C$86:$E$86,$D$3),0.5),0)</f>
        <v>0</v>
      </c>
      <c r="K40" s="27" t="n">
        <f aca="false">IF(9&gt;=INDEX(Assumptions!$C$191:$E$191,$D$3),MAX(INDEX(Assumptions!$C$86:$E$86,$D$3),0.5),0)</f>
        <v>0.5</v>
      </c>
      <c r="L40" s="27" t="n">
        <f aca="false">IF(10&gt;=INDEX(Assumptions!$C$191:$E$191,$D$3),MAX(INDEX(Assumptions!$C$86:$E$86,$D$3),0.5),0)</f>
        <v>0.5</v>
      </c>
      <c r="M40" s="27" t="n">
        <f aca="false">IF(11&gt;=INDEX(Assumptions!$C$191:$E$191,$D$3),MAX(INDEX(Assumptions!$C$86:$E$86,$D$3),0.5),0)</f>
        <v>0.5</v>
      </c>
      <c r="N40" s="27" t="n">
        <f aca="false">IF(12&gt;=INDEX(Assumptions!$C$191:$E$191,$D$3),MAX(INDEX(Assumptions!$C$86:$E$86,$D$3),0.5),0)</f>
        <v>0.5</v>
      </c>
      <c r="O40" s="35" t="n">
        <f aca="false">SUM(C40:N40)</f>
        <v>2</v>
      </c>
      <c r="P40" s="2"/>
    </row>
    <row r="41" customFormat="false" ht="15" hidden="false" customHeight="false" outlineLevel="0" collapsed="false">
      <c r="A41" s="28" t="s">
        <v>1147</v>
      </c>
      <c r="C41" s="6" t="n">
        <f aca="false">C40*INDEX(Assumptions!$C$82:$E$82,$B$3)*$F$3</f>
        <v>0</v>
      </c>
      <c r="D41" s="6" t="n">
        <f aca="false">D40*INDEX(Assumptions!$C$82:$E$82,$B$3)*$F$3</f>
        <v>0</v>
      </c>
      <c r="E41" s="6" t="n">
        <f aca="false">E40*INDEX(Assumptions!$C$82:$E$82,$B$3)*$F$3</f>
        <v>0</v>
      </c>
      <c r="F41" s="6" t="n">
        <f aca="false">F40*INDEX(Assumptions!$C$82:$E$82,$B$3)*$F$3</f>
        <v>0</v>
      </c>
      <c r="G41" s="6" t="n">
        <f aca="false">G40*INDEX(Assumptions!$C$82:$E$82,$B$3)*$F$3</f>
        <v>0</v>
      </c>
      <c r="H41" s="6" t="n">
        <f aca="false">H40*INDEX(Assumptions!$C$82:$E$82,$B$3)*$F$3</f>
        <v>0</v>
      </c>
      <c r="I41" s="6" t="n">
        <f aca="false">I40*INDEX(Assumptions!$C$82:$E$82,$B$3)*$F$3</f>
        <v>0</v>
      </c>
      <c r="J41" s="6" t="n">
        <f aca="false">J40*INDEX(Assumptions!$C$82:$E$82,$B$3)*$F$3</f>
        <v>0</v>
      </c>
      <c r="K41" s="6" t="n">
        <f aca="false">K40*INDEX(Assumptions!$C$82:$E$82,$B$3)*$F$3</f>
        <v>16</v>
      </c>
      <c r="L41" s="6" t="n">
        <f aca="false">L40*INDEX(Assumptions!$C$82:$E$82,$B$3)*$F$3</f>
        <v>16</v>
      </c>
      <c r="M41" s="6" t="n">
        <f aca="false">M40*INDEX(Assumptions!$C$82:$E$82,$B$3)*$F$3</f>
        <v>16</v>
      </c>
      <c r="N41" s="6" t="n">
        <f aca="false">N40*INDEX(Assumptions!$C$82:$E$82,$B$3)*$F$3</f>
        <v>16</v>
      </c>
      <c r="O41" s="39" t="n">
        <f aca="false">SUM(C41:N41)</f>
        <v>64</v>
      </c>
      <c r="P41" s="2"/>
    </row>
    <row r="42" customFormat="false" ht="15" hidden="false" customHeight="false" outlineLevel="0" collapsed="false">
      <c r="A42" s="28" t="s">
        <v>1148</v>
      </c>
      <c r="C42" s="27" t="n">
        <f aca="false">C37*0.7*INDEX(Assumptions!$C$73:$E$73,$B$3)</f>
        <v>0</v>
      </c>
      <c r="D42" s="27" t="n">
        <f aca="false">D37*0.7*INDEX(Assumptions!$C$73:$E$73,$B$3)</f>
        <v>0</v>
      </c>
      <c r="E42" s="27" t="n">
        <f aca="false">E37*0.7*INDEX(Assumptions!$C$73:$E$73,$B$3)</f>
        <v>0.238</v>
      </c>
      <c r="F42" s="27" t="n">
        <f aca="false">F37*0.7*INDEX(Assumptions!$C$73:$E$73,$B$3)</f>
        <v>0.476</v>
      </c>
      <c r="G42" s="27" t="n">
        <f aca="false">G37*0.7*INDEX(Assumptions!$C$73:$E$73,$B$3)</f>
        <v>0.714</v>
      </c>
      <c r="H42" s="27" t="n">
        <f aca="false">H37*0.7*INDEX(Assumptions!$C$73:$E$73,$B$3)</f>
        <v>0.952</v>
      </c>
      <c r="I42" s="27" t="n">
        <f aca="false">I37*0.7*INDEX(Assumptions!$C$73:$E$73,$B$3)</f>
        <v>1.19</v>
      </c>
      <c r="J42" s="27" t="n">
        <f aca="false">J37*0.7*INDEX(Assumptions!$C$73:$E$73,$B$3)</f>
        <v>1.428</v>
      </c>
      <c r="K42" s="27" t="n">
        <f aca="false">K37*0.7*INDEX(Assumptions!$C$73:$E$73,$B$3)</f>
        <v>1.428</v>
      </c>
      <c r="L42" s="27" t="n">
        <f aca="false">L37*0.7*INDEX(Assumptions!$C$73:$E$73,$B$3)</f>
        <v>1.428</v>
      </c>
      <c r="M42" s="27" t="n">
        <f aca="false">M37*0.7*INDEX(Assumptions!$C$73:$E$73,$B$3)</f>
        <v>1.428</v>
      </c>
      <c r="N42" s="27" t="n">
        <f aca="false">N37*0.7*INDEX(Assumptions!$C$73:$E$73,$B$3)</f>
        <v>1.428</v>
      </c>
      <c r="O42" s="35" t="n">
        <f aca="false">SUM(C42:N42)</f>
        <v>10.71</v>
      </c>
      <c r="P42" s="2"/>
    </row>
    <row r="43" customFormat="false" ht="15" hidden="false" customHeight="false" outlineLevel="0" collapsed="false">
      <c r="A43" s="10" t="s">
        <v>1149</v>
      </c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</row>
    <row r="44" customFormat="false" ht="15" hidden="false" customHeight="false" outlineLevel="0" collapsed="false">
      <c r="A44" s="28" t="s">
        <v>1150</v>
      </c>
      <c r="C44" s="8" t="n">
        <f aca="false">IF(1&gt;=INDEX(Assumptions!$C$105:$E$105,$B$3),INDEX(Assumptions!$C$20:$E$20,$B$3),INDEX(Assumptions!$C$10:$E$10,$B$3))*$H$3</f>
        <v>60000</v>
      </c>
      <c r="D44" s="8" t="n">
        <f aca="false">IF(2&gt;=INDEX(Assumptions!$C$105:$E$105,$B$3),INDEX(Assumptions!$C$20:$E$20,$B$3),INDEX(Assumptions!$C$10:$E$10,$B$3))*$H$3</f>
        <v>60000</v>
      </c>
      <c r="E44" s="8" t="n">
        <f aca="false">IF(3&gt;=INDEX(Assumptions!$C$105:$E$105,$B$3),INDEX(Assumptions!$C$20:$E$20,$B$3),INDEX(Assumptions!$C$10:$E$10,$B$3))*$H$3</f>
        <v>60000</v>
      </c>
      <c r="F44" s="8" t="n">
        <f aca="false">IF(4&gt;=INDEX(Assumptions!$C$105:$E$105,$B$3),INDEX(Assumptions!$C$20:$E$20,$B$3),INDEX(Assumptions!$C$10:$E$10,$B$3))*$H$3</f>
        <v>60000</v>
      </c>
      <c r="G44" s="8" t="n">
        <f aca="false">IF(5&gt;=INDEX(Assumptions!$C$105:$E$105,$B$3),INDEX(Assumptions!$C$20:$E$20,$B$3),INDEX(Assumptions!$C$10:$E$10,$B$3))*$H$3</f>
        <v>60000</v>
      </c>
      <c r="H44" s="8" t="n">
        <f aca="false">IF(6&gt;=INDEX(Assumptions!$C$105:$E$105,$B$3),INDEX(Assumptions!$C$20:$E$20,$B$3),INDEX(Assumptions!$C$10:$E$10,$B$3))*$H$3</f>
        <v>60000</v>
      </c>
      <c r="I44" s="8" t="n">
        <f aca="false">IF(7&gt;=INDEX(Assumptions!$C$105:$E$105,$B$3),INDEX(Assumptions!$C$20:$E$20,$B$3),INDEX(Assumptions!$C$10:$E$10,$B$3))*$H$3</f>
        <v>80000</v>
      </c>
      <c r="J44" s="8" t="n">
        <f aca="false">IF(8&gt;=INDEX(Assumptions!$C$105:$E$105,$B$3),INDEX(Assumptions!$C$20:$E$20,$B$3),INDEX(Assumptions!$C$10:$E$10,$B$3))*$H$3</f>
        <v>80000</v>
      </c>
      <c r="K44" s="8" t="n">
        <f aca="false">IF(9&gt;=INDEX(Assumptions!$C$105:$E$105,$B$3),INDEX(Assumptions!$C$20:$E$20,$B$3),INDEX(Assumptions!$C$10:$E$10,$B$3))*$H$3</f>
        <v>80000</v>
      </c>
      <c r="L44" s="8" t="n">
        <f aca="false">IF(10&gt;=INDEX(Assumptions!$C$105:$E$105,$B$3),INDEX(Assumptions!$C$20:$E$20,$B$3),INDEX(Assumptions!$C$10:$E$10,$B$3))*$H$3</f>
        <v>80000</v>
      </c>
      <c r="M44" s="8" t="n">
        <f aca="false">IF(11&gt;=INDEX(Assumptions!$C$105:$E$105,$B$3),INDEX(Assumptions!$C$20:$E$20,$B$3),INDEX(Assumptions!$C$10:$E$10,$B$3))*$H$3</f>
        <v>80000</v>
      </c>
      <c r="N44" s="8" t="n">
        <f aca="false">IF(12&gt;=INDEX(Assumptions!$C$105:$E$105,$B$3),INDEX(Assumptions!$C$20:$E$20,$B$3),INDEX(Assumptions!$C$10:$E$10,$B$3))*$H$3</f>
        <v>80000</v>
      </c>
      <c r="O44" s="37" t="n">
        <f aca="false">AVERAGE(C44:N44)</f>
        <v>70000</v>
      </c>
      <c r="P44" s="2"/>
    </row>
    <row r="45" customFormat="false" ht="15" hidden="false" customHeight="false" outlineLevel="0" collapsed="false">
      <c r="A45" s="28" t="s">
        <v>1151</v>
      </c>
      <c r="C45" s="8" t="n">
        <f aca="false">IF(1&gt;=INDEX(Assumptions!$C$105:$E$105,$B$3),0,1)</f>
        <v>1</v>
      </c>
      <c r="D45" s="8" t="n">
        <f aca="false">IF(2&gt;=INDEX(Assumptions!$C$105:$E$105,$B$3),0,1)</f>
        <v>1</v>
      </c>
      <c r="E45" s="8" t="n">
        <f aca="false">IF(3&gt;=INDEX(Assumptions!$C$105:$E$105,$B$3),0,1)</f>
        <v>1</v>
      </c>
      <c r="F45" s="8" t="n">
        <f aca="false">IF(4&gt;=INDEX(Assumptions!$C$105:$E$105,$B$3),0,1)</f>
        <v>1</v>
      </c>
      <c r="G45" s="8" t="n">
        <f aca="false">IF(5&gt;=INDEX(Assumptions!$C$105:$E$105,$B$3),0,1)</f>
        <v>1</v>
      </c>
      <c r="H45" s="8" t="n">
        <f aca="false">IF(6&gt;=INDEX(Assumptions!$C$105:$E$105,$B$3),0,1)</f>
        <v>1</v>
      </c>
      <c r="I45" s="8" t="n">
        <f aca="false">IF(7&gt;=INDEX(Assumptions!$C$105:$E$105,$B$3),0,1)</f>
        <v>0</v>
      </c>
      <c r="J45" s="8" t="n">
        <f aca="false">IF(8&gt;=INDEX(Assumptions!$C$105:$E$105,$B$3),0,1)</f>
        <v>0</v>
      </c>
      <c r="K45" s="8" t="n">
        <f aca="false">IF(9&gt;=INDEX(Assumptions!$C$105:$E$105,$B$3),0,1)</f>
        <v>0</v>
      </c>
      <c r="L45" s="8" t="n">
        <f aca="false">IF(10&gt;=INDEX(Assumptions!$C$105:$E$105,$B$3),0,1)</f>
        <v>0</v>
      </c>
      <c r="M45" s="8" t="n">
        <f aca="false">IF(11&gt;=INDEX(Assumptions!$C$105:$E$105,$B$3),0,1)</f>
        <v>0</v>
      </c>
      <c r="N45" s="8" t="n">
        <f aca="false">IF(12&gt;=INDEX(Assumptions!$C$105:$E$105,$B$3),0,1)</f>
        <v>0</v>
      </c>
      <c r="O45" s="37" t="n">
        <f aca="false">N45</f>
        <v>0</v>
      </c>
      <c r="P45" s="2"/>
    </row>
    <row r="46" customFormat="false" ht="15" hidden="false" customHeight="false" outlineLevel="0" collapsed="false">
      <c r="A46" s="10" t="s">
        <v>1152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</row>
    <row r="47" customFormat="false" ht="15" hidden="false" customHeight="false" outlineLevel="0" collapsed="false">
      <c r="A47" s="28" t="s">
        <v>1153</v>
      </c>
      <c r="C47" s="8" t="n">
        <f aca="false">C27*C44/(1+INDEX(Assumptions!$C$15:$E$15,$B$3)*$H$4)</f>
        <v>42079.68</v>
      </c>
      <c r="D47" s="8" t="n">
        <f aca="false">D27*D44/(1+INDEX(Assumptions!$C$15:$E$15,$B$3)*$H$4)</f>
        <v>77861.25</v>
      </c>
      <c r="E47" s="8" t="n">
        <f aca="false">E27*E44/(1+INDEX(Assumptions!$C$15:$E$15,$B$3)*$H$4)</f>
        <v>126000</v>
      </c>
      <c r="F47" s="8" t="n">
        <f aca="false">F27*F44/(1+INDEX(Assumptions!$C$15:$E$15,$B$3)*$H$4)</f>
        <v>175680</v>
      </c>
      <c r="G47" s="8" t="n">
        <f aca="false">G27*G44/(1+INDEX(Assumptions!$C$15:$E$15,$B$3)*$H$4)</f>
        <v>243000</v>
      </c>
      <c r="H47" s="8" t="n">
        <f aca="false">H27*H44/(1+INDEX(Assumptions!$C$15:$E$15,$B$3)*$H$4)</f>
        <v>211419.037656904</v>
      </c>
      <c r="I47" s="8" t="n">
        <f aca="false">I27*I44/(1+INDEX(Assumptions!$C$15:$E$15,$B$3)*$H$4)</f>
        <v>624000</v>
      </c>
      <c r="J47" s="8" t="n">
        <f aca="false">J27*J44/(1+INDEX(Assumptions!$C$15:$E$15,$B$3)*$H$4)</f>
        <v>620805.096267649</v>
      </c>
      <c r="K47" s="8" t="n">
        <f aca="false">K27*K44/(1+INDEX(Assumptions!$C$15:$E$15,$B$3)*$H$4)</f>
        <v>394563.065990233</v>
      </c>
      <c r="L47" s="8" t="n">
        <f aca="false">L27*L44/(1+INDEX(Assumptions!$C$15:$E$15,$B$3)*$H$4)</f>
        <v>376640.53751013</v>
      </c>
      <c r="M47" s="8" t="n">
        <f aca="false">M27*M44/(1+INDEX(Assumptions!$C$15:$E$15,$B$3)*$H$4)</f>
        <v>378000</v>
      </c>
      <c r="N47" s="8" t="n">
        <f aca="false">N27*N44/(1+INDEX(Assumptions!$C$15:$E$15,$B$3)*$H$4)</f>
        <v>360000</v>
      </c>
      <c r="O47" s="37" t="n">
        <f aca="false">SUM(C47:N47)</f>
        <v>3630048.66742492</v>
      </c>
      <c r="P47" s="2"/>
    </row>
    <row r="48" customFormat="false" ht="15" hidden="false" customHeight="false" outlineLevel="0" collapsed="false">
      <c r="A48" s="28" t="s">
        <v>1154</v>
      </c>
      <c r="C48" s="8" t="n">
        <f aca="false">C28*C44/(1+INDEX(Assumptions!$C$15:$E$15,$B$3)*$H$4)</f>
        <v>0</v>
      </c>
      <c r="D48" s="8" t="n">
        <f aca="false">D28*D44/(1+INDEX(Assumptions!$C$15:$E$15,$B$3)*$H$4)</f>
        <v>0</v>
      </c>
      <c r="E48" s="8" t="n">
        <f aca="false">E28*E44/(1+INDEX(Assumptions!$C$15:$E$15,$B$3)*$H$4)</f>
        <v>0</v>
      </c>
      <c r="F48" s="8" t="n">
        <f aca="false">F28*F44/(1+INDEX(Assumptions!$C$15:$E$15,$B$3)*$H$4)</f>
        <v>0</v>
      </c>
      <c r="G48" s="8" t="n">
        <f aca="false">G28*G44/(1+INDEX(Assumptions!$C$15:$E$15,$B$3)*$H$4)</f>
        <v>0</v>
      </c>
      <c r="H48" s="8" t="n">
        <f aca="false">H28*H44/(1+INDEX(Assumptions!$C$15:$E$15,$B$3)*$H$4)</f>
        <v>0</v>
      </c>
      <c r="I48" s="8" t="n">
        <f aca="false">I28*I44/(1+INDEX(Assumptions!$C$15:$E$15,$B$3)*$H$4)</f>
        <v>0</v>
      </c>
      <c r="J48" s="8" t="n">
        <f aca="false">J28*J44/(1+INDEX(Assumptions!$C$15:$E$15,$B$3)*$H$4)</f>
        <v>0</v>
      </c>
      <c r="K48" s="8" t="n">
        <f aca="false">K28*K44/(1+INDEX(Assumptions!$C$15:$E$15,$B$3)*$H$4)</f>
        <v>0</v>
      </c>
      <c r="L48" s="8" t="n">
        <f aca="false">L28*L44/(1+INDEX(Assumptions!$C$15:$E$15,$B$3)*$H$4)</f>
        <v>125546.84583671</v>
      </c>
      <c r="M48" s="8" t="n">
        <f aca="false">M28*M44/(1+INDEX(Assumptions!$C$15:$E$15,$B$3)*$H$4)</f>
        <v>126000</v>
      </c>
      <c r="N48" s="8" t="n">
        <f aca="false">N28*N44/(1+INDEX(Assumptions!$C$15:$E$15,$B$3)*$H$4)</f>
        <v>120000</v>
      </c>
      <c r="O48" s="37" t="n">
        <f aca="false">SUM(C48:N48)</f>
        <v>371546.84583671</v>
      </c>
      <c r="P48" s="2"/>
    </row>
    <row r="49" customFormat="false" ht="15" hidden="false" customHeight="false" outlineLevel="0" collapsed="false">
      <c r="A49" s="28" t="s">
        <v>1155</v>
      </c>
      <c r="C49" s="8" t="n">
        <f aca="false">C30*MAX(0,C44-INDEX(Assumptions!$C$18:$E$18,$B$3)*$H$3)/(1+INDEX(Assumptions!$C$15:$E$15,$B$3)*$H$4)</f>
        <v>0</v>
      </c>
      <c r="D49" s="8" t="n">
        <f aca="false">D30*MAX(0,D44-INDEX(Assumptions!$C$18:$E$18,$B$3)*$H$3)/(1+INDEX(Assumptions!$C$15:$E$15,$B$3)*$H$4)</f>
        <v>2819.33856</v>
      </c>
      <c r="E49" s="8" t="n">
        <f aca="false">E30*MAX(0,E44-INDEX(Assumptions!$C$18:$E$18,$B$3)*$H$3)/(1+INDEX(Assumptions!$C$15:$E$15,$B$3)*$H$4)</f>
        <v>5216.70375</v>
      </c>
      <c r="F49" s="8" t="n">
        <f aca="false">F30*MAX(0,F44-INDEX(Assumptions!$C$18:$E$18,$B$3)*$H$3)/(1+INDEX(Assumptions!$C$15:$E$15,$B$3)*$H$4)</f>
        <v>8442</v>
      </c>
      <c r="G49" s="8" t="n">
        <f aca="false">G30*MAX(0,G44-INDEX(Assumptions!$C$18:$E$18,$B$3)*$H$3)/(1+INDEX(Assumptions!$C$15:$E$15,$B$3)*$H$4)</f>
        <v>11770.56</v>
      </c>
      <c r="H49" s="8" t="n">
        <f aca="false">H30*MAX(0,H44-INDEX(Assumptions!$C$18:$E$18,$B$3)*$H$3)/(1+INDEX(Assumptions!$C$15:$E$15,$B$3)*$H$4)</f>
        <v>10927.3439748954</v>
      </c>
      <c r="I49" s="8" t="n">
        <f aca="false">I30*MAX(0,I44-INDEX(Assumptions!$C$18:$E$18,$B$3)*$H$3)/(1+INDEX(Assumptions!$C$15:$E$15,$B$3)*$H$4)</f>
        <v>28259.6780334728</v>
      </c>
      <c r="J49" s="8" t="n">
        <f aca="false">J30*MAX(0,J44-INDEX(Assumptions!$C$18:$E$18,$B$3)*$H$3)/(1+INDEX(Assumptions!$C$15:$E$15,$B$3)*$H$4)</f>
        <v>59930.6845711714</v>
      </c>
      <c r="K49" s="8" t="n">
        <f aca="false">K30*MAX(0,K44-INDEX(Assumptions!$C$18:$E$18,$B$3)*$H$3)/(1+INDEX(Assumptions!$C$15:$E$15,$B$3)*$H$4)</f>
        <v>40926.5215118566</v>
      </c>
      <c r="L49" s="8" t="n">
        <f aca="false">L30*MAX(0,L44-INDEX(Assumptions!$C$18:$E$18,$B$3)*$H$3)/(1+INDEX(Assumptions!$C$15:$E$15,$B$3)*$H$4)</f>
        <v>37621.2036286229</v>
      </c>
      <c r="M49" s="8" t="n">
        <f aca="false">M30*MAX(0,M44-INDEX(Assumptions!$C$18:$E$18,$B$3)*$H$3)/(1+INDEX(Assumptions!$C$15:$E$15,$B$3)*$H$4)</f>
        <v>50344.2851805208</v>
      </c>
      <c r="N49" s="8" t="n">
        <f aca="false">N30*MAX(0,N44-INDEX(Assumptions!$C$18:$E$18,$B$3)*$H$3)/(1+INDEX(Assumptions!$C$15:$E$15,$B$3)*$H$4)</f>
        <v>50526</v>
      </c>
      <c r="O49" s="37" t="n">
        <f aca="false">SUM(C49:N49)</f>
        <v>306784.31921054</v>
      </c>
      <c r="P49" s="2"/>
    </row>
    <row r="50" customFormat="false" ht="15" hidden="false" customHeight="false" outlineLevel="0" collapsed="false">
      <c r="A50" s="28" t="s">
        <v>740</v>
      </c>
      <c r="C50" s="8" t="n">
        <f aca="false">C29*INDEX(Assumptions!$C$18:$E$18,$B$3)*$H$3/(1+INDEX(Assumptions!$C$15:$E$15,$B$3)*$H$4)</f>
        <v>18655.3248</v>
      </c>
      <c r="D50" s="8" t="n">
        <f aca="false">D29*INDEX(Assumptions!$C$18:$E$18,$B$3)*$H$3/(1+INDEX(Assumptions!$C$15:$E$15,$B$3)*$H$4)</f>
        <v>34518.4875</v>
      </c>
      <c r="E50" s="8" t="n">
        <f aca="false">E29*INDEX(Assumptions!$C$18:$E$18,$B$3)*$H$3/(1+INDEX(Assumptions!$C$15:$E$15,$B$3)*$H$4)</f>
        <v>55860</v>
      </c>
      <c r="F50" s="8" t="n">
        <f aca="false">F29*INDEX(Assumptions!$C$18:$E$18,$B$3)*$H$3/(1+INDEX(Assumptions!$C$15:$E$15,$B$3)*$H$4)</f>
        <v>77884.8</v>
      </c>
      <c r="G50" s="8" t="n">
        <f aca="false">G29*INDEX(Assumptions!$C$18:$E$18,$B$3)*$H$3/(1+INDEX(Assumptions!$C$15:$E$15,$B$3)*$H$4)</f>
        <v>107730</v>
      </c>
      <c r="H50" s="8" t="n">
        <f aca="false">H29*INDEX(Assumptions!$C$18:$E$18,$B$3)*$H$3/(1+INDEX(Assumptions!$C$15:$E$15,$B$3)*$H$4)</f>
        <v>93729.1066945607</v>
      </c>
      <c r="I50" s="8" t="n">
        <f aca="false">I29*INDEX(Assumptions!$C$18:$E$18,$B$3)*$H$3/(1+INDEX(Assumptions!$C$15:$E$15,$B$3)*$H$4)</f>
        <v>207480</v>
      </c>
      <c r="J50" s="8" t="n">
        <f aca="false">J29*INDEX(Assumptions!$C$18:$E$18,$B$3)*$H$3/(1+INDEX(Assumptions!$C$15:$E$15,$B$3)*$H$4)</f>
        <v>206417.694508993</v>
      </c>
      <c r="K50" s="8" t="n">
        <f aca="false">K29*INDEX(Assumptions!$C$18:$E$18,$B$3)*$H$3/(1+INDEX(Assumptions!$C$15:$E$15,$B$3)*$H$4)</f>
        <v>131192.219441752</v>
      </c>
      <c r="L50" s="8" t="n">
        <f aca="false">L29*INDEX(Assumptions!$C$18:$E$18,$B$3)*$H$3/(1+INDEX(Assumptions!$C$15:$E$15,$B$3)*$H$4)</f>
        <v>166977.304962825</v>
      </c>
      <c r="M50" s="8" t="n">
        <f aca="false">M29*INDEX(Assumptions!$C$18:$E$18,$B$3)*$H$3/(1+INDEX(Assumptions!$C$15:$E$15,$B$3)*$H$4)</f>
        <v>167580</v>
      </c>
      <c r="N50" s="8" t="n">
        <f aca="false">N29*INDEX(Assumptions!$C$18:$E$18,$B$3)*$H$3/(1+INDEX(Assumptions!$C$15:$E$15,$B$3)*$H$4)</f>
        <v>159600</v>
      </c>
      <c r="O50" s="37" t="n">
        <f aca="false">SUM(C50:N50)</f>
        <v>1427624.93790813</v>
      </c>
      <c r="P50" s="2"/>
    </row>
    <row r="51" customFormat="false" ht="15" hidden="false" customHeight="false" outlineLevel="0" collapsed="false">
      <c r="A51" s="28" t="s">
        <v>1156</v>
      </c>
      <c r="C51" s="8" t="n">
        <f aca="false">C39*(1-INDEX(Assumptions!$C$56:$E$56,$B$3)*INDEX(Assumptions!$C$57:$E$57,$B$3)*INDEX(Assumptions!$C$58:$E$58,$B$3))*INDEX(Assumptions!$C$17:$E$17,$B$3)/(1+INDEX(Assumptions!$C$15:$E$15,$B$3)*$H$4)</f>
        <v>978.642696630394</v>
      </c>
      <c r="D51" s="8" t="n">
        <f aca="false">D39*(1-INDEX(Assumptions!$C$56:$E$56,$B$3)*INDEX(Assumptions!$C$57:$E$57,$B$3)*INDEX(Assumptions!$C$58:$E$58,$B$3))*INDEX(Assumptions!$C$17:$E$17,$B$3)/(1+INDEX(Assumptions!$C$15:$E$15,$B$3)*$H$4)</f>
        <v>1810.81091070591</v>
      </c>
      <c r="E51" s="8" t="n">
        <f aca="false">E39*(1-INDEX(Assumptions!$C$56:$E$56,$B$3)*INDEX(Assumptions!$C$57:$E$57,$B$3)*INDEX(Assumptions!$C$58:$E$58,$B$3))*INDEX(Assumptions!$C$17:$E$17,$B$3)/(1+INDEX(Assumptions!$C$15:$E$15,$B$3)*$H$4)</f>
        <v>2930.36876172608</v>
      </c>
      <c r="F51" s="8" t="n">
        <f aca="false">F39*(1-INDEX(Assumptions!$C$56:$E$56,$B$3)*INDEX(Assumptions!$C$57:$E$57,$B$3)*INDEX(Assumptions!$C$58:$E$58,$B$3))*INDEX(Assumptions!$C$17:$E$17,$B$3)/(1+INDEX(Assumptions!$C$15:$E$15,$B$3)*$H$4)</f>
        <v>4085.77130206379</v>
      </c>
      <c r="G51" s="8" t="n">
        <f aca="false">G39*(1-INDEX(Assumptions!$C$56:$E$56,$B$3)*INDEX(Assumptions!$C$57:$E$57,$B$3)*INDEX(Assumptions!$C$58:$E$58,$B$3))*INDEX(Assumptions!$C$17:$E$17,$B$3)/(1+INDEX(Assumptions!$C$15:$E$15,$B$3)*$H$4)</f>
        <v>5651.42546904315</v>
      </c>
      <c r="H51" s="8" t="n">
        <f aca="false">H39*(1-INDEX(Assumptions!$C$56:$E$56,$B$3)*INDEX(Assumptions!$C$57:$E$57,$B$3)*INDEX(Assumptions!$C$58:$E$58,$B$3))*INDEX(Assumptions!$C$17:$E$17,$B$3)/(1+INDEX(Assumptions!$C$15:$E$15,$B$3)*$H$4)</f>
        <v>7325.9219043152</v>
      </c>
      <c r="I51" s="8" t="n">
        <f aca="false">I39*(1-INDEX(Assumptions!$C$56:$E$56,$B$3)*INDEX(Assumptions!$C$57:$E$57,$B$3)*INDEX(Assumptions!$C$58:$E$58,$B$3))*INDEX(Assumptions!$C$17:$E$17,$B$3)/(1+INDEX(Assumptions!$C$15:$E$15,$B$3)*$H$4)</f>
        <v>10884.2268292683</v>
      </c>
      <c r="J51" s="8" t="n">
        <f aca="false">J39*(1-INDEX(Assumptions!$C$56:$E$56,$B$3)*INDEX(Assumptions!$C$57:$E$57,$B$3)*INDEX(Assumptions!$C$58:$E$58,$B$3))*INDEX(Assumptions!$C$17:$E$17,$B$3)/(1+INDEX(Assumptions!$C$15:$E$15,$B$3)*$H$4)</f>
        <v>11302.8509380863</v>
      </c>
      <c r="K51" s="8" t="n">
        <f aca="false">K39*(1-INDEX(Assumptions!$C$56:$E$56,$B$3)*INDEX(Assumptions!$C$57:$E$57,$B$3)*INDEX(Assumptions!$C$58:$E$58,$B$3))*INDEX(Assumptions!$C$17:$E$17,$B$3)/(1+INDEX(Assumptions!$C$15:$E$15,$B$3)*$H$4)</f>
        <v>10465.6027204503</v>
      </c>
      <c r="L51" s="8" t="n">
        <f aca="false">L39*(1-INDEX(Assumptions!$C$56:$E$56,$B$3)*INDEX(Assumptions!$C$57:$E$57,$B$3)*INDEX(Assumptions!$C$58:$E$58,$B$3))*INDEX(Assumptions!$C$17:$E$17,$B$3)/(1+INDEX(Assumptions!$C$15:$E$15,$B$3)*$H$4)</f>
        <v>9209.73039399625</v>
      </c>
      <c r="M51" s="8" t="n">
        <f aca="false">M39*(1-INDEX(Assumptions!$C$56:$E$56,$B$3)*INDEX(Assumptions!$C$57:$E$57,$B$3)*INDEX(Assumptions!$C$58:$E$58,$B$3))*INDEX(Assumptions!$C$17:$E$17,$B$3)/(1+INDEX(Assumptions!$C$15:$E$15,$B$3)*$H$4)</f>
        <v>8791.10628517824</v>
      </c>
      <c r="N51" s="8" t="n">
        <f aca="false">N39*(1-INDEX(Assumptions!$C$56:$E$56,$B$3)*INDEX(Assumptions!$C$57:$E$57,$B$3)*INDEX(Assumptions!$C$58:$E$58,$B$3))*INDEX(Assumptions!$C$17:$E$17,$B$3)/(1+INDEX(Assumptions!$C$15:$E$15,$B$3)*$H$4)</f>
        <v>8372.48217636022</v>
      </c>
      <c r="O51" s="37" t="n">
        <f aca="false">SUM(C51:N51)</f>
        <v>81808.9403878241</v>
      </c>
      <c r="P51" s="2"/>
    </row>
    <row r="52" customFormat="false" ht="15" hidden="false" customHeight="false" outlineLevel="0" collapsed="false">
      <c r="A52" s="28" t="s">
        <v>1157</v>
      </c>
      <c r="C52" s="8" t="n">
        <f aca="false">C37*INDEX(Assumptions!$C$21:$E$21,$B$3)*$H$3/(1+INDEX(Assumptions!$C$15:$E$15,$B$3)*$H$4)</f>
        <v>0</v>
      </c>
      <c r="D52" s="8" t="n">
        <f aca="false">D37*INDEX(Assumptions!$C$21:$E$21,$B$3)*$H$3/(1+INDEX(Assumptions!$C$15:$E$15,$B$3)*$H$4)</f>
        <v>0</v>
      </c>
      <c r="E52" s="8" t="n">
        <f aca="false">E37*INDEX(Assumptions!$C$21:$E$21,$B$3)*$H$3/(1+INDEX(Assumptions!$C$15:$E$15,$B$3)*$H$4)</f>
        <v>34000</v>
      </c>
      <c r="F52" s="8" t="n">
        <f aca="false">F37*INDEX(Assumptions!$C$21:$E$21,$B$3)*$H$3/(1+INDEX(Assumptions!$C$15:$E$15,$B$3)*$H$4)</f>
        <v>68000</v>
      </c>
      <c r="G52" s="8" t="n">
        <f aca="false">G37*INDEX(Assumptions!$C$21:$E$21,$B$3)*$H$3/(1+INDEX(Assumptions!$C$15:$E$15,$B$3)*$H$4)</f>
        <v>102000</v>
      </c>
      <c r="H52" s="8" t="n">
        <f aca="false">H37*INDEX(Assumptions!$C$21:$E$21,$B$3)*$H$3/(1+INDEX(Assumptions!$C$15:$E$15,$B$3)*$H$4)</f>
        <v>136000</v>
      </c>
      <c r="I52" s="8" t="n">
        <f aca="false">I37*INDEX(Assumptions!$C$21:$E$21,$B$3)*$H$3/(1+INDEX(Assumptions!$C$15:$E$15,$B$3)*$H$4)</f>
        <v>170000</v>
      </c>
      <c r="J52" s="8" t="n">
        <f aca="false">J37*INDEX(Assumptions!$C$21:$E$21,$B$3)*$H$3/(1+INDEX(Assumptions!$C$15:$E$15,$B$3)*$H$4)</f>
        <v>204000</v>
      </c>
      <c r="K52" s="8" t="n">
        <f aca="false">K37*INDEX(Assumptions!$C$21:$E$21,$B$3)*$H$3/(1+INDEX(Assumptions!$C$15:$E$15,$B$3)*$H$4)</f>
        <v>204000</v>
      </c>
      <c r="L52" s="8" t="n">
        <f aca="false">L37*INDEX(Assumptions!$C$21:$E$21,$B$3)*$H$3/(1+INDEX(Assumptions!$C$15:$E$15,$B$3)*$H$4)</f>
        <v>204000</v>
      </c>
      <c r="M52" s="8" t="n">
        <f aca="false">M37*INDEX(Assumptions!$C$21:$E$21,$B$3)*$H$3/(1+INDEX(Assumptions!$C$15:$E$15,$B$3)*$H$4)</f>
        <v>204000</v>
      </c>
      <c r="N52" s="8" t="n">
        <f aca="false">N37*INDEX(Assumptions!$C$21:$E$21,$B$3)*$H$3/(1+INDEX(Assumptions!$C$15:$E$15,$B$3)*$H$4)</f>
        <v>204000</v>
      </c>
      <c r="O52" s="37" t="n">
        <f aca="false">SUM(C52:N52)</f>
        <v>1530000</v>
      </c>
      <c r="P52" s="2"/>
    </row>
    <row r="53" customFormat="false" ht="15" hidden="false" customHeight="false" outlineLevel="0" collapsed="false">
      <c r="A53" s="28" t="s">
        <v>1158</v>
      </c>
      <c r="C53" s="8" t="n">
        <f aca="false">C38*INDEX(Assumptions!$C$22:$E$22,$B$3)*$H$3/(1+INDEX(Assumptions!$C$15:$E$15,$B$3)*$H$4)</f>
        <v>34993</v>
      </c>
      <c r="D53" s="8" t="n">
        <f aca="false">D38*INDEX(Assumptions!$C$22:$E$22,$B$3)*$H$3/(1+INDEX(Assumptions!$C$15:$E$15,$B$3)*$H$4)</f>
        <v>59988</v>
      </c>
      <c r="E53" s="8" t="n">
        <f aca="false">E38*INDEX(Assumptions!$C$22:$E$22,$B$3)*$H$3/(1+INDEX(Assumptions!$C$15:$E$15,$B$3)*$H$4)</f>
        <v>89982</v>
      </c>
      <c r="F53" s="8" t="n">
        <f aca="false">F38*INDEX(Assumptions!$C$22:$E$22,$B$3)*$H$3/(1+INDEX(Assumptions!$C$15:$E$15,$B$3)*$H$4)</f>
        <v>97480.5</v>
      </c>
      <c r="G53" s="8" t="n">
        <f aca="false">G38*INDEX(Assumptions!$C$22:$E$22,$B$3)*$H$3/(1+INDEX(Assumptions!$C$15:$E$15,$B$3)*$H$4)</f>
        <v>67486.5</v>
      </c>
      <c r="H53" s="8" t="n">
        <f aca="false">H38*INDEX(Assumptions!$C$22:$E$22,$B$3)*$H$3/(1+INDEX(Assumptions!$C$15:$E$15,$B$3)*$H$4)</f>
        <v>59988</v>
      </c>
      <c r="I53" s="8" t="n">
        <f aca="false">I38*INDEX(Assumptions!$C$22:$E$22,$B$3)*$H$3/(1+INDEX(Assumptions!$C$15:$E$15,$B$3)*$H$4)</f>
        <v>52489.5</v>
      </c>
      <c r="J53" s="8" t="n">
        <f aca="false">J38*INDEX(Assumptions!$C$22:$E$22,$B$3)*$H$3/(1+INDEX(Assumptions!$C$15:$E$15,$B$3)*$H$4)</f>
        <v>44991</v>
      </c>
      <c r="K53" s="8" t="n">
        <f aca="false">K38*INDEX(Assumptions!$C$22:$E$22,$B$3)*$H$3/(1+INDEX(Assumptions!$C$15:$E$15,$B$3)*$H$4)</f>
        <v>44991</v>
      </c>
      <c r="L53" s="8" t="n">
        <f aca="false">L38*INDEX(Assumptions!$C$22:$E$22,$B$3)*$H$3/(1+INDEX(Assumptions!$C$15:$E$15,$B$3)*$H$4)</f>
        <v>59988</v>
      </c>
      <c r="M53" s="8" t="n">
        <f aca="false">M38*INDEX(Assumptions!$C$22:$E$22,$B$3)*$H$3/(1+INDEX(Assumptions!$C$15:$E$15,$B$3)*$H$4)</f>
        <v>82483.5</v>
      </c>
      <c r="N53" s="8" t="n">
        <f aca="false">N38*INDEX(Assumptions!$C$22:$E$22,$B$3)*$H$3/(1+INDEX(Assumptions!$C$15:$E$15,$B$3)*$H$4)</f>
        <v>104979</v>
      </c>
      <c r="O53" s="37" t="n">
        <f aca="false">SUM(C53:N53)</f>
        <v>799840</v>
      </c>
      <c r="P53" s="2"/>
    </row>
    <row r="54" customFormat="false" ht="15" hidden="false" customHeight="false" outlineLevel="0" collapsed="false">
      <c r="A54" s="28" t="s">
        <v>1159</v>
      </c>
      <c r="C54" s="8" t="n">
        <f aca="false">C41*INDEX(Assumptions!$C$83:$E$83,$B$3)/(1+INDEX(Assumptions!$C$15:$E$15,$B$3)*$H$4)</f>
        <v>0</v>
      </c>
      <c r="D54" s="8" t="n">
        <f aca="false">D41*INDEX(Assumptions!$C$83:$E$83,$B$3)/(1+INDEX(Assumptions!$C$15:$E$15,$B$3)*$H$4)</f>
        <v>0</v>
      </c>
      <c r="E54" s="8" t="n">
        <f aca="false">E41*INDEX(Assumptions!$C$83:$E$83,$B$3)/(1+INDEX(Assumptions!$C$15:$E$15,$B$3)*$H$4)</f>
        <v>0</v>
      </c>
      <c r="F54" s="8" t="n">
        <f aca="false">F41*INDEX(Assumptions!$C$83:$E$83,$B$3)/(1+INDEX(Assumptions!$C$15:$E$15,$B$3)*$H$4)</f>
        <v>0</v>
      </c>
      <c r="G54" s="8" t="n">
        <f aca="false">G41*INDEX(Assumptions!$C$83:$E$83,$B$3)/(1+INDEX(Assumptions!$C$15:$E$15,$B$3)*$H$4)</f>
        <v>0</v>
      </c>
      <c r="H54" s="8" t="n">
        <f aca="false">H41*INDEX(Assumptions!$C$83:$E$83,$B$3)/(1+INDEX(Assumptions!$C$15:$E$15,$B$3)*$H$4)</f>
        <v>0</v>
      </c>
      <c r="I54" s="8" t="n">
        <f aca="false">I41*INDEX(Assumptions!$C$83:$E$83,$B$3)/(1+INDEX(Assumptions!$C$15:$E$15,$B$3)*$H$4)</f>
        <v>0</v>
      </c>
      <c r="J54" s="8" t="n">
        <f aca="false">J41*INDEX(Assumptions!$C$83:$E$83,$B$3)/(1+INDEX(Assumptions!$C$15:$E$15,$B$3)*$H$4)</f>
        <v>0</v>
      </c>
      <c r="K54" s="8" t="n">
        <f aca="false">K41*INDEX(Assumptions!$C$83:$E$83,$B$3)/(1+INDEX(Assumptions!$C$15:$E$15,$B$3)*$H$4)</f>
        <v>23984</v>
      </c>
      <c r="L54" s="8" t="n">
        <f aca="false">L41*INDEX(Assumptions!$C$83:$E$83,$B$3)/(1+INDEX(Assumptions!$C$15:$E$15,$B$3)*$H$4)</f>
        <v>23984</v>
      </c>
      <c r="M54" s="8" t="n">
        <f aca="false">M41*INDEX(Assumptions!$C$83:$E$83,$B$3)/(1+INDEX(Assumptions!$C$15:$E$15,$B$3)*$H$4)</f>
        <v>23984</v>
      </c>
      <c r="N54" s="8" t="n">
        <f aca="false">N41*INDEX(Assumptions!$C$83:$E$83,$B$3)/(1+INDEX(Assumptions!$C$15:$E$15,$B$3)*$H$4)</f>
        <v>23984</v>
      </c>
      <c r="O54" s="37" t="n">
        <f aca="false">SUM(C54:N54)</f>
        <v>95936</v>
      </c>
      <c r="P54" s="2"/>
    </row>
    <row r="55" customFormat="false" ht="15" hidden="false" customHeight="false" outlineLevel="0" collapsed="false">
      <c r="A55" s="28" t="s">
        <v>1160</v>
      </c>
      <c r="C55" s="8" t="n">
        <f aca="false">C42*INDEX(Assumptions!$C$23:$E$23,$B$3)/(1+INDEX(Assumptions!$C$15:$E$15,$B$3)*$H$4)</f>
        <v>0</v>
      </c>
      <c r="D55" s="8" t="n">
        <f aca="false">D42*INDEX(Assumptions!$C$23:$E$23,$B$3)/(1+INDEX(Assumptions!$C$15:$E$15,$B$3)*$H$4)</f>
        <v>0</v>
      </c>
      <c r="E55" s="8" t="n">
        <f aca="false">E42*INDEX(Assumptions!$C$23:$E$23,$B$3)/(1+INDEX(Assumptions!$C$15:$E$15,$B$3)*$H$4)</f>
        <v>2379.762</v>
      </c>
      <c r="F55" s="8" t="n">
        <f aca="false">F42*INDEX(Assumptions!$C$23:$E$23,$B$3)/(1+INDEX(Assumptions!$C$15:$E$15,$B$3)*$H$4)</f>
        <v>4759.524</v>
      </c>
      <c r="G55" s="8" t="n">
        <f aca="false">G42*INDEX(Assumptions!$C$23:$E$23,$B$3)/(1+INDEX(Assumptions!$C$15:$E$15,$B$3)*$H$4)</f>
        <v>7139.286</v>
      </c>
      <c r="H55" s="8" t="n">
        <f aca="false">H42*INDEX(Assumptions!$C$23:$E$23,$B$3)/(1+INDEX(Assumptions!$C$15:$E$15,$B$3)*$H$4)</f>
        <v>9519.048</v>
      </c>
      <c r="I55" s="8" t="n">
        <f aca="false">I42*INDEX(Assumptions!$C$23:$E$23,$B$3)/(1+INDEX(Assumptions!$C$15:$E$15,$B$3)*$H$4)</f>
        <v>11898.81</v>
      </c>
      <c r="J55" s="8" t="n">
        <f aca="false">J42*INDEX(Assumptions!$C$23:$E$23,$B$3)/(1+INDEX(Assumptions!$C$15:$E$15,$B$3)*$H$4)</f>
        <v>14278.572</v>
      </c>
      <c r="K55" s="8" t="n">
        <f aca="false">K42*INDEX(Assumptions!$C$23:$E$23,$B$3)/(1+INDEX(Assumptions!$C$15:$E$15,$B$3)*$H$4)</f>
        <v>14278.572</v>
      </c>
      <c r="L55" s="8" t="n">
        <f aca="false">L42*INDEX(Assumptions!$C$23:$E$23,$B$3)/(1+INDEX(Assumptions!$C$15:$E$15,$B$3)*$H$4)</f>
        <v>14278.572</v>
      </c>
      <c r="M55" s="8" t="n">
        <f aca="false">M42*INDEX(Assumptions!$C$23:$E$23,$B$3)/(1+INDEX(Assumptions!$C$15:$E$15,$B$3)*$H$4)</f>
        <v>14278.572</v>
      </c>
      <c r="N55" s="8" t="n">
        <f aca="false">N42*INDEX(Assumptions!$C$23:$E$23,$B$3)/(1+INDEX(Assumptions!$C$15:$E$15,$B$3)*$H$4)</f>
        <v>14278.572</v>
      </c>
      <c r="O55" s="37" t="n">
        <f aca="false">SUM(C55:N55)</f>
        <v>107089.29</v>
      </c>
      <c r="P55" s="2"/>
    </row>
    <row r="56" customFormat="false" ht="15" hidden="false" customHeight="false" outlineLevel="0" collapsed="false">
      <c r="A56" s="28" t="s">
        <v>1161</v>
      </c>
      <c r="C56" s="8" t="n">
        <f aca="false">(C27+C28)*(1-C45)*INDEX(Assumptions!$C$90:$E$90,$B$3)</f>
        <v>0</v>
      </c>
      <c r="D56" s="8" t="n">
        <f aca="false">(D27+D28)*(1-D45)*INDEX(Assumptions!$C$90:$E$90,$B$3)</f>
        <v>0</v>
      </c>
      <c r="E56" s="8" t="n">
        <f aca="false">(E27+E28)*(1-E45)*INDEX(Assumptions!$C$90:$E$90,$B$3)</f>
        <v>0</v>
      </c>
      <c r="F56" s="8" t="n">
        <f aca="false">(F27+F28)*(1-F45)*INDEX(Assumptions!$C$90:$E$90,$B$3)</f>
        <v>0</v>
      </c>
      <c r="G56" s="8" t="n">
        <f aca="false">(G27+G28)*(1-G45)*INDEX(Assumptions!$C$90:$E$90,$B$3)</f>
        <v>0</v>
      </c>
      <c r="H56" s="8" t="n">
        <f aca="false">(H27+H28)*(1-H45)*INDEX(Assumptions!$C$90:$E$90,$B$3)</f>
        <v>0</v>
      </c>
      <c r="I56" s="8" t="n">
        <f aca="false">(I27+I28)*(1-I45)*INDEX(Assumptions!$C$90:$E$90,$B$3)</f>
        <v>7488</v>
      </c>
      <c r="J56" s="8" t="n">
        <f aca="false">(J27+J28)*(1-J45)*INDEX(Assumptions!$C$90:$E$90,$B$3)</f>
        <v>7449.66115521179</v>
      </c>
      <c r="K56" s="8" t="n">
        <f aca="false">(K27+K28)*(1-K45)*INDEX(Assumptions!$C$90:$E$90,$B$3)</f>
        <v>4734.75679188279</v>
      </c>
      <c r="L56" s="8" t="n">
        <f aca="false">(L27+L28)*(1-L45)*INDEX(Assumptions!$C$90:$E$90,$B$3)</f>
        <v>6026.24860016209</v>
      </c>
      <c r="M56" s="8" t="n">
        <f aca="false">(M27+M28)*(1-M45)*INDEX(Assumptions!$C$90:$E$90,$B$3)</f>
        <v>6048</v>
      </c>
      <c r="N56" s="8" t="n">
        <f aca="false">(N27+N28)*(1-N45)*INDEX(Assumptions!$C$90:$E$90,$B$3)</f>
        <v>5760</v>
      </c>
      <c r="O56" s="37" t="n">
        <f aca="false">SUM(C56:N56)</f>
        <v>37506.6665472567</v>
      </c>
      <c r="P56" s="2"/>
    </row>
    <row r="57" customFormat="false" ht="15" hidden="false" customHeight="false" outlineLevel="0" collapsed="false">
      <c r="A57" s="3" t="s">
        <v>63</v>
      </c>
      <c r="C57" s="37" t="n">
        <f aca="false">SUM(C47:C56)</f>
        <v>96706.6474966304</v>
      </c>
      <c r="D57" s="37" t="n">
        <f aca="false">SUM(D47:D56)</f>
        <v>176997.886970706</v>
      </c>
      <c r="E57" s="37" t="n">
        <f aca="false">SUM(E47:E56)</f>
        <v>316368.834511726</v>
      </c>
      <c r="F57" s="37" t="n">
        <f aca="false">SUM(F47:F56)</f>
        <v>436332.595302064</v>
      </c>
      <c r="G57" s="37" t="n">
        <f aca="false">SUM(G47:G56)</f>
        <v>544777.771469043</v>
      </c>
      <c r="H57" s="37" t="n">
        <f aca="false">SUM(H47:H56)</f>
        <v>528908.458230675</v>
      </c>
      <c r="I57" s="37" t="n">
        <f aca="false">SUM(I47:I56)</f>
        <v>1112500.21486274</v>
      </c>
      <c r="J57" s="37" t="n">
        <f aca="false">SUM(J47:J56)</f>
        <v>1169175.55944111</v>
      </c>
      <c r="K57" s="37" t="n">
        <f aca="false">SUM(K47:K56)</f>
        <v>869135.738456175</v>
      </c>
      <c r="L57" s="37" t="n">
        <f aca="false">SUM(L47:L56)</f>
        <v>1024272.44293245</v>
      </c>
      <c r="M57" s="37" t="n">
        <f aca="false">SUM(M47:M56)</f>
        <v>1061509.4634657</v>
      </c>
      <c r="N57" s="37" t="n">
        <f aca="false">SUM(N47:N56)</f>
        <v>1051500.05417636</v>
      </c>
      <c r="O57" s="31" t="n">
        <f aca="false">SUM(C57:N57)</f>
        <v>8388185.66731538</v>
      </c>
      <c r="P57" s="2"/>
    </row>
    <row r="58" customFormat="false" ht="15" hidden="false" customHeight="false" outlineLevel="0" collapsed="false">
      <c r="A58" s="28" t="s">
        <v>1162</v>
      </c>
      <c r="C58" s="8" t="n">
        <f aca="false">C47+C48+C49+C50</f>
        <v>60735.0048</v>
      </c>
      <c r="D58" s="8" t="n">
        <f aca="false">D47+D48+D49+D50</f>
        <v>115199.07606</v>
      </c>
      <c r="E58" s="8" t="n">
        <f aca="false">E47+E48+E49+E50</f>
        <v>187076.70375</v>
      </c>
      <c r="F58" s="8" t="n">
        <f aca="false">F47+F48+F49+F50</f>
        <v>262006.8</v>
      </c>
      <c r="G58" s="8" t="n">
        <f aca="false">G47+G48+G49+G50</f>
        <v>362500.56</v>
      </c>
      <c r="H58" s="8" t="n">
        <f aca="false">H47+H48+H49+H50</f>
        <v>316075.48832636</v>
      </c>
      <c r="I58" s="8" t="n">
        <f aca="false">I47+I48+I49+I50</f>
        <v>859739.678033473</v>
      </c>
      <c r="J58" s="8" t="n">
        <f aca="false">J47+J48+J49+J50</f>
        <v>887153.475347814</v>
      </c>
      <c r="K58" s="8" t="n">
        <f aca="false">K47+K48+K49+K50</f>
        <v>566681.806943842</v>
      </c>
      <c r="L58" s="8" t="n">
        <f aca="false">L47+L48+L49+L50</f>
        <v>706785.891938288</v>
      </c>
      <c r="M58" s="8" t="n">
        <f aca="false">M47+M48+M49+M50</f>
        <v>721924.285180521</v>
      </c>
      <c r="N58" s="8" t="n">
        <f aca="false">N47+N48+N49+N50</f>
        <v>690126</v>
      </c>
      <c r="O58" s="37" t="n">
        <f aca="false">SUM(C58:N58)</f>
        <v>5736004.7703803</v>
      </c>
      <c r="P58" s="2"/>
    </row>
    <row r="59" customFormat="false" ht="15" hidden="false" customHeight="false" outlineLevel="0" collapsed="false">
      <c r="A59" s="10" t="s">
        <v>1163</v>
      </c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</row>
    <row r="60" customFormat="false" ht="15" hidden="false" customHeight="false" outlineLevel="0" collapsed="false">
      <c r="A60" s="28" t="s">
        <v>1164</v>
      </c>
      <c r="C60" s="8" t="n">
        <f aca="false">((C27+C30)*INDEX(Assumptions!$C$91:$E$91,$B$3)+C28*INDEX(Assumptions!$C$93:$E$93,$B$3))*$N$3</f>
        <v>4207.968</v>
      </c>
      <c r="D60" s="8" t="n">
        <f aca="false">((D27+D30)*INDEX(Assumptions!$C$91:$E$91,$B$3)+D28*INDEX(Assumptions!$C$93:$E$93,$B$3))*$N$3</f>
        <v>8627.7186</v>
      </c>
      <c r="E60" s="8" t="n">
        <f aca="false">((E27+E30)*INDEX(Assumptions!$C$91:$E$91,$B$3)+E28*INDEX(Assumptions!$C$93:$E$93,$B$3))*$N$3</f>
        <v>14157.225</v>
      </c>
      <c r="F60" s="8" t="n">
        <f aca="false">((F27+F30)*INDEX(Assumptions!$C$91:$E$91,$B$3)+F28*INDEX(Assumptions!$C$93:$E$93,$B$3))*$N$3</f>
        <v>20088</v>
      </c>
      <c r="G60" s="8" t="n">
        <f aca="false">((G27+G30)*INDEX(Assumptions!$C$91:$E$91,$B$3)+G28*INDEX(Assumptions!$C$93:$E$93,$B$3))*$N$3</f>
        <v>27813.6</v>
      </c>
      <c r="H60" s="8" t="n">
        <f aca="false">((H27+H30)*INDEX(Assumptions!$C$91:$E$91,$B$3)+H28*INDEX(Assumptions!$C$93:$E$93,$B$3))*$N$3</f>
        <v>24403.7974895398</v>
      </c>
      <c r="I60" s="8" t="n">
        <f aca="false">((I27+I30)*INDEX(Assumptions!$C$91:$E$91,$B$3)+I28*INDEX(Assumptions!$C$93:$E$93,$B$3))*$N$3</f>
        <v>51028.3807531381</v>
      </c>
      <c r="J60" s="8" t="n">
        <f aca="false">((J27+J30)*INDEX(Assumptions!$C$91:$E$91,$B$3)+J28*INDEX(Assumptions!$C$93:$E$93,$B$3))*$N$3</f>
        <v>55527.5669439397</v>
      </c>
      <c r="K60" s="8" t="n">
        <f aca="false">((K27+K30)*INDEX(Assumptions!$C$91:$E$91,$B$3)+K28*INDEX(Assumptions!$C$93:$E$93,$B$3))*$N$3</f>
        <v>35715.8990034106</v>
      </c>
      <c r="L60" s="8" t="n">
        <f aca="false">((L27+L30)*INDEX(Assumptions!$C$91:$E$91,$B$3)+L28*INDEX(Assumptions!$C$93:$E$93,$B$3))*$N$3</f>
        <v>45647.1648853077</v>
      </c>
      <c r="M60" s="8" t="n">
        <f aca="false">((M27+M30)*INDEX(Assumptions!$C$91:$E$91,$B$3)+M28*INDEX(Assumptions!$C$93:$E$93,$B$3))*$N$3</f>
        <v>47695.3107502026</v>
      </c>
      <c r="N60" s="8" t="n">
        <f aca="false">((N27+N30)*INDEX(Assumptions!$C$91:$E$91,$B$3)+N28*INDEX(Assumptions!$C$93:$E$93,$B$3))*$N$3</f>
        <v>45810</v>
      </c>
      <c r="O60" s="37" t="n">
        <f aca="false">SUM(C60:N60)</f>
        <v>380722.631425538</v>
      </c>
      <c r="P60" s="2"/>
    </row>
    <row r="61" customFormat="false" ht="15" hidden="false" customHeight="false" outlineLevel="0" collapsed="false">
      <c r="A61" s="28" t="s">
        <v>1165</v>
      </c>
      <c r="C61" s="8" t="n">
        <f aca="false">(C27+C28)*C45*INDEX(Assumptions!$C$14:$E$14,$B$3)*$N$3</f>
        <v>8415.936</v>
      </c>
      <c r="D61" s="8" t="n">
        <f aca="false">(D27+D28)*D45*INDEX(Assumptions!$C$14:$E$14,$B$3)*$N$3</f>
        <v>15572.25</v>
      </c>
      <c r="E61" s="8" t="n">
        <f aca="false">(E27+E28)*E45*INDEX(Assumptions!$C$14:$E$14,$B$3)*$N$3</f>
        <v>25200</v>
      </c>
      <c r="F61" s="8" t="n">
        <f aca="false">(F27+F28)*F45*INDEX(Assumptions!$C$14:$E$14,$B$3)*$N$3</f>
        <v>35136</v>
      </c>
      <c r="G61" s="8" t="n">
        <f aca="false">(G27+G28)*G45*INDEX(Assumptions!$C$14:$E$14,$B$3)*$N$3</f>
        <v>48600</v>
      </c>
      <c r="H61" s="8" t="n">
        <f aca="false">(H27+H28)*H45*INDEX(Assumptions!$C$14:$E$14,$B$3)*$N$3</f>
        <v>42283.8075313808</v>
      </c>
      <c r="I61" s="8" t="n">
        <f aca="false">(I27+I28)*I45*INDEX(Assumptions!$C$14:$E$14,$B$3)*$N$3</f>
        <v>0</v>
      </c>
      <c r="J61" s="8" t="n">
        <f aca="false">(J27+J28)*J45*INDEX(Assumptions!$C$14:$E$14,$B$3)*$N$3</f>
        <v>0</v>
      </c>
      <c r="K61" s="8" t="n">
        <f aca="false">(K27+K28)*K45*INDEX(Assumptions!$C$14:$E$14,$B$3)*$N$3</f>
        <v>0</v>
      </c>
      <c r="L61" s="8" t="n">
        <f aca="false">(L27+L28)*L45*INDEX(Assumptions!$C$14:$E$14,$B$3)*$N$3</f>
        <v>0</v>
      </c>
      <c r="M61" s="8" t="n">
        <f aca="false">(M27+M28)*M45*INDEX(Assumptions!$C$14:$E$14,$B$3)*$N$3</f>
        <v>0</v>
      </c>
      <c r="N61" s="8" t="n">
        <f aca="false">(N27+N28)*N45*INDEX(Assumptions!$C$14:$E$14,$B$3)*$N$3</f>
        <v>0</v>
      </c>
      <c r="O61" s="37" t="n">
        <f aca="false">SUM(C61:N61)</f>
        <v>175207.993531381</v>
      </c>
      <c r="P61" s="2"/>
    </row>
    <row r="62" customFormat="false" ht="15" hidden="false" customHeight="false" outlineLevel="0" collapsed="false">
      <c r="A62" s="28" t="s">
        <v>1166</v>
      </c>
      <c r="C62" s="8" t="n">
        <f aca="false">C29*INDEX(Assumptions!$C$92:$E$92,$B$3)*$N$3</f>
        <v>935.104</v>
      </c>
      <c r="D62" s="8" t="n">
        <f aca="false">D29*INDEX(Assumptions!$C$92:$E$92,$B$3)*$N$3</f>
        <v>1730.25</v>
      </c>
      <c r="E62" s="8" t="n">
        <f aca="false">E29*INDEX(Assumptions!$C$92:$E$92,$B$3)*$N$3</f>
        <v>2800</v>
      </c>
      <c r="F62" s="8" t="n">
        <f aca="false">F29*INDEX(Assumptions!$C$92:$E$92,$B$3)*$N$3</f>
        <v>3904</v>
      </c>
      <c r="G62" s="8" t="n">
        <f aca="false">G29*INDEX(Assumptions!$C$92:$E$92,$B$3)*$N$3</f>
        <v>5400</v>
      </c>
      <c r="H62" s="8" t="n">
        <f aca="false">H29*INDEX(Assumptions!$C$92:$E$92,$B$3)*$N$3</f>
        <v>4698.20083682008</v>
      </c>
      <c r="I62" s="8" t="n">
        <f aca="false">I29*INDEX(Assumptions!$C$92:$E$92,$B$3)*$N$3</f>
        <v>10400</v>
      </c>
      <c r="J62" s="8" t="n">
        <f aca="false">J29*INDEX(Assumptions!$C$92:$E$92,$B$3)*$N$3</f>
        <v>10346.7516044608</v>
      </c>
      <c r="K62" s="8" t="n">
        <f aca="false">K29*INDEX(Assumptions!$C$92:$E$92,$B$3)*$N$3</f>
        <v>6576.05109983721</v>
      </c>
      <c r="L62" s="8" t="n">
        <f aca="false">L29*INDEX(Assumptions!$C$92:$E$92,$B$3)*$N$3</f>
        <v>8369.78972244734</v>
      </c>
      <c r="M62" s="8" t="n">
        <f aca="false">M29*INDEX(Assumptions!$C$92:$E$92,$B$3)*$N$3</f>
        <v>8400</v>
      </c>
      <c r="N62" s="8" t="n">
        <f aca="false">N29*INDEX(Assumptions!$C$92:$E$92,$B$3)*$N$3</f>
        <v>8000</v>
      </c>
      <c r="O62" s="37" t="n">
        <f aca="false">SUM(C62:N62)</f>
        <v>71560.1472635655</v>
      </c>
      <c r="P62" s="2"/>
    </row>
    <row r="63" customFormat="false" ht="15" hidden="false" customHeight="false" outlineLevel="0" collapsed="false">
      <c r="A63" s="28" t="s">
        <v>1167</v>
      </c>
      <c r="C63" s="8" t="n">
        <f aca="false">(C37*INDEX(Assumptions!$C$94:$E$94,$B$3)+C38*INDEX(Assumptions!$C$95:$E$95,$B$3)+C39*INDEX(Assumptions!$C$96:$E$96,$B$3))*$N$3</f>
        <v>3074.12757973734</v>
      </c>
      <c r="D63" s="8" t="n">
        <f aca="false">(D37*INDEX(Assumptions!$C$94:$E$94,$B$3)+D38*INDEX(Assumptions!$C$95:$E$95,$B$3)+D39*INDEX(Assumptions!$C$96:$E$96,$B$3))*$N$3</f>
        <v>5307.22619606004</v>
      </c>
      <c r="E63" s="8" t="n">
        <f aca="false">(E37*INDEX(Assumptions!$C$94:$E$94,$B$3)+E38*INDEX(Assumptions!$C$95:$E$95,$B$3)+E39*INDEX(Assumptions!$C$96:$E$96,$B$3))*$N$3</f>
        <v>11420.8255159475</v>
      </c>
      <c r="F63" s="8" t="n">
        <f aca="false">(F37*INDEX(Assumptions!$C$94:$E$94,$B$3)+F38*INDEX(Assumptions!$C$95:$E$95,$B$3)+F39*INDEX(Assumptions!$C$96:$E$96,$B$3))*$N$3</f>
        <v>15744.4652908068</v>
      </c>
      <c r="G63" s="8" t="n">
        <f aca="false">(G37*INDEX(Assumptions!$C$94:$E$94,$B$3)+G38*INDEX(Assumptions!$C$95:$E$95,$B$3)+G39*INDEX(Assumptions!$C$96:$E$96,$B$3))*$N$3</f>
        <v>17183.0206378987</v>
      </c>
      <c r="H63" s="8" t="n">
        <f aca="false">(H37*INDEX(Assumptions!$C$94:$E$94,$B$3)+H38*INDEX(Assumptions!$C$95:$E$95,$B$3)+H39*INDEX(Assumptions!$C$96:$E$96,$B$3))*$N$3</f>
        <v>20452.0637898687</v>
      </c>
      <c r="I63" s="8" t="n">
        <f aca="false">(I37*INDEX(Assumptions!$C$94:$E$94,$B$3)+I38*INDEX(Assumptions!$C$95:$E$95,$B$3)+I39*INDEX(Assumptions!$C$96:$E$96,$B$3))*$N$3</f>
        <v>24248.7804878049</v>
      </c>
      <c r="J63" s="8" t="n">
        <f aca="false">(J37*INDEX(Assumptions!$C$94:$E$94,$B$3)+J38*INDEX(Assumptions!$C$95:$E$95,$B$3)+J39*INDEX(Assumptions!$C$96:$E$96,$B$3))*$N$3</f>
        <v>27166.0412757974</v>
      </c>
      <c r="K63" s="8" t="n">
        <f aca="false">(K37*INDEX(Assumptions!$C$94:$E$94,$B$3)+K38*INDEX(Assumptions!$C$95:$E$95,$B$3)+K39*INDEX(Assumptions!$C$96:$E$96,$B$3))*$N$3</f>
        <v>26931.5196998124</v>
      </c>
      <c r="L63" s="8" t="n">
        <f aca="false">(L37*INDEX(Assumptions!$C$94:$E$94,$B$3)+L38*INDEX(Assumptions!$C$95:$E$95,$B$3)+L39*INDEX(Assumptions!$C$96:$E$96,$B$3))*$N$3</f>
        <v>27779.7373358349</v>
      </c>
      <c r="M63" s="8" t="n">
        <f aca="false">(M37*INDEX(Assumptions!$C$94:$E$94,$B$3)+M38*INDEX(Assumptions!$C$95:$E$95,$B$3)+M39*INDEX(Assumptions!$C$96:$E$96,$B$3))*$N$3</f>
        <v>29462.4765478424</v>
      </c>
      <c r="N63" s="8" t="n">
        <f aca="false">(N37*INDEX(Assumptions!$C$94:$E$94,$B$3)+N38*INDEX(Assumptions!$C$95:$E$95,$B$3)+N39*INDEX(Assumptions!$C$96:$E$96,$B$3))*$N$3</f>
        <v>31145.2157598499</v>
      </c>
      <c r="O63" s="37" t="n">
        <f aca="false">SUM(C63:N63)</f>
        <v>239915.500117261</v>
      </c>
      <c r="P63" s="2"/>
    </row>
    <row r="64" customFormat="false" ht="15" hidden="false" customHeight="false" outlineLevel="0" collapsed="false">
      <c r="A64" s="28" t="s">
        <v>1168</v>
      </c>
      <c r="C64" s="8" t="n">
        <f aca="false">C40*INDEX(Assumptions!$C$84:$E$84,$B$3)</f>
        <v>0</v>
      </c>
      <c r="D64" s="8" t="n">
        <f aca="false">D40*INDEX(Assumptions!$C$84:$E$84,$B$3)</f>
        <v>0</v>
      </c>
      <c r="E64" s="8" t="n">
        <f aca="false">E40*INDEX(Assumptions!$C$84:$E$84,$B$3)</f>
        <v>0</v>
      </c>
      <c r="F64" s="8" t="n">
        <f aca="false">F40*INDEX(Assumptions!$C$84:$E$84,$B$3)</f>
        <v>0</v>
      </c>
      <c r="G64" s="8" t="n">
        <f aca="false">G40*INDEX(Assumptions!$C$84:$E$84,$B$3)</f>
        <v>0</v>
      </c>
      <c r="H64" s="8" t="n">
        <f aca="false">H40*INDEX(Assumptions!$C$84:$E$84,$B$3)</f>
        <v>0</v>
      </c>
      <c r="I64" s="8" t="n">
        <f aca="false">I40*INDEX(Assumptions!$C$84:$E$84,$B$3)</f>
        <v>0</v>
      </c>
      <c r="J64" s="8" t="n">
        <f aca="false">J40*INDEX(Assumptions!$C$84:$E$84,$B$3)</f>
        <v>0</v>
      </c>
      <c r="K64" s="8" t="n">
        <f aca="false">K40*INDEX(Assumptions!$C$84:$E$84,$B$3)</f>
        <v>26000</v>
      </c>
      <c r="L64" s="8" t="n">
        <f aca="false">L40*INDEX(Assumptions!$C$84:$E$84,$B$3)</f>
        <v>26000</v>
      </c>
      <c r="M64" s="8" t="n">
        <f aca="false">M40*INDEX(Assumptions!$C$84:$E$84,$B$3)</f>
        <v>26000</v>
      </c>
      <c r="N64" s="8" t="n">
        <f aca="false">N40*INDEX(Assumptions!$C$84:$E$84,$B$3)</f>
        <v>26000</v>
      </c>
      <c r="O64" s="37" t="n">
        <f aca="false">SUM(C64:N64)</f>
        <v>104000</v>
      </c>
      <c r="P64" s="2"/>
    </row>
    <row r="65" customFormat="false" ht="15" hidden="false" customHeight="false" outlineLevel="0" collapsed="false">
      <c r="A65" s="28" t="s">
        <v>1169</v>
      </c>
      <c r="C65" s="8" t="n">
        <f aca="false">C42*INDEX(Assumptions!$C$97:$E$97,$B$3)</f>
        <v>0</v>
      </c>
      <c r="D65" s="8" t="n">
        <f aca="false">D42*INDEX(Assumptions!$C$97:$E$97,$B$3)</f>
        <v>0</v>
      </c>
      <c r="E65" s="8" t="n">
        <f aca="false">E42*INDEX(Assumptions!$C$97:$E$97,$B$3)</f>
        <v>476</v>
      </c>
      <c r="F65" s="8" t="n">
        <f aca="false">F42*INDEX(Assumptions!$C$97:$E$97,$B$3)</f>
        <v>952</v>
      </c>
      <c r="G65" s="8" t="n">
        <f aca="false">G42*INDEX(Assumptions!$C$97:$E$97,$B$3)</f>
        <v>1428</v>
      </c>
      <c r="H65" s="8" t="n">
        <f aca="false">H42*INDEX(Assumptions!$C$97:$E$97,$B$3)</f>
        <v>1904</v>
      </c>
      <c r="I65" s="8" t="n">
        <f aca="false">I42*INDEX(Assumptions!$C$97:$E$97,$B$3)</f>
        <v>2380</v>
      </c>
      <c r="J65" s="8" t="n">
        <f aca="false">J42*INDEX(Assumptions!$C$97:$E$97,$B$3)</f>
        <v>2856</v>
      </c>
      <c r="K65" s="8" t="n">
        <f aca="false">K42*INDEX(Assumptions!$C$97:$E$97,$B$3)</f>
        <v>2856</v>
      </c>
      <c r="L65" s="8" t="n">
        <f aca="false">L42*INDEX(Assumptions!$C$97:$E$97,$B$3)</f>
        <v>2856</v>
      </c>
      <c r="M65" s="8" t="n">
        <f aca="false">M42*INDEX(Assumptions!$C$97:$E$97,$B$3)</f>
        <v>2856</v>
      </c>
      <c r="N65" s="8" t="n">
        <f aca="false">N42*INDEX(Assumptions!$C$97:$E$97,$B$3)</f>
        <v>2856</v>
      </c>
      <c r="O65" s="37" t="n">
        <f aca="false">SUM(C65:N65)</f>
        <v>21420</v>
      </c>
      <c r="P65" s="2"/>
    </row>
    <row r="66" customFormat="false" ht="15" hidden="false" customHeight="false" outlineLevel="0" collapsed="false">
      <c r="A66" s="28" t="s">
        <v>1170</v>
      </c>
      <c r="C66" s="8" t="n">
        <f aca="false">C57*(1+INDEX(Assumptions!$C$15:$E$15,$B$3)*$H$4)*INDEX(Assumptions!$C$76:$E$76,$B$3)+(C47+C48+C49)*(1+INDEX(Assumptions!$C$15:$E$15,$B$3)*$H$4)*INDEX(Assumptions!$C$70:$E$70,$B$3)*INDEX(Assumptions!$C$71:$E$71,$B$3)</f>
        <v>2670.52734993261</v>
      </c>
      <c r="D66" s="8" t="n">
        <f aca="false">D57*(1+INDEX(Assumptions!$C$15:$E$15,$B$3)*$H$4)*INDEX(Assumptions!$C$76:$E$76,$B$3)+(D47+D48+D49)*(1+INDEX(Assumptions!$C$15:$E$15,$B$3)*$H$4)*INDEX(Assumptions!$C$70:$E$70,$B$3)*INDEX(Assumptions!$C$71:$E$71,$B$3)</f>
        <v>4951.86803921412</v>
      </c>
      <c r="E66" s="8" t="n">
        <f aca="false">E57*(1+INDEX(Assumptions!$C$15:$E$15,$B$3)*$H$4)*INDEX(Assumptions!$C$76:$E$76,$B$3)+(E47+E48+E49)*(1+INDEX(Assumptions!$C$15:$E$15,$B$3)*$H$4)*INDEX(Assumptions!$C$70:$E$70,$B$3)*INDEX(Assumptions!$C$71:$E$71,$B$3)</f>
        <v>8623.66900585952</v>
      </c>
      <c r="F66" s="8" t="n">
        <f aca="false">F57*(1+INDEX(Assumptions!$C$15:$E$15,$B$3)*$H$4)*INDEX(Assumptions!$C$76:$E$76,$B$3)+(F47+F48+F49)*(1+INDEX(Assumptions!$C$15:$E$15,$B$3)*$H$4)*INDEX(Assumptions!$C$70:$E$70,$B$3)*INDEX(Assumptions!$C$71:$E$71,$B$3)</f>
        <v>11948.7869060413</v>
      </c>
      <c r="G66" s="8" t="n">
        <f aca="false">G57*(1+INDEX(Assumptions!$C$15:$E$15,$B$3)*$H$4)*INDEX(Assumptions!$C$76:$E$76,$B$3)+(G47+G48+G49)*(1+INDEX(Assumptions!$C$15:$E$15,$B$3)*$H$4)*INDEX(Assumptions!$C$70:$E$70,$B$3)*INDEX(Assumptions!$C$71:$E$71,$B$3)</f>
        <v>15354.0402293809</v>
      </c>
      <c r="H66" s="8" t="n">
        <f aca="false">H57*(1+INDEX(Assumptions!$C$15:$E$15,$B$3)*$H$4)*INDEX(Assumptions!$C$76:$E$76,$B$3)+(H47+H48+H49)*(1+INDEX(Assumptions!$C$15:$E$15,$B$3)*$H$4)*INDEX(Assumptions!$C$70:$E$70,$B$3)*INDEX(Assumptions!$C$71:$E$71,$B$3)</f>
        <v>14469.23084317</v>
      </c>
      <c r="I66" s="8" t="n">
        <f aca="false">I57*(1+INDEX(Assumptions!$C$15:$E$15,$B$3)*$H$4)*INDEX(Assumptions!$C$76:$E$76,$B$3)+(I47+I48+I49)*(1+INDEX(Assumptions!$C$15:$E$15,$B$3)*$H$4)*INDEX(Assumptions!$C$70:$E$70,$B$3)*INDEX(Assumptions!$C$71:$E$71,$B$3)</f>
        <v>33664.5486628406</v>
      </c>
      <c r="J66" s="8" t="n">
        <f aca="false">J57*(1+INDEX(Assumptions!$C$15:$E$15,$B$3)*$H$4)*INDEX(Assumptions!$C$76:$E$76,$B$3)+(J47+J48+J49)*(1+INDEX(Assumptions!$C$15:$E$15,$B$3)*$H$4)*INDEX(Assumptions!$C$70:$E$70,$B$3)*INDEX(Assumptions!$C$71:$E$71,$B$3)</f>
        <v>35296.3873535016</v>
      </c>
      <c r="K66" s="8" t="n">
        <f aca="false">K57*(1+INDEX(Assumptions!$C$15:$E$15,$B$3)*$H$4)*INDEX(Assumptions!$C$76:$E$76,$B$3)+(K47+K48+K49)*(1+INDEX(Assumptions!$C$15:$E$15,$B$3)*$H$4)*INDEX(Assumptions!$C$70:$E$70,$B$3)*INDEX(Assumptions!$C$71:$E$71,$B$3)</f>
        <v>25003.7825504101</v>
      </c>
      <c r="L66" s="8" t="n">
        <f aca="false">L57*(1+INDEX(Assumptions!$C$15:$E$15,$B$3)*$H$4)*INDEX(Assumptions!$C$76:$E$76,$B$3)+(L47+L48+L49)*(1+INDEX(Assumptions!$C$15:$E$15,$B$3)*$H$4)*INDEX(Assumptions!$C$70:$E$70,$B$3)*INDEX(Assumptions!$C$71:$E$71,$B$3)</f>
        <v>29932.0991307195</v>
      </c>
      <c r="M66" s="8" t="n">
        <f aca="false">M57*(1+INDEX(Assumptions!$C$15:$E$15,$B$3)*$H$4)*INDEX(Assumptions!$C$76:$E$76,$B$3)+(M47+M48+M49)*(1+INDEX(Assumptions!$C$15:$E$15,$B$3)*$H$4)*INDEX(Assumptions!$C$70:$E$70,$B$3)*INDEX(Assumptions!$C$71:$E$71,$B$3)</f>
        <v>30931.2142599731</v>
      </c>
      <c r="N66" s="8" t="n">
        <f aca="false">N57*(1+INDEX(Assumptions!$C$15:$E$15,$B$3)*$H$4)*INDEX(Assumptions!$C$76:$E$76,$B$3)+(N47+N48+N49)*(1+INDEX(Assumptions!$C$15:$E$15,$B$3)*$H$4)*INDEX(Assumptions!$C$70:$E$70,$B$3)*INDEX(Assumptions!$C$71:$E$71,$B$3)</f>
        <v>30314.2060835272</v>
      </c>
      <c r="O66" s="37" t="n">
        <f aca="false">SUM(C66:N66)</f>
        <v>243160.36041457</v>
      </c>
      <c r="P66" s="2"/>
    </row>
    <row r="67" customFormat="false" ht="15" hidden="false" customHeight="false" outlineLevel="0" collapsed="false">
      <c r="A67" s="28" t="s">
        <v>1171</v>
      </c>
      <c r="C67" s="8" t="n">
        <f aca="false">C31*INDEX(Assumptions!$C$198:$E$198,$B$3)*INDEX(Assumptions!$C$69:$E$69,$B$3)</f>
        <v>701.328</v>
      </c>
      <c r="D67" s="8" t="n">
        <f aca="false">D31*INDEX(Assumptions!$C$198:$E$198,$B$3)*INDEX(Assumptions!$C$69:$E$69,$B$3)</f>
        <v>1297.6875</v>
      </c>
      <c r="E67" s="8" t="n">
        <f aca="false">E31*INDEX(Assumptions!$C$198:$E$198,$B$3)*INDEX(Assumptions!$C$69:$E$69,$B$3)</f>
        <v>2100</v>
      </c>
      <c r="F67" s="8" t="n">
        <f aca="false">F31*INDEX(Assumptions!$C$198:$E$198,$B$3)*INDEX(Assumptions!$C$69:$E$69,$B$3)</f>
        <v>2928</v>
      </c>
      <c r="G67" s="8" t="n">
        <f aca="false">G31*INDEX(Assumptions!$C$198:$E$198,$B$3)*INDEX(Assumptions!$C$69:$E$69,$B$3)</f>
        <v>4050</v>
      </c>
      <c r="H67" s="8" t="n">
        <f aca="false">H31*INDEX(Assumptions!$C$198:$E$198,$B$3)*INDEX(Assumptions!$C$69:$E$69,$B$3)</f>
        <v>3523.65062761506</v>
      </c>
      <c r="I67" s="8" t="n">
        <f aca="false">I31*INDEX(Assumptions!$C$198:$E$198,$B$3)*INDEX(Assumptions!$C$69:$E$69,$B$3)</f>
        <v>7800</v>
      </c>
      <c r="J67" s="8" t="n">
        <f aca="false">J31*INDEX(Assumptions!$C$198:$E$198,$B$3)*INDEX(Assumptions!$C$69:$E$69,$B$3)</f>
        <v>7760.06370334561</v>
      </c>
      <c r="K67" s="8" t="n">
        <f aca="false">K31*INDEX(Assumptions!$C$198:$E$198,$B$3)*INDEX(Assumptions!$C$69:$E$69,$B$3)</f>
        <v>4932.03832487791</v>
      </c>
      <c r="L67" s="8" t="n">
        <f aca="false">L31*INDEX(Assumptions!$C$198:$E$198,$B$3)*INDEX(Assumptions!$C$69:$E$69,$B$3)</f>
        <v>6277.34229183551</v>
      </c>
      <c r="M67" s="8" t="n">
        <f aca="false">M31*INDEX(Assumptions!$C$198:$E$198,$B$3)*INDEX(Assumptions!$C$69:$E$69,$B$3)</f>
        <v>6300</v>
      </c>
      <c r="N67" s="8" t="n">
        <f aca="false">N31*INDEX(Assumptions!$C$198:$E$198,$B$3)*INDEX(Assumptions!$C$69:$E$69,$B$3)</f>
        <v>6000</v>
      </c>
      <c r="O67" s="37" t="n">
        <f aca="false">SUM(C67:N67)</f>
        <v>53670.1104476741</v>
      </c>
      <c r="P67" s="2"/>
    </row>
    <row r="68" customFormat="false" ht="15" hidden="false" customHeight="false" outlineLevel="0" collapsed="false">
      <c r="A68" s="3" t="s">
        <v>1172</v>
      </c>
      <c r="C68" s="37" t="n">
        <f aca="false">SUM(C60:C67)</f>
        <v>20004.9909296699</v>
      </c>
      <c r="D68" s="37" t="n">
        <f aca="false">SUM(D60:D67)</f>
        <v>37487.0003352742</v>
      </c>
      <c r="E68" s="37" t="n">
        <f aca="false">SUM(E60:E67)</f>
        <v>64777.719521807</v>
      </c>
      <c r="F68" s="37" t="n">
        <f aca="false">SUM(F60:F67)</f>
        <v>90701.252196848</v>
      </c>
      <c r="G68" s="37" t="n">
        <f aca="false">SUM(G60:G67)</f>
        <v>119828.66086728</v>
      </c>
      <c r="H68" s="37" t="n">
        <f aca="false">SUM(H60:H67)</f>
        <v>111734.751118394</v>
      </c>
      <c r="I68" s="37" t="n">
        <f aca="false">SUM(I60:I67)</f>
        <v>129521.709903784</v>
      </c>
      <c r="J68" s="37" t="n">
        <f aca="false">SUM(J60:J67)</f>
        <v>138952.810881045</v>
      </c>
      <c r="K68" s="37" t="n">
        <f aca="false">SUM(K60:K67)</f>
        <v>128015.290678348</v>
      </c>
      <c r="L68" s="37" t="n">
        <f aca="false">SUM(L60:L67)</f>
        <v>146862.133366145</v>
      </c>
      <c r="M68" s="37" t="n">
        <f aca="false">SUM(M60:M67)</f>
        <v>151645.001558018</v>
      </c>
      <c r="N68" s="37" t="n">
        <f aca="false">SUM(N60:N67)</f>
        <v>150125.421843377</v>
      </c>
      <c r="O68" s="31" t="n">
        <f aca="false">SUM(C68:N68)</f>
        <v>1289656.74319999</v>
      </c>
      <c r="P68" s="2"/>
    </row>
    <row r="69" customFormat="false" ht="15" hidden="false" customHeight="false" outlineLevel="0" collapsed="false">
      <c r="A69" s="3" t="s">
        <v>1173</v>
      </c>
      <c r="C69" s="37" t="n">
        <f aca="false">C57-C68</f>
        <v>76701.6565669605</v>
      </c>
      <c r="D69" s="37" t="n">
        <f aca="false">D57-D68</f>
        <v>139510.886635432</v>
      </c>
      <c r="E69" s="37" t="n">
        <f aca="false">E57-E68</f>
        <v>251591.114989919</v>
      </c>
      <c r="F69" s="37" t="n">
        <f aca="false">F57-F68</f>
        <v>345631.343105216</v>
      </c>
      <c r="G69" s="37" t="n">
        <f aca="false">G57-G68</f>
        <v>424949.110601764</v>
      </c>
      <c r="H69" s="37" t="n">
        <f aca="false">H57-H68</f>
        <v>417173.707112281</v>
      </c>
      <c r="I69" s="37" t="n">
        <f aca="false">I57-I68</f>
        <v>982978.504958958</v>
      </c>
      <c r="J69" s="37" t="n">
        <f aca="false">J57-J68</f>
        <v>1030222.74856007</v>
      </c>
      <c r="K69" s="37" t="n">
        <f aca="false">K57-K68</f>
        <v>741120.447777827</v>
      </c>
      <c r="L69" s="37" t="n">
        <f aca="false">L57-L68</f>
        <v>877410.309566301</v>
      </c>
      <c r="M69" s="37" t="n">
        <f aca="false">M57-M68</f>
        <v>909864.461907681</v>
      </c>
      <c r="N69" s="37" t="n">
        <f aca="false">N57-N68</f>
        <v>901374.632332983</v>
      </c>
      <c r="O69" s="31" t="n">
        <f aca="false">SUM(C69:N69)</f>
        <v>7098528.92411539</v>
      </c>
      <c r="P69" s="2"/>
    </row>
    <row r="70" customFormat="false" ht="15" hidden="false" customHeight="false" outlineLevel="0" collapsed="false">
      <c r="A70" s="28" t="s">
        <v>759</v>
      </c>
      <c r="C70" s="7" t="n">
        <f aca="false">IFERROR(C69/C57,0)</f>
        <v>0.793137375273329</v>
      </c>
      <c r="D70" s="7" t="n">
        <f aca="false">IFERROR(D69/D57,0)</f>
        <v>0.788206509259184</v>
      </c>
      <c r="E70" s="7" t="n">
        <f aca="false">IFERROR(E69/E57,0)</f>
        <v>0.795246204886828</v>
      </c>
      <c r="F70" s="7" t="n">
        <f aca="false">IFERROR(F69/F57,0)</f>
        <v>0.792128176594147</v>
      </c>
      <c r="G70" s="7" t="n">
        <f aca="false">IFERROR(G69/G57,0)</f>
        <v>0.780041207363967</v>
      </c>
      <c r="H70" s="7" t="n">
        <f aca="false">IFERROR(H69/H57,0)</f>
        <v>0.788744631741807</v>
      </c>
      <c r="I70" s="7" t="n">
        <f aca="false">IFERROR(I69/I57,0)</f>
        <v>0.883576013583275</v>
      </c>
      <c r="J70" s="7" t="n">
        <f aca="false">IFERROR(J69/J57,0)</f>
        <v>0.881153168350981</v>
      </c>
      <c r="K70" s="7" t="n">
        <f aca="false">IFERROR(K69/K57,0)</f>
        <v>0.852709668911166</v>
      </c>
      <c r="L70" s="7" t="n">
        <f aca="false">IFERROR(L69/L57,0)</f>
        <v>0.856618095722965</v>
      </c>
      <c r="M70" s="7" t="n">
        <f aca="false">IFERROR(M69/M57,0)</f>
        <v>0.857142110572509</v>
      </c>
      <c r="N70" s="7" t="n">
        <f aca="false">IFERROR(N69/N57,0)</f>
        <v>0.857227376026176</v>
      </c>
      <c r="O70" s="13" t="n">
        <f aca="false">IFERROR(O69/O57,0)</f>
        <v>0.846253195345312</v>
      </c>
      <c r="P70" s="2"/>
    </row>
    <row r="71" customFormat="false" ht="15" hidden="false" customHeight="false" outlineLevel="0" collapsed="false">
      <c r="A71" s="10" t="s">
        <v>1174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customFormat="false" ht="15" hidden="false" customHeight="false" outlineLevel="0" collapsed="false">
      <c r="A72" s="28" t="s">
        <v>1175</v>
      </c>
      <c r="C72" s="8" t="n">
        <f aca="false">ROUNDUP(C33/(INDEX(Assumptions!$C$102:$E$102,$B$3)*$J$3),0)</f>
        <v>1</v>
      </c>
      <c r="D72" s="8" t="n">
        <f aca="false">ROUNDUP(D33/(INDEX(Assumptions!$C$102:$E$102,$B$3)*$J$3),0)</f>
        <v>1</v>
      </c>
      <c r="E72" s="8" t="n">
        <f aca="false">ROUNDUP(E33/(INDEX(Assumptions!$C$102:$E$102,$B$3)*$J$3),0)</f>
        <v>1</v>
      </c>
      <c r="F72" s="8" t="n">
        <f aca="false">ROUNDUP(F33/(INDEX(Assumptions!$C$102:$E$102,$B$3)*$J$3),0)</f>
        <v>1</v>
      </c>
      <c r="G72" s="8" t="n">
        <f aca="false">ROUNDUP(G33/(INDEX(Assumptions!$C$102:$E$102,$B$3)*$J$3),0)</f>
        <v>2</v>
      </c>
      <c r="H72" s="8" t="n">
        <f aca="false">ROUNDUP(H33/(INDEX(Assumptions!$C$102:$E$102,$B$3)*$J$3),0)</f>
        <v>2</v>
      </c>
      <c r="I72" s="8" t="n">
        <f aca="false">ROUNDUP(I33/(INDEX(Assumptions!$C$102:$E$102,$B$3)*$J$3),0)</f>
        <v>3</v>
      </c>
      <c r="J72" s="8" t="n">
        <f aca="false">ROUNDUP(J33/(INDEX(Assumptions!$C$102:$E$102,$B$3)*$J$3),0)</f>
        <v>3</v>
      </c>
      <c r="K72" s="8" t="n">
        <f aca="false">ROUNDUP(K33/(INDEX(Assumptions!$C$102:$E$102,$B$3)*$J$3),0)</f>
        <v>3</v>
      </c>
      <c r="L72" s="8" t="n">
        <f aca="false">ROUNDUP(L33/(INDEX(Assumptions!$C$102:$E$102,$B$3)*$J$3),0)</f>
        <v>3</v>
      </c>
      <c r="M72" s="8" t="n">
        <f aca="false">ROUNDUP(M33/(INDEX(Assumptions!$C$102:$E$102,$B$3)*$J$3),0)</f>
        <v>3</v>
      </c>
      <c r="N72" s="8" t="n">
        <f aca="false">ROUNDUP(N33/(INDEX(Assumptions!$C$102:$E$102,$B$3)*$J$3),0)</f>
        <v>3</v>
      </c>
      <c r="O72" s="37" t="n">
        <f aca="false">MAX(C72:N72)</f>
        <v>3</v>
      </c>
      <c r="P72" s="2"/>
    </row>
    <row r="73" customFormat="false" ht="15" hidden="false" customHeight="false" outlineLevel="0" collapsed="false">
      <c r="A73" s="28" t="s">
        <v>1176</v>
      </c>
      <c r="C73" s="6" t="n">
        <f aca="false">C72*(1-C11)</f>
        <v>0.0833333333333334</v>
      </c>
      <c r="D73" s="6" t="n">
        <f aca="false">D72*(1-D11)</f>
        <v>0.166666666666667</v>
      </c>
      <c r="E73" s="6" t="n">
        <f aca="false">E72*(1-E11)</f>
        <v>0.25</v>
      </c>
      <c r="F73" s="6" t="n">
        <f aca="false">F72*(1-F11)</f>
        <v>0.333333333333333</v>
      </c>
      <c r="G73" s="6" t="n">
        <f aca="false">G72*(1-G11)</f>
        <v>0.833333333333334</v>
      </c>
      <c r="H73" s="6" t="n">
        <f aca="false">H72*(1-H11)</f>
        <v>1</v>
      </c>
      <c r="I73" s="6" t="n">
        <f aca="false">I72*(1-I11)</f>
        <v>1.6</v>
      </c>
      <c r="J73" s="6" t="n">
        <f aca="false">J72*(1-J11)</f>
        <v>1.7</v>
      </c>
      <c r="K73" s="6" t="n">
        <f aca="false">K72*(1-K11)</f>
        <v>1.8</v>
      </c>
      <c r="L73" s="6" t="n">
        <f aca="false">L72*(1-L11)</f>
        <v>1.9</v>
      </c>
      <c r="M73" s="6" t="n">
        <f aca="false">M72*(1-M11)</f>
        <v>2</v>
      </c>
      <c r="N73" s="6" t="n">
        <f aca="false">N72*(1-N11)</f>
        <v>2.1</v>
      </c>
      <c r="O73" s="39" t="n">
        <f aca="false">MAX(C73:N73)</f>
        <v>2.1</v>
      </c>
      <c r="P73" s="2"/>
    </row>
    <row r="74" customFormat="false" ht="15" hidden="false" customHeight="false" outlineLevel="0" collapsed="false">
      <c r="A74" s="28" t="s">
        <v>1177</v>
      </c>
      <c r="C74" s="6" t="n">
        <f aca="false">IF(1&gt;=INDEX(Assumptions!$C$161:$E$161,$D$3),INDEX(Assumptions!$C$162:$E$162,$D$3),0)</f>
        <v>0</v>
      </c>
      <c r="D74" s="6" t="n">
        <f aca="false">IF(2&gt;=INDEX(Assumptions!$C$161:$E$161,$D$3),INDEX(Assumptions!$C$162:$E$162,$D$3),0)</f>
        <v>1</v>
      </c>
      <c r="E74" s="6" t="n">
        <f aca="false">IF(3&gt;=INDEX(Assumptions!$C$161:$E$161,$D$3),INDEX(Assumptions!$C$162:$E$162,$D$3),0)</f>
        <v>1</v>
      </c>
      <c r="F74" s="6" t="n">
        <f aca="false">IF(4&gt;=INDEX(Assumptions!$C$161:$E$161,$D$3),INDEX(Assumptions!$C$162:$E$162,$D$3),0)</f>
        <v>1</v>
      </c>
      <c r="G74" s="6" t="n">
        <f aca="false">IF(5&gt;=INDEX(Assumptions!$C$161:$E$161,$D$3),INDEX(Assumptions!$C$162:$E$162,$D$3),0)</f>
        <v>1</v>
      </c>
      <c r="H74" s="6" t="n">
        <f aca="false">IF(6&gt;=INDEX(Assumptions!$C$161:$E$161,$D$3),INDEX(Assumptions!$C$162:$E$162,$D$3),0)</f>
        <v>1</v>
      </c>
      <c r="I74" s="6" t="n">
        <f aca="false">IF(7&gt;=INDEX(Assumptions!$C$161:$E$161,$D$3),INDEX(Assumptions!$C$162:$E$162,$D$3),0)</f>
        <v>1</v>
      </c>
      <c r="J74" s="6" t="n">
        <f aca="false">IF(8&gt;=INDEX(Assumptions!$C$161:$E$161,$D$3),INDEX(Assumptions!$C$162:$E$162,$D$3),0)</f>
        <v>1</v>
      </c>
      <c r="K74" s="6" t="n">
        <f aca="false">IF(9&gt;=INDEX(Assumptions!$C$161:$E$161,$D$3),INDEX(Assumptions!$C$162:$E$162,$D$3),0)</f>
        <v>1</v>
      </c>
      <c r="L74" s="6" t="n">
        <f aca="false">IF(10&gt;=INDEX(Assumptions!$C$161:$E$161,$D$3),INDEX(Assumptions!$C$162:$E$162,$D$3),0)</f>
        <v>1</v>
      </c>
      <c r="M74" s="6" t="n">
        <f aca="false">IF(11&gt;=INDEX(Assumptions!$C$161:$E$161,$D$3),INDEX(Assumptions!$C$162:$E$162,$D$3),0)</f>
        <v>1</v>
      </c>
      <c r="N74" s="6" t="n">
        <f aca="false">IF(12&gt;=INDEX(Assumptions!$C$161:$E$161,$D$3),INDEX(Assumptions!$C$162:$E$162,$D$3),0)</f>
        <v>1</v>
      </c>
      <c r="O74" s="39" t="n">
        <f aca="false">N74</f>
        <v>1</v>
      </c>
      <c r="P74" s="2"/>
    </row>
    <row r="75" customFormat="false" ht="15" hidden="false" customHeight="false" outlineLevel="0" collapsed="false">
      <c r="A75" s="28" t="s">
        <v>1178</v>
      </c>
      <c r="C75" s="8" t="n">
        <f aca="false">IF(C74=0,0,MAX(0,ROUNDUP((C73-C74*INDEX(Assumptions!$C$101:$E$101,$B$3))/INDEX(Assumptions!$C$101:$E$101,$B$3)-0.1,0)))</f>
        <v>0</v>
      </c>
      <c r="D75" s="8" t="n">
        <f aca="false">IF(D74=0,0,MAX(0,ROUNDUP((D73-D74*INDEX(Assumptions!$C$101:$E$101,$B$3))/INDEX(Assumptions!$C$101:$E$101,$B$3)-0.1,0)))</f>
        <v>0</v>
      </c>
      <c r="E75" s="8" t="n">
        <f aca="false">IF(E74=0,0,MAX(0,ROUNDUP((E73-E74*INDEX(Assumptions!$C$101:$E$101,$B$3))/INDEX(Assumptions!$C$101:$E$101,$B$3)-0.1,0)))</f>
        <v>0</v>
      </c>
      <c r="F75" s="8" t="n">
        <f aca="false">IF(F74=0,0,MAX(0,ROUNDUP((F73-F74*INDEX(Assumptions!$C$101:$E$101,$B$3))/INDEX(Assumptions!$C$101:$E$101,$B$3)-0.1,0)))</f>
        <v>0</v>
      </c>
      <c r="G75" s="8" t="n">
        <f aca="false">IF(G74=0,0,MAX(0,ROUNDUP((G73-G74*INDEX(Assumptions!$C$101:$E$101,$B$3))/INDEX(Assumptions!$C$101:$E$101,$B$3)-0.1,0)))</f>
        <v>0</v>
      </c>
      <c r="H75" s="8" t="n">
        <f aca="false">IF(H74=0,0,MAX(0,ROUNDUP((H73-H74*INDEX(Assumptions!$C$101:$E$101,$B$3))/INDEX(Assumptions!$C$101:$E$101,$B$3)-0.1,0)))</f>
        <v>0</v>
      </c>
      <c r="I75" s="8" t="n">
        <f aca="false">IF(I74=0,0,MAX(0,ROUNDUP((I73-I74*INDEX(Assumptions!$C$101:$E$101,$B$3))/INDEX(Assumptions!$C$101:$E$101,$B$3)-0.1,0)))</f>
        <v>0</v>
      </c>
      <c r="J75" s="8" t="n">
        <f aca="false">IF(J74=0,0,MAX(0,ROUNDUP((J73-J74*INDEX(Assumptions!$C$101:$E$101,$B$3))/INDEX(Assumptions!$C$101:$E$101,$B$3)-0.1,0)))</f>
        <v>0</v>
      </c>
      <c r="K75" s="8" t="n">
        <f aca="false">IF(K74=0,0,MAX(0,ROUNDUP((K73-K74*INDEX(Assumptions!$C$101:$E$101,$B$3))/INDEX(Assumptions!$C$101:$E$101,$B$3)-0.1,0)))</f>
        <v>0</v>
      </c>
      <c r="L75" s="8" t="n">
        <f aca="false">IF(L74=0,0,MAX(0,ROUNDUP((L73-L74*INDEX(Assumptions!$C$101:$E$101,$B$3))/INDEX(Assumptions!$C$101:$E$101,$B$3)-0.1,0)))</f>
        <v>0</v>
      </c>
      <c r="M75" s="8" t="n">
        <f aca="false">IF(M74=0,0,MAX(0,ROUNDUP((M73-M74*INDEX(Assumptions!$C$101:$E$101,$B$3))/INDEX(Assumptions!$C$101:$E$101,$B$3)-0.1,0)))</f>
        <v>0</v>
      </c>
      <c r="N75" s="8" t="n">
        <f aca="false">IF(N74=0,0,MAX(0,ROUNDUP((N73-N74*INDEX(Assumptions!$C$101:$E$101,$B$3))/INDEX(Assumptions!$C$101:$E$101,$B$3)-0.1,0)))</f>
        <v>0</v>
      </c>
      <c r="O75" s="37" t="n">
        <f aca="false">MAX(C75:N75)</f>
        <v>0</v>
      </c>
      <c r="P75" s="2"/>
    </row>
    <row r="76" customFormat="false" ht="15" hidden="false" customHeight="false" outlineLevel="0" collapsed="false">
      <c r="A76" s="28" t="s">
        <v>1179</v>
      </c>
      <c r="C76" s="8" t="n">
        <f aca="false">ROUNDUP(C72/2,0)</f>
        <v>1</v>
      </c>
      <c r="D76" s="8" t="n">
        <f aca="false">ROUNDUP(D72/2,0)</f>
        <v>1</v>
      </c>
      <c r="E76" s="8" t="n">
        <f aca="false">ROUNDUP(E72/2,0)</f>
        <v>1</v>
      </c>
      <c r="F76" s="8" t="n">
        <f aca="false">ROUNDUP(F72/2,0)</f>
        <v>1</v>
      </c>
      <c r="G76" s="8" t="n">
        <f aca="false">ROUNDUP(G72/2,0)</f>
        <v>1</v>
      </c>
      <c r="H76" s="8" t="n">
        <f aca="false">ROUNDUP(H72/2,0)</f>
        <v>1</v>
      </c>
      <c r="I76" s="8" t="n">
        <f aca="false">ROUNDUP(I72/2,0)</f>
        <v>2</v>
      </c>
      <c r="J76" s="8" t="n">
        <f aca="false">ROUNDUP(J72/2,0)</f>
        <v>2</v>
      </c>
      <c r="K76" s="8" t="n">
        <f aca="false">ROUNDUP(K72/2,0)</f>
        <v>2</v>
      </c>
      <c r="L76" s="8" t="n">
        <f aca="false">ROUNDUP(L72/2,0)</f>
        <v>2</v>
      </c>
      <c r="M76" s="8" t="n">
        <f aca="false">ROUNDUP(M72/2,0)</f>
        <v>2</v>
      </c>
      <c r="N76" s="8" t="n">
        <f aca="false">ROUNDUP(N72/2,0)</f>
        <v>2</v>
      </c>
      <c r="O76" s="37" t="n">
        <f aca="false">MAX(C76:N76)</f>
        <v>2</v>
      </c>
      <c r="P76" s="2"/>
    </row>
    <row r="77" customFormat="false" ht="15" hidden="false" customHeight="false" outlineLevel="0" collapsed="false">
      <c r="A77" s="28" t="s">
        <v>1180</v>
      </c>
      <c r="C77" s="8" t="n">
        <f aca="false">C74*INDEX(Assumptions!$C$98:$E$98,$B$3)+C75*INDEX(Assumptions!$C$99:$E$99,$B$3)+C76*INDEX(Assumptions!$C$100:$E$100,$B$3)</f>
        <v>18000</v>
      </c>
      <c r="D77" s="8" t="n">
        <f aca="false">D74*INDEX(Assumptions!$C$98:$E$98,$B$3)+D75*INDEX(Assumptions!$C$99:$E$99,$B$3)+D76*INDEX(Assumptions!$C$100:$E$100,$B$3)</f>
        <v>78000</v>
      </c>
      <c r="E77" s="8" t="n">
        <f aca="false">E74*INDEX(Assumptions!$C$98:$E$98,$B$3)+E75*INDEX(Assumptions!$C$99:$E$99,$B$3)+E76*INDEX(Assumptions!$C$100:$E$100,$B$3)</f>
        <v>78000</v>
      </c>
      <c r="F77" s="8" t="n">
        <f aca="false">F74*INDEX(Assumptions!$C$98:$E$98,$B$3)+F75*INDEX(Assumptions!$C$99:$E$99,$B$3)+F76*INDEX(Assumptions!$C$100:$E$100,$B$3)</f>
        <v>78000</v>
      </c>
      <c r="G77" s="8" t="n">
        <f aca="false">G74*INDEX(Assumptions!$C$98:$E$98,$B$3)+G75*INDEX(Assumptions!$C$99:$E$99,$B$3)+G76*INDEX(Assumptions!$C$100:$E$100,$B$3)</f>
        <v>78000</v>
      </c>
      <c r="H77" s="8" t="n">
        <f aca="false">H74*INDEX(Assumptions!$C$98:$E$98,$B$3)+H75*INDEX(Assumptions!$C$99:$E$99,$B$3)+H76*INDEX(Assumptions!$C$100:$E$100,$B$3)</f>
        <v>78000</v>
      </c>
      <c r="I77" s="8" t="n">
        <f aca="false">I74*INDEX(Assumptions!$C$98:$E$98,$B$3)+I75*INDEX(Assumptions!$C$99:$E$99,$B$3)+I76*INDEX(Assumptions!$C$100:$E$100,$B$3)</f>
        <v>96000</v>
      </c>
      <c r="J77" s="8" t="n">
        <f aca="false">J74*INDEX(Assumptions!$C$98:$E$98,$B$3)+J75*INDEX(Assumptions!$C$99:$E$99,$B$3)+J76*INDEX(Assumptions!$C$100:$E$100,$B$3)</f>
        <v>96000</v>
      </c>
      <c r="K77" s="8" t="n">
        <f aca="false">K74*INDEX(Assumptions!$C$98:$E$98,$B$3)+K75*INDEX(Assumptions!$C$99:$E$99,$B$3)+K76*INDEX(Assumptions!$C$100:$E$100,$B$3)</f>
        <v>96000</v>
      </c>
      <c r="L77" s="8" t="n">
        <f aca="false">L74*INDEX(Assumptions!$C$98:$E$98,$B$3)+L75*INDEX(Assumptions!$C$99:$E$99,$B$3)+L76*INDEX(Assumptions!$C$100:$E$100,$B$3)</f>
        <v>96000</v>
      </c>
      <c r="M77" s="8" t="n">
        <f aca="false">M74*INDEX(Assumptions!$C$98:$E$98,$B$3)+M75*INDEX(Assumptions!$C$99:$E$99,$B$3)+M76*INDEX(Assumptions!$C$100:$E$100,$B$3)</f>
        <v>96000</v>
      </c>
      <c r="N77" s="8" t="n">
        <f aca="false">N74*INDEX(Assumptions!$C$98:$E$98,$B$3)+N75*INDEX(Assumptions!$C$99:$E$99,$B$3)+N76*INDEX(Assumptions!$C$100:$E$100,$B$3)</f>
        <v>96000</v>
      </c>
      <c r="O77" s="37" t="n">
        <f aca="false">SUM(C77:N77)</f>
        <v>984000</v>
      </c>
      <c r="P77" s="2"/>
    </row>
    <row r="78" customFormat="false" ht="15" hidden="false" customHeight="false" outlineLevel="0" collapsed="false">
      <c r="A78" s="28" t="s">
        <v>1181</v>
      </c>
      <c r="C78" s="8" t="n">
        <f aca="false">(IF(1&gt;=INDEX(Assumptions!$C$164:$E$164,$D$3),1,0)+IF(1&gt;=INDEX(Assumptions!$C$166:$E$166,$D$3),INDEX(Assumptions!$C$165:$E$165,$D$3),0))*INDEX(Assumptions!$C$108:$E$108,$D$3)</f>
        <v>25000</v>
      </c>
      <c r="D78" s="8" t="n">
        <f aca="false">(IF(2&gt;=INDEX(Assumptions!$C$164:$E$164,$D$3),1,0)+IF(2&gt;=INDEX(Assumptions!$C$166:$E$166,$D$3),INDEX(Assumptions!$C$165:$E$165,$D$3),0))*INDEX(Assumptions!$C$108:$E$108,$D$3)</f>
        <v>25000</v>
      </c>
      <c r="E78" s="8" t="n">
        <f aca="false">(IF(3&gt;=INDEX(Assumptions!$C$164:$E$164,$D$3),1,0)+IF(3&gt;=INDEX(Assumptions!$C$166:$E$166,$D$3),INDEX(Assumptions!$C$165:$E$165,$D$3),0))*INDEX(Assumptions!$C$108:$E$108,$D$3)</f>
        <v>25000</v>
      </c>
      <c r="F78" s="8" t="n">
        <f aca="false">(IF(4&gt;=INDEX(Assumptions!$C$164:$E$164,$D$3),1,0)+IF(4&gt;=INDEX(Assumptions!$C$166:$E$166,$D$3),INDEX(Assumptions!$C$165:$E$165,$D$3),0))*INDEX(Assumptions!$C$108:$E$108,$D$3)</f>
        <v>25000</v>
      </c>
      <c r="G78" s="8" t="n">
        <f aca="false">(IF(5&gt;=INDEX(Assumptions!$C$164:$E$164,$D$3),1,0)+IF(5&gt;=INDEX(Assumptions!$C$166:$E$166,$D$3),INDEX(Assumptions!$C$165:$E$165,$D$3),0))*INDEX(Assumptions!$C$108:$E$108,$D$3)</f>
        <v>25000</v>
      </c>
      <c r="H78" s="8" t="n">
        <f aca="false">(IF(6&gt;=INDEX(Assumptions!$C$164:$E$164,$D$3),1,0)+IF(6&gt;=INDEX(Assumptions!$C$166:$E$166,$D$3),INDEX(Assumptions!$C$165:$E$165,$D$3),0))*INDEX(Assumptions!$C$108:$E$108,$D$3)</f>
        <v>37500</v>
      </c>
      <c r="I78" s="8" t="n">
        <f aca="false">(IF(7&gt;=INDEX(Assumptions!$C$164:$E$164,$D$3),1,0)+IF(7&gt;=INDEX(Assumptions!$C$166:$E$166,$D$3),INDEX(Assumptions!$C$165:$E$165,$D$3),0))*INDEX(Assumptions!$C$108:$E$108,$D$3)</f>
        <v>37500</v>
      </c>
      <c r="J78" s="8" t="n">
        <f aca="false">(IF(8&gt;=INDEX(Assumptions!$C$164:$E$164,$D$3),1,0)+IF(8&gt;=INDEX(Assumptions!$C$166:$E$166,$D$3),INDEX(Assumptions!$C$165:$E$165,$D$3),0))*INDEX(Assumptions!$C$108:$E$108,$D$3)</f>
        <v>37500</v>
      </c>
      <c r="K78" s="8" t="n">
        <f aca="false">(IF(9&gt;=INDEX(Assumptions!$C$164:$E$164,$D$3),1,0)+IF(9&gt;=INDEX(Assumptions!$C$166:$E$166,$D$3),INDEX(Assumptions!$C$165:$E$165,$D$3),0))*INDEX(Assumptions!$C$108:$E$108,$D$3)</f>
        <v>37500</v>
      </c>
      <c r="L78" s="8" t="n">
        <f aca="false">(IF(10&gt;=INDEX(Assumptions!$C$164:$E$164,$D$3),1,0)+IF(10&gt;=INDEX(Assumptions!$C$166:$E$166,$D$3),INDEX(Assumptions!$C$165:$E$165,$D$3),0))*INDEX(Assumptions!$C$108:$E$108,$D$3)</f>
        <v>37500</v>
      </c>
      <c r="M78" s="8" t="n">
        <f aca="false">(IF(11&gt;=INDEX(Assumptions!$C$164:$E$164,$D$3),1,0)+IF(11&gt;=INDEX(Assumptions!$C$166:$E$166,$D$3),INDEX(Assumptions!$C$165:$E$165,$D$3),0))*INDEX(Assumptions!$C$108:$E$108,$D$3)</f>
        <v>37500</v>
      </c>
      <c r="N78" s="8" t="n">
        <f aca="false">(IF(12&gt;=INDEX(Assumptions!$C$164:$E$164,$D$3),1,0)+IF(12&gt;=INDEX(Assumptions!$C$166:$E$166,$D$3),INDEX(Assumptions!$C$165:$E$165,$D$3),0))*INDEX(Assumptions!$C$108:$E$108,$D$3)</f>
        <v>37500</v>
      </c>
      <c r="O78" s="37" t="n">
        <f aca="false">SUM(C78:N78)</f>
        <v>387500</v>
      </c>
      <c r="P78" s="2"/>
    </row>
    <row r="79" customFormat="false" ht="15" hidden="false" customHeight="false" outlineLevel="0" collapsed="false">
      <c r="A79" s="28" t="s">
        <v>1182</v>
      </c>
      <c r="C79" s="8" t="n">
        <f aca="false">IF(1&gt;=INDEX(Assumptions!$C$167:$E$167,$D$3),INDEX(Assumptions!$C$109:$E$109,$D$3),0)+INDEX(Assumptions!$C$110:$E$110,$D$3)+IF(1&gt;=INDEX(Assumptions!$C$168:$E$168,$D$3),INDEX(Assumptions!$C$111:$E$111,$D$3),0)+IF(1&gt;=INDEX(Assumptions!$C$169:$E$169,$D$3),INDEX(Assumptions!$C$113:$E$113,$D$3),0)</f>
        <v>20000</v>
      </c>
      <c r="D79" s="8" t="n">
        <f aca="false">IF(2&gt;=INDEX(Assumptions!$C$167:$E$167,$D$3),INDEX(Assumptions!$C$109:$E$109,$D$3),0)+INDEX(Assumptions!$C$110:$E$110,$D$3)+IF(2&gt;=INDEX(Assumptions!$C$168:$E$168,$D$3),INDEX(Assumptions!$C$111:$E$111,$D$3),0)+IF(2&gt;=INDEX(Assumptions!$C$169:$E$169,$D$3),INDEX(Assumptions!$C$113:$E$113,$D$3),0)</f>
        <v>75000</v>
      </c>
      <c r="E79" s="8" t="n">
        <f aca="false">IF(3&gt;=INDEX(Assumptions!$C$167:$E$167,$D$3),INDEX(Assumptions!$C$109:$E$109,$D$3),0)+INDEX(Assumptions!$C$110:$E$110,$D$3)+IF(3&gt;=INDEX(Assumptions!$C$168:$E$168,$D$3),INDEX(Assumptions!$C$111:$E$111,$D$3),0)+IF(3&gt;=INDEX(Assumptions!$C$169:$E$169,$D$3),INDEX(Assumptions!$C$113:$E$113,$D$3),0)</f>
        <v>90000</v>
      </c>
      <c r="F79" s="8" t="n">
        <f aca="false">IF(4&gt;=INDEX(Assumptions!$C$167:$E$167,$D$3),INDEX(Assumptions!$C$109:$E$109,$D$3),0)+INDEX(Assumptions!$C$110:$E$110,$D$3)+IF(4&gt;=INDEX(Assumptions!$C$168:$E$168,$D$3),INDEX(Assumptions!$C$111:$E$111,$D$3),0)+IF(4&gt;=INDEX(Assumptions!$C$169:$E$169,$D$3),INDEX(Assumptions!$C$113:$E$113,$D$3),0)</f>
        <v>90000</v>
      </c>
      <c r="G79" s="8" t="n">
        <f aca="false">IF(5&gt;=INDEX(Assumptions!$C$167:$E$167,$D$3),INDEX(Assumptions!$C$109:$E$109,$D$3),0)+INDEX(Assumptions!$C$110:$E$110,$D$3)+IF(5&gt;=INDEX(Assumptions!$C$168:$E$168,$D$3),INDEX(Assumptions!$C$111:$E$111,$D$3),0)+IF(5&gt;=INDEX(Assumptions!$C$169:$E$169,$D$3),INDEX(Assumptions!$C$113:$E$113,$D$3),0)</f>
        <v>90000</v>
      </c>
      <c r="H79" s="8" t="n">
        <f aca="false">IF(6&gt;=INDEX(Assumptions!$C$167:$E$167,$D$3),INDEX(Assumptions!$C$109:$E$109,$D$3),0)+INDEX(Assumptions!$C$110:$E$110,$D$3)+IF(6&gt;=INDEX(Assumptions!$C$168:$E$168,$D$3),INDEX(Assumptions!$C$111:$E$111,$D$3),0)+IF(6&gt;=INDEX(Assumptions!$C$169:$E$169,$D$3),INDEX(Assumptions!$C$113:$E$113,$D$3),0)</f>
        <v>90000</v>
      </c>
      <c r="I79" s="8" t="n">
        <f aca="false">IF(7&gt;=INDEX(Assumptions!$C$167:$E$167,$D$3),INDEX(Assumptions!$C$109:$E$109,$D$3),0)+INDEX(Assumptions!$C$110:$E$110,$D$3)+IF(7&gt;=INDEX(Assumptions!$C$168:$E$168,$D$3),INDEX(Assumptions!$C$111:$E$111,$D$3),0)+IF(7&gt;=INDEX(Assumptions!$C$169:$E$169,$D$3),INDEX(Assumptions!$C$113:$E$113,$D$3),0)</f>
        <v>90000</v>
      </c>
      <c r="J79" s="8" t="n">
        <f aca="false">IF(8&gt;=INDEX(Assumptions!$C$167:$E$167,$D$3),INDEX(Assumptions!$C$109:$E$109,$D$3),0)+INDEX(Assumptions!$C$110:$E$110,$D$3)+IF(8&gt;=INDEX(Assumptions!$C$168:$E$168,$D$3),INDEX(Assumptions!$C$111:$E$111,$D$3),0)+IF(8&gt;=INDEX(Assumptions!$C$169:$E$169,$D$3),INDEX(Assumptions!$C$113:$E$113,$D$3),0)</f>
        <v>90000</v>
      </c>
      <c r="K79" s="8" t="n">
        <f aca="false">IF(9&gt;=INDEX(Assumptions!$C$167:$E$167,$D$3),INDEX(Assumptions!$C$109:$E$109,$D$3),0)+INDEX(Assumptions!$C$110:$E$110,$D$3)+IF(9&gt;=INDEX(Assumptions!$C$168:$E$168,$D$3),INDEX(Assumptions!$C$111:$E$111,$D$3),0)+IF(9&gt;=INDEX(Assumptions!$C$169:$E$169,$D$3),INDEX(Assumptions!$C$113:$E$113,$D$3),0)</f>
        <v>90000</v>
      </c>
      <c r="L79" s="8" t="n">
        <f aca="false">IF(10&gt;=INDEX(Assumptions!$C$167:$E$167,$D$3),INDEX(Assumptions!$C$109:$E$109,$D$3),0)+INDEX(Assumptions!$C$110:$E$110,$D$3)+IF(10&gt;=INDEX(Assumptions!$C$168:$E$168,$D$3),INDEX(Assumptions!$C$111:$E$111,$D$3),0)+IF(10&gt;=INDEX(Assumptions!$C$169:$E$169,$D$3),INDEX(Assumptions!$C$113:$E$113,$D$3),0)</f>
        <v>90000</v>
      </c>
      <c r="M79" s="8" t="n">
        <f aca="false">IF(11&gt;=INDEX(Assumptions!$C$167:$E$167,$D$3),INDEX(Assumptions!$C$109:$E$109,$D$3),0)+INDEX(Assumptions!$C$110:$E$110,$D$3)+IF(11&gt;=INDEX(Assumptions!$C$168:$E$168,$D$3),INDEX(Assumptions!$C$111:$E$111,$D$3),0)+IF(11&gt;=INDEX(Assumptions!$C$169:$E$169,$D$3),INDEX(Assumptions!$C$113:$E$113,$D$3),0)</f>
        <v>90000</v>
      </c>
      <c r="N79" s="8" t="n">
        <f aca="false">IF(12&gt;=INDEX(Assumptions!$C$167:$E$167,$D$3),INDEX(Assumptions!$C$109:$E$109,$D$3),0)+INDEX(Assumptions!$C$110:$E$110,$D$3)+IF(12&gt;=INDEX(Assumptions!$C$168:$E$168,$D$3),INDEX(Assumptions!$C$111:$E$111,$D$3),0)+IF(12&gt;=INDEX(Assumptions!$C$169:$E$169,$D$3),INDEX(Assumptions!$C$113:$E$113,$D$3),0)</f>
        <v>90000</v>
      </c>
      <c r="O79" s="37" t="n">
        <f aca="false">SUM(C79:N79)</f>
        <v>995000</v>
      </c>
      <c r="P79" s="2"/>
    </row>
    <row r="80" customFormat="false" ht="15" hidden="false" customHeight="false" outlineLevel="0" collapsed="false">
      <c r="A80" s="28" t="s">
        <v>1183</v>
      </c>
      <c r="C80" s="8" t="n">
        <f aca="false">IF(1&gt;=INDEX(Assumptions!$C$173:$E$173,$D$3),INDEX(Assumptions!$C$185:$E$185,$D$3),0)</f>
        <v>0</v>
      </c>
      <c r="D80" s="8" t="n">
        <f aca="false">IF(2&gt;=INDEX(Assumptions!$C$173:$E$173,$D$3),INDEX(Assumptions!$C$185:$E$185,$D$3),0)</f>
        <v>0</v>
      </c>
      <c r="E80" s="8" t="n">
        <f aca="false">IF(3&gt;=INDEX(Assumptions!$C$173:$E$173,$D$3),INDEX(Assumptions!$C$185:$E$185,$D$3),0)</f>
        <v>0</v>
      </c>
      <c r="F80" s="8" t="n">
        <f aca="false">IF(4&gt;=INDEX(Assumptions!$C$173:$E$173,$D$3),INDEX(Assumptions!$C$185:$E$185,$D$3),0)</f>
        <v>0</v>
      </c>
      <c r="G80" s="8" t="n">
        <f aca="false">IF(5&gt;=INDEX(Assumptions!$C$173:$E$173,$D$3),INDEX(Assumptions!$C$185:$E$185,$D$3),0)</f>
        <v>0</v>
      </c>
      <c r="H80" s="8" t="n">
        <f aca="false">IF(6&gt;=INDEX(Assumptions!$C$173:$E$173,$D$3),INDEX(Assumptions!$C$185:$E$185,$D$3),0)</f>
        <v>0</v>
      </c>
      <c r="I80" s="8" t="n">
        <f aca="false">IF(7&gt;=INDEX(Assumptions!$C$173:$E$173,$D$3),INDEX(Assumptions!$C$185:$E$185,$D$3),0)</f>
        <v>18000</v>
      </c>
      <c r="J80" s="8" t="n">
        <f aca="false">IF(8&gt;=INDEX(Assumptions!$C$173:$E$173,$D$3),INDEX(Assumptions!$C$185:$E$185,$D$3),0)</f>
        <v>18000</v>
      </c>
      <c r="K80" s="8" t="n">
        <f aca="false">IF(9&gt;=INDEX(Assumptions!$C$173:$E$173,$D$3),INDEX(Assumptions!$C$185:$E$185,$D$3),0)</f>
        <v>18000</v>
      </c>
      <c r="L80" s="8" t="n">
        <f aca="false">IF(10&gt;=INDEX(Assumptions!$C$173:$E$173,$D$3),INDEX(Assumptions!$C$185:$E$185,$D$3),0)</f>
        <v>18000</v>
      </c>
      <c r="M80" s="8" t="n">
        <f aca="false">IF(11&gt;=INDEX(Assumptions!$C$173:$E$173,$D$3),INDEX(Assumptions!$C$185:$E$185,$D$3),0)</f>
        <v>18000</v>
      </c>
      <c r="N80" s="8" t="n">
        <f aca="false">IF(12&gt;=INDEX(Assumptions!$C$173:$E$173,$D$3),INDEX(Assumptions!$C$185:$E$185,$D$3),0)</f>
        <v>18000</v>
      </c>
      <c r="O80" s="37" t="n">
        <f aca="false">SUM(C80:N80)</f>
        <v>108000</v>
      </c>
      <c r="P80" s="2"/>
    </row>
    <row r="81" customFormat="false" ht="15" hidden="false" customHeight="false" outlineLevel="0" collapsed="false">
      <c r="A81" s="28" t="s">
        <v>1184</v>
      </c>
      <c r="C81" s="8" t="n">
        <f aca="false">IF(1&gt;=INDEX(Assumptions!$C$187:$E$187,$D$3),INDEX(Assumptions!$C$186:$E$186,$B$3),0)</f>
        <v>0</v>
      </c>
      <c r="D81" s="8" t="n">
        <f aca="false">IF(2&gt;=INDEX(Assumptions!$C$187:$E$187,$D$3),INDEX(Assumptions!$C$186:$E$186,$B$3),0)</f>
        <v>0</v>
      </c>
      <c r="E81" s="8" t="n">
        <f aca="false">IF(3&gt;=INDEX(Assumptions!$C$187:$E$187,$D$3),INDEX(Assumptions!$C$186:$E$186,$B$3),0)</f>
        <v>0</v>
      </c>
      <c r="F81" s="8" t="n">
        <f aca="false">IF(4&gt;=INDEX(Assumptions!$C$187:$E$187,$D$3),INDEX(Assumptions!$C$186:$E$186,$B$3),0)</f>
        <v>0</v>
      </c>
      <c r="G81" s="8" t="n">
        <f aca="false">IF(5&gt;=INDEX(Assumptions!$C$187:$E$187,$D$3),INDEX(Assumptions!$C$186:$E$186,$B$3),0)</f>
        <v>0</v>
      </c>
      <c r="H81" s="8" t="n">
        <f aca="false">IF(6&gt;=INDEX(Assumptions!$C$187:$E$187,$D$3),INDEX(Assumptions!$C$186:$E$186,$B$3),0)</f>
        <v>0</v>
      </c>
      <c r="I81" s="8" t="n">
        <f aca="false">IF(7&gt;=INDEX(Assumptions!$C$187:$E$187,$D$3),INDEX(Assumptions!$C$186:$E$186,$B$3),0)</f>
        <v>0</v>
      </c>
      <c r="J81" s="8" t="n">
        <f aca="false">IF(8&gt;=INDEX(Assumptions!$C$187:$E$187,$D$3),INDEX(Assumptions!$C$186:$E$186,$B$3),0)</f>
        <v>0</v>
      </c>
      <c r="K81" s="8" t="n">
        <f aca="false">IF(9&gt;=INDEX(Assumptions!$C$187:$E$187,$D$3),INDEX(Assumptions!$C$186:$E$186,$B$3),0)</f>
        <v>0</v>
      </c>
      <c r="L81" s="8" t="n">
        <f aca="false">IF(10&gt;=INDEX(Assumptions!$C$187:$E$187,$D$3),INDEX(Assumptions!$C$186:$E$186,$B$3),0)</f>
        <v>0</v>
      </c>
      <c r="M81" s="8" t="n">
        <f aca="false">IF(11&gt;=INDEX(Assumptions!$C$187:$E$187,$D$3),INDEX(Assumptions!$C$186:$E$186,$B$3),0)</f>
        <v>0</v>
      </c>
      <c r="N81" s="8" t="n">
        <f aca="false">IF(12&gt;=INDEX(Assumptions!$C$187:$E$187,$D$3),INDEX(Assumptions!$C$186:$E$186,$B$3),0)</f>
        <v>0</v>
      </c>
      <c r="O81" s="37" t="n">
        <f aca="false">SUM(C81:N81)</f>
        <v>0</v>
      </c>
      <c r="P81" s="2"/>
    </row>
    <row r="82" customFormat="false" ht="15" hidden="false" customHeight="false" outlineLevel="0" collapsed="false">
      <c r="A82" s="3" t="s">
        <v>1185</v>
      </c>
      <c r="C82" s="37" t="n">
        <f aca="false">SUM(C77:C81)</f>
        <v>63000</v>
      </c>
      <c r="D82" s="37" t="n">
        <f aca="false">SUM(D77:D81)</f>
        <v>178000</v>
      </c>
      <c r="E82" s="37" t="n">
        <f aca="false">SUM(E77:E81)</f>
        <v>193000</v>
      </c>
      <c r="F82" s="37" t="n">
        <f aca="false">SUM(F77:F81)</f>
        <v>193000</v>
      </c>
      <c r="G82" s="37" t="n">
        <f aca="false">SUM(G77:G81)</f>
        <v>193000</v>
      </c>
      <c r="H82" s="37" t="n">
        <f aca="false">SUM(H77:H81)</f>
        <v>205500</v>
      </c>
      <c r="I82" s="37" t="n">
        <f aca="false">SUM(I77:I81)</f>
        <v>241500</v>
      </c>
      <c r="J82" s="37" t="n">
        <f aca="false">SUM(J77:J81)</f>
        <v>241500</v>
      </c>
      <c r="K82" s="37" t="n">
        <f aca="false">SUM(K77:K81)</f>
        <v>241500</v>
      </c>
      <c r="L82" s="37" t="n">
        <f aca="false">SUM(L77:L81)</f>
        <v>241500</v>
      </c>
      <c r="M82" s="37" t="n">
        <f aca="false">SUM(M77:M81)</f>
        <v>241500</v>
      </c>
      <c r="N82" s="37" t="n">
        <f aca="false">SUM(N77:N81)</f>
        <v>241500</v>
      </c>
      <c r="O82" s="31" t="n">
        <f aca="false">SUM(C82:N82)</f>
        <v>2474500</v>
      </c>
      <c r="P82" s="2"/>
    </row>
    <row r="83" customFormat="false" ht="15" hidden="false" customHeight="false" outlineLevel="0" collapsed="false">
      <c r="A83" s="10" t="s">
        <v>1186</v>
      </c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</row>
    <row r="84" customFormat="false" ht="15" hidden="false" customHeight="false" outlineLevel="0" collapsed="false">
      <c r="A84" s="28" t="s">
        <v>1187</v>
      </c>
      <c r="C84" s="8" t="n">
        <f aca="false">IF(1&gt;=INDEX(Assumptions!$C$173:$E$173,$D$3),INDEX(Assumptions!$C$174:$E$174,$D$3)*INDEX(Assumptions!$C$175:$E$175,$B$3),INDEX(Assumptions!$C$179:$E$179,$B$3))*$F$4</f>
        <v>35000</v>
      </c>
      <c r="D84" s="8" t="n">
        <f aca="false">IF(2&gt;=INDEX(Assumptions!$C$173:$E$173,$D$3),INDEX(Assumptions!$C$174:$E$174,$D$3)*INDEX(Assumptions!$C$175:$E$175,$B$3),INDEX(Assumptions!$C$179:$E$179,$B$3))*$F$4</f>
        <v>35000</v>
      </c>
      <c r="E84" s="8" t="n">
        <f aca="false">IF(3&gt;=INDEX(Assumptions!$C$173:$E$173,$D$3),INDEX(Assumptions!$C$174:$E$174,$D$3)*INDEX(Assumptions!$C$175:$E$175,$B$3),INDEX(Assumptions!$C$179:$E$179,$B$3))*$F$4</f>
        <v>35000</v>
      </c>
      <c r="F84" s="8" t="n">
        <f aca="false">IF(4&gt;=INDEX(Assumptions!$C$173:$E$173,$D$3),INDEX(Assumptions!$C$174:$E$174,$D$3)*INDEX(Assumptions!$C$175:$E$175,$B$3),INDEX(Assumptions!$C$179:$E$179,$B$3))*$F$4</f>
        <v>35000</v>
      </c>
      <c r="G84" s="8" t="n">
        <f aca="false">IF(5&gt;=INDEX(Assumptions!$C$173:$E$173,$D$3),INDEX(Assumptions!$C$174:$E$174,$D$3)*INDEX(Assumptions!$C$175:$E$175,$B$3),INDEX(Assumptions!$C$179:$E$179,$B$3))*$F$4</f>
        <v>35000</v>
      </c>
      <c r="H84" s="8" t="n">
        <f aca="false">IF(6&gt;=INDEX(Assumptions!$C$173:$E$173,$D$3),INDEX(Assumptions!$C$174:$E$174,$D$3)*INDEX(Assumptions!$C$175:$E$175,$B$3),INDEX(Assumptions!$C$179:$E$179,$B$3))*$F$4</f>
        <v>35000</v>
      </c>
      <c r="I84" s="8" t="n">
        <f aca="false">IF(7&gt;=INDEX(Assumptions!$C$173:$E$173,$D$3),INDEX(Assumptions!$C$174:$E$174,$D$3)*INDEX(Assumptions!$C$175:$E$175,$B$3),INDEX(Assumptions!$C$179:$E$179,$B$3))*$F$4</f>
        <v>104000</v>
      </c>
      <c r="J84" s="8" t="n">
        <f aca="false">IF(8&gt;=INDEX(Assumptions!$C$173:$E$173,$D$3),INDEX(Assumptions!$C$174:$E$174,$D$3)*INDEX(Assumptions!$C$175:$E$175,$B$3),INDEX(Assumptions!$C$179:$E$179,$B$3))*$F$4</f>
        <v>104000</v>
      </c>
      <c r="K84" s="8" t="n">
        <f aca="false">IF(9&gt;=INDEX(Assumptions!$C$173:$E$173,$D$3),INDEX(Assumptions!$C$174:$E$174,$D$3)*INDEX(Assumptions!$C$175:$E$175,$B$3),INDEX(Assumptions!$C$179:$E$179,$B$3))*$F$4</f>
        <v>104000</v>
      </c>
      <c r="L84" s="8" t="n">
        <f aca="false">IF(10&gt;=INDEX(Assumptions!$C$173:$E$173,$D$3),INDEX(Assumptions!$C$174:$E$174,$D$3)*INDEX(Assumptions!$C$175:$E$175,$B$3),INDEX(Assumptions!$C$179:$E$179,$B$3))*$F$4</f>
        <v>104000</v>
      </c>
      <c r="M84" s="8" t="n">
        <f aca="false">IF(11&gt;=INDEX(Assumptions!$C$173:$E$173,$D$3),INDEX(Assumptions!$C$174:$E$174,$D$3)*INDEX(Assumptions!$C$175:$E$175,$B$3),INDEX(Assumptions!$C$179:$E$179,$B$3))*$F$4</f>
        <v>104000</v>
      </c>
      <c r="N84" s="8" t="n">
        <f aca="false">IF(12&gt;=INDEX(Assumptions!$C$173:$E$173,$D$3),INDEX(Assumptions!$C$174:$E$174,$D$3)*INDEX(Assumptions!$C$175:$E$175,$B$3),INDEX(Assumptions!$C$179:$E$179,$B$3))*$F$4</f>
        <v>104000</v>
      </c>
      <c r="O84" s="37" t="n">
        <f aca="false">SUM(C84:N84)</f>
        <v>834000</v>
      </c>
      <c r="P84" s="2"/>
    </row>
    <row r="85" customFormat="false" ht="15" hidden="false" customHeight="false" outlineLevel="0" collapsed="false">
      <c r="A85" s="28" t="s">
        <v>1188</v>
      </c>
      <c r="C85" s="8" t="n">
        <f aca="false">IF(1&gt;=INDEX(Assumptions!$C$173:$E$173,$D$3),INDEX(Assumptions!$C$174:$E$174,$D$3)*INDEX(Assumptions!$C$181:$E$181,$B$3),INDEX(Assumptions!$C$180:$E$180,$B$3))</f>
        <v>10000</v>
      </c>
      <c r="D85" s="8" t="n">
        <f aca="false">IF(2&gt;=INDEX(Assumptions!$C$173:$E$173,$D$3),INDEX(Assumptions!$C$174:$E$174,$D$3)*INDEX(Assumptions!$C$181:$E$181,$B$3),INDEX(Assumptions!$C$180:$E$180,$B$3))</f>
        <v>10000</v>
      </c>
      <c r="E85" s="8" t="n">
        <f aca="false">IF(3&gt;=INDEX(Assumptions!$C$173:$E$173,$D$3),INDEX(Assumptions!$C$174:$E$174,$D$3)*INDEX(Assumptions!$C$181:$E$181,$B$3),INDEX(Assumptions!$C$180:$E$180,$B$3))</f>
        <v>10000</v>
      </c>
      <c r="F85" s="8" t="n">
        <f aca="false">IF(4&gt;=INDEX(Assumptions!$C$173:$E$173,$D$3),INDEX(Assumptions!$C$174:$E$174,$D$3)*INDEX(Assumptions!$C$181:$E$181,$B$3),INDEX(Assumptions!$C$180:$E$180,$B$3))</f>
        <v>10000</v>
      </c>
      <c r="G85" s="8" t="n">
        <f aca="false">IF(5&gt;=INDEX(Assumptions!$C$173:$E$173,$D$3),INDEX(Assumptions!$C$174:$E$174,$D$3)*INDEX(Assumptions!$C$181:$E$181,$B$3),INDEX(Assumptions!$C$180:$E$180,$B$3))</f>
        <v>10000</v>
      </c>
      <c r="H85" s="8" t="n">
        <f aca="false">IF(6&gt;=INDEX(Assumptions!$C$173:$E$173,$D$3),INDEX(Assumptions!$C$174:$E$174,$D$3)*INDEX(Assumptions!$C$181:$E$181,$B$3),INDEX(Assumptions!$C$180:$E$180,$B$3))</f>
        <v>10000</v>
      </c>
      <c r="I85" s="8" t="n">
        <f aca="false">IF(7&gt;=INDEX(Assumptions!$C$173:$E$173,$D$3),INDEX(Assumptions!$C$174:$E$174,$D$3)*INDEX(Assumptions!$C$181:$E$181,$B$3),INDEX(Assumptions!$C$180:$E$180,$B$3))</f>
        <v>15600</v>
      </c>
      <c r="J85" s="8" t="n">
        <f aca="false">IF(8&gt;=INDEX(Assumptions!$C$173:$E$173,$D$3),INDEX(Assumptions!$C$174:$E$174,$D$3)*INDEX(Assumptions!$C$181:$E$181,$B$3),INDEX(Assumptions!$C$180:$E$180,$B$3))</f>
        <v>15600</v>
      </c>
      <c r="K85" s="8" t="n">
        <f aca="false">IF(9&gt;=INDEX(Assumptions!$C$173:$E$173,$D$3),INDEX(Assumptions!$C$174:$E$174,$D$3)*INDEX(Assumptions!$C$181:$E$181,$B$3),INDEX(Assumptions!$C$180:$E$180,$B$3))</f>
        <v>15600</v>
      </c>
      <c r="L85" s="8" t="n">
        <f aca="false">IF(10&gt;=INDEX(Assumptions!$C$173:$E$173,$D$3),INDEX(Assumptions!$C$174:$E$174,$D$3)*INDEX(Assumptions!$C$181:$E$181,$B$3),INDEX(Assumptions!$C$180:$E$180,$B$3))</f>
        <v>15600</v>
      </c>
      <c r="M85" s="8" t="n">
        <f aca="false">IF(11&gt;=INDEX(Assumptions!$C$173:$E$173,$D$3),INDEX(Assumptions!$C$174:$E$174,$D$3)*INDEX(Assumptions!$C$181:$E$181,$B$3),INDEX(Assumptions!$C$180:$E$180,$B$3))</f>
        <v>15600</v>
      </c>
      <c r="N85" s="8" t="n">
        <f aca="false">IF(12&gt;=INDEX(Assumptions!$C$173:$E$173,$D$3),INDEX(Assumptions!$C$174:$E$174,$D$3)*INDEX(Assumptions!$C$181:$E$181,$B$3),INDEX(Assumptions!$C$180:$E$180,$B$3))</f>
        <v>15600</v>
      </c>
      <c r="O85" s="37" t="n">
        <f aca="false">SUM(C85:N85)</f>
        <v>153600</v>
      </c>
      <c r="P85" s="2"/>
    </row>
    <row r="86" customFormat="false" ht="15" hidden="false" customHeight="false" outlineLevel="0" collapsed="false">
      <c r="A86" s="28" t="s">
        <v>1189</v>
      </c>
      <c r="C86" s="8" t="n">
        <f aca="false">INDEX(Assumptions!$C$107:$E$107,$D$3)+IF(1&gt;=INDEX(Assumptions!$C$189:$E$189,$D$3)-1,INDEX(Assumptions!$C$188:$E$188,$D$3),0)</f>
        <v>18000</v>
      </c>
      <c r="D86" s="8" t="n">
        <f aca="false">INDEX(Assumptions!$C$107:$E$107,$D$3)+IF(2&gt;=INDEX(Assumptions!$C$189:$E$189,$D$3)-1,INDEX(Assumptions!$C$188:$E$188,$D$3),0)</f>
        <v>18000</v>
      </c>
      <c r="E86" s="8" t="n">
        <f aca="false">INDEX(Assumptions!$C$107:$E$107,$D$3)+IF(3&gt;=INDEX(Assumptions!$C$189:$E$189,$D$3)-1,INDEX(Assumptions!$C$188:$E$188,$D$3),0)</f>
        <v>18000</v>
      </c>
      <c r="F86" s="8" t="n">
        <f aca="false">INDEX(Assumptions!$C$107:$E$107,$D$3)+IF(4&gt;=INDEX(Assumptions!$C$189:$E$189,$D$3)-1,INDEX(Assumptions!$C$188:$E$188,$D$3),0)</f>
        <v>18000</v>
      </c>
      <c r="G86" s="8" t="n">
        <f aca="false">INDEX(Assumptions!$C$107:$E$107,$D$3)+IF(5&gt;=INDEX(Assumptions!$C$189:$E$189,$D$3)-1,INDEX(Assumptions!$C$188:$E$188,$D$3),0)</f>
        <v>18000</v>
      </c>
      <c r="H86" s="8" t="n">
        <f aca="false">INDEX(Assumptions!$C$107:$E$107,$D$3)+IF(6&gt;=INDEX(Assumptions!$C$189:$E$189,$D$3)-1,INDEX(Assumptions!$C$188:$E$188,$D$3),0)</f>
        <v>18000</v>
      </c>
      <c r="I86" s="8" t="n">
        <f aca="false">INDEX(Assumptions!$C$107:$E$107,$D$3)+IF(7&gt;=INDEX(Assumptions!$C$189:$E$189,$D$3)-1,INDEX(Assumptions!$C$188:$E$188,$D$3),0)</f>
        <v>18000</v>
      </c>
      <c r="J86" s="8" t="n">
        <f aca="false">INDEX(Assumptions!$C$107:$E$107,$D$3)+IF(8&gt;=INDEX(Assumptions!$C$189:$E$189,$D$3)-1,INDEX(Assumptions!$C$188:$E$188,$D$3),0)</f>
        <v>18000</v>
      </c>
      <c r="K86" s="8" t="n">
        <f aca="false">INDEX(Assumptions!$C$107:$E$107,$D$3)+IF(9&gt;=INDEX(Assumptions!$C$189:$E$189,$D$3)-1,INDEX(Assumptions!$C$188:$E$188,$D$3),0)</f>
        <v>23000</v>
      </c>
      <c r="L86" s="8" t="n">
        <f aca="false">INDEX(Assumptions!$C$107:$E$107,$D$3)+IF(10&gt;=INDEX(Assumptions!$C$189:$E$189,$D$3)-1,INDEX(Assumptions!$C$188:$E$188,$D$3),0)</f>
        <v>23000</v>
      </c>
      <c r="M86" s="8" t="n">
        <f aca="false">INDEX(Assumptions!$C$107:$E$107,$D$3)+IF(11&gt;=INDEX(Assumptions!$C$189:$E$189,$D$3)-1,INDEX(Assumptions!$C$188:$E$188,$D$3),0)</f>
        <v>23000</v>
      </c>
      <c r="N86" s="8" t="n">
        <f aca="false">INDEX(Assumptions!$C$107:$E$107,$D$3)+IF(12&gt;=INDEX(Assumptions!$C$189:$E$189,$D$3)-1,INDEX(Assumptions!$C$188:$E$188,$D$3),0)</f>
        <v>23000</v>
      </c>
      <c r="O86" s="37" t="n">
        <f aca="false">SUM(C86:N86)</f>
        <v>236000</v>
      </c>
      <c r="P86" s="2"/>
    </row>
    <row r="87" customFormat="false" ht="15" hidden="false" customHeight="false" outlineLevel="0" collapsed="false">
      <c r="A87" s="28" t="s">
        <v>1190</v>
      </c>
      <c r="C87" s="8" t="n">
        <f aca="false">C15</f>
        <v>15000</v>
      </c>
      <c r="D87" s="8" t="n">
        <f aca="false">D15</f>
        <v>40000</v>
      </c>
      <c r="E87" s="8" t="n">
        <f aca="false">E15</f>
        <v>50000</v>
      </c>
      <c r="F87" s="8" t="n">
        <f aca="false">F15</f>
        <v>60000</v>
      </c>
      <c r="G87" s="8" t="n">
        <f aca="false">G15</f>
        <v>80000</v>
      </c>
      <c r="H87" s="8" t="n">
        <f aca="false">H15</f>
        <v>90000</v>
      </c>
      <c r="I87" s="8" t="n">
        <f aca="false">I15</f>
        <v>100000</v>
      </c>
      <c r="J87" s="8" t="n">
        <f aca="false">J15</f>
        <v>100000</v>
      </c>
      <c r="K87" s="8" t="n">
        <f aca="false">K15</f>
        <v>100000</v>
      </c>
      <c r="L87" s="8" t="n">
        <f aca="false">L15</f>
        <v>100000</v>
      </c>
      <c r="M87" s="8" t="n">
        <f aca="false">M15</f>
        <v>100000</v>
      </c>
      <c r="N87" s="8" t="n">
        <f aca="false">N15</f>
        <v>100000</v>
      </c>
      <c r="O87" s="37" t="n">
        <f aca="false">SUM(C87:N87)</f>
        <v>935000</v>
      </c>
      <c r="P87" s="2"/>
    </row>
    <row r="88" customFormat="false" ht="15" hidden="false" customHeight="false" outlineLevel="0" collapsed="false">
      <c r="A88" s="28" t="s">
        <v>1191</v>
      </c>
      <c r="C88" s="8" t="n">
        <f aca="false">INDEX(Assumptions!$C$170:$E$170,$D$3)</f>
        <v>15833</v>
      </c>
      <c r="D88" s="8" t="n">
        <f aca="false">INDEX(Assumptions!$C$170:$E$170,$D$3)</f>
        <v>15833</v>
      </c>
      <c r="E88" s="8" t="n">
        <f aca="false">INDEX(Assumptions!$C$170:$E$170,$D$3)</f>
        <v>15833</v>
      </c>
      <c r="F88" s="8" t="n">
        <f aca="false">INDEX(Assumptions!$C$170:$E$170,$D$3)</f>
        <v>15833</v>
      </c>
      <c r="G88" s="8" t="n">
        <f aca="false">INDEX(Assumptions!$C$170:$E$170,$D$3)</f>
        <v>15833</v>
      </c>
      <c r="H88" s="8" t="n">
        <f aca="false">INDEX(Assumptions!$C$170:$E$170,$D$3)</f>
        <v>15833</v>
      </c>
      <c r="I88" s="8" t="n">
        <f aca="false">INDEX(Assumptions!$C$170:$E$170,$D$3)</f>
        <v>15833</v>
      </c>
      <c r="J88" s="8" t="n">
        <f aca="false">INDEX(Assumptions!$C$170:$E$170,$D$3)</f>
        <v>15833</v>
      </c>
      <c r="K88" s="8" t="n">
        <f aca="false">INDEX(Assumptions!$C$170:$E$170,$D$3)</f>
        <v>15833</v>
      </c>
      <c r="L88" s="8" t="n">
        <f aca="false">INDEX(Assumptions!$C$170:$E$170,$D$3)</f>
        <v>15833</v>
      </c>
      <c r="M88" s="8" t="n">
        <f aca="false">INDEX(Assumptions!$C$170:$E$170,$D$3)</f>
        <v>15833</v>
      </c>
      <c r="N88" s="8" t="n">
        <f aca="false">INDEX(Assumptions!$C$170:$E$170,$D$3)</f>
        <v>15833</v>
      </c>
      <c r="O88" s="37" t="n">
        <f aca="false">SUM(C88:N88)</f>
        <v>189996</v>
      </c>
      <c r="P88" s="2"/>
    </row>
    <row r="89" customFormat="false" ht="15" hidden="false" customHeight="false" outlineLevel="0" collapsed="false">
      <c r="A89" s="28" t="s">
        <v>1192</v>
      </c>
      <c r="C89" s="8" t="n">
        <f aca="false">INDEX(Assumptions!$C$195:$E$195,$D$3)</f>
        <v>15000</v>
      </c>
      <c r="D89" s="8" t="n">
        <f aca="false">INDEX(Assumptions!$C$195:$E$195,$D$3)</f>
        <v>15000</v>
      </c>
      <c r="E89" s="8" t="n">
        <f aca="false">INDEX(Assumptions!$C$195:$E$195,$D$3)</f>
        <v>15000</v>
      </c>
      <c r="F89" s="8" t="n">
        <f aca="false">INDEX(Assumptions!$C$195:$E$195,$D$3)</f>
        <v>15000</v>
      </c>
      <c r="G89" s="8" t="n">
        <f aca="false">INDEX(Assumptions!$C$195:$E$195,$D$3)</f>
        <v>15000</v>
      </c>
      <c r="H89" s="8" t="n">
        <f aca="false">INDEX(Assumptions!$C$195:$E$195,$D$3)</f>
        <v>15000</v>
      </c>
      <c r="I89" s="8" t="n">
        <f aca="false">INDEX(Assumptions!$C$195:$E$195,$D$3)</f>
        <v>15000</v>
      </c>
      <c r="J89" s="8" t="n">
        <f aca="false">INDEX(Assumptions!$C$195:$E$195,$D$3)</f>
        <v>15000</v>
      </c>
      <c r="K89" s="8" t="n">
        <f aca="false">INDEX(Assumptions!$C$195:$E$195,$D$3)</f>
        <v>15000</v>
      </c>
      <c r="L89" s="8" t="n">
        <f aca="false">INDEX(Assumptions!$C$195:$E$195,$D$3)</f>
        <v>15000</v>
      </c>
      <c r="M89" s="8" t="n">
        <f aca="false">INDEX(Assumptions!$C$195:$E$195,$D$3)</f>
        <v>15000</v>
      </c>
      <c r="N89" s="8" t="n">
        <f aca="false">INDEX(Assumptions!$C$195:$E$195,$D$3)</f>
        <v>15000</v>
      </c>
      <c r="O89" s="37" t="n">
        <f aca="false">SUM(C89:N89)</f>
        <v>180000</v>
      </c>
      <c r="P89" s="2"/>
    </row>
    <row r="90" customFormat="false" ht="15" hidden="false" customHeight="false" outlineLevel="0" collapsed="false">
      <c r="A90" s="28" t="s">
        <v>1193</v>
      </c>
      <c r="C90" s="8" t="n">
        <f aca="false">IF(1=1,INDEX(Assumptions!$C$112:$E$112,$D$3),0)+IF(1=3,INDEX(Assumptions!$C$196:$E$196,$D$3),0)</f>
        <v>120000</v>
      </c>
      <c r="D90" s="8" t="n">
        <f aca="false">IF(2=1,INDEX(Assumptions!$C$112:$E$112,$D$3),0)+IF(2=3,INDEX(Assumptions!$C$196:$E$196,$D$3),0)</f>
        <v>0</v>
      </c>
      <c r="E90" s="8" t="n">
        <f aca="false">IF(3=1,INDEX(Assumptions!$C$112:$E$112,$D$3),0)+IF(3=3,INDEX(Assumptions!$C$196:$E$196,$D$3),0)</f>
        <v>150000</v>
      </c>
      <c r="F90" s="8" t="n">
        <f aca="false">IF(4=1,INDEX(Assumptions!$C$112:$E$112,$D$3),0)+IF(4=3,INDEX(Assumptions!$C$196:$E$196,$D$3),0)</f>
        <v>0</v>
      </c>
      <c r="G90" s="8" t="n">
        <f aca="false">IF(5=1,INDEX(Assumptions!$C$112:$E$112,$D$3),0)+IF(5=3,INDEX(Assumptions!$C$196:$E$196,$D$3),0)</f>
        <v>0</v>
      </c>
      <c r="H90" s="8" t="n">
        <f aca="false">IF(6=1,INDEX(Assumptions!$C$112:$E$112,$D$3),0)+IF(6=3,INDEX(Assumptions!$C$196:$E$196,$D$3),0)</f>
        <v>0</v>
      </c>
      <c r="I90" s="8" t="n">
        <f aca="false">IF(7=1,INDEX(Assumptions!$C$112:$E$112,$D$3),0)+IF(7=3,INDEX(Assumptions!$C$196:$E$196,$D$3),0)</f>
        <v>0</v>
      </c>
      <c r="J90" s="8" t="n">
        <f aca="false">IF(8=1,INDEX(Assumptions!$C$112:$E$112,$D$3),0)+IF(8=3,INDEX(Assumptions!$C$196:$E$196,$D$3),0)</f>
        <v>0</v>
      </c>
      <c r="K90" s="8" t="n">
        <f aca="false">IF(9=1,INDEX(Assumptions!$C$112:$E$112,$D$3),0)+IF(9=3,INDEX(Assumptions!$C$196:$E$196,$D$3),0)</f>
        <v>0</v>
      </c>
      <c r="L90" s="8" t="n">
        <f aca="false">IF(10=1,INDEX(Assumptions!$C$112:$E$112,$D$3),0)+IF(10=3,INDEX(Assumptions!$C$196:$E$196,$D$3),0)</f>
        <v>0</v>
      </c>
      <c r="M90" s="8" t="n">
        <f aca="false">IF(11=1,INDEX(Assumptions!$C$112:$E$112,$D$3),0)+IF(11=3,INDEX(Assumptions!$C$196:$E$196,$D$3),0)</f>
        <v>0</v>
      </c>
      <c r="N90" s="8" t="n">
        <f aca="false">IF(12=1,INDEX(Assumptions!$C$112:$E$112,$D$3),0)+IF(12=3,INDEX(Assumptions!$C$196:$E$196,$D$3),0)</f>
        <v>0</v>
      </c>
      <c r="O90" s="37" t="n">
        <f aca="false">SUM(C90:N90)</f>
        <v>270000</v>
      </c>
      <c r="P90" s="2"/>
    </row>
    <row r="91" customFormat="false" ht="15" hidden="false" customHeight="false" outlineLevel="0" collapsed="false">
      <c r="A91" s="3" t="s">
        <v>1194</v>
      </c>
      <c r="C91" s="37" t="n">
        <f aca="false">C82+SUM(C84:C90)</f>
        <v>291833</v>
      </c>
      <c r="D91" s="37" t="n">
        <f aca="false">D82+SUM(D84:D90)</f>
        <v>311833</v>
      </c>
      <c r="E91" s="37" t="n">
        <f aca="false">E82+SUM(E84:E90)</f>
        <v>486833</v>
      </c>
      <c r="F91" s="37" t="n">
        <f aca="false">F82+SUM(F84:F90)</f>
        <v>346833</v>
      </c>
      <c r="G91" s="37" t="n">
        <f aca="false">G82+SUM(G84:G90)</f>
        <v>366833</v>
      </c>
      <c r="H91" s="37" t="n">
        <f aca="false">H82+SUM(H84:H90)</f>
        <v>389333</v>
      </c>
      <c r="I91" s="37" t="n">
        <f aca="false">I82+SUM(I84:I90)</f>
        <v>509933</v>
      </c>
      <c r="J91" s="37" t="n">
        <f aca="false">J82+SUM(J84:J90)</f>
        <v>509933</v>
      </c>
      <c r="K91" s="37" t="n">
        <f aca="false">K82+SUM(K84:K90)</f>
        <v>514933</v>
      </c>
      <c r="L91" s="37" t="n">
        <f aca="false">L82+SUM(L84:L90)</f>
        <v>514933</v>
      </c>
      <c r="M91" s="37" t="n">
        <f aca="false">M82+SUM(M84:M90)</f>
        <v>514933</v>
      </c>
      <c r="N91" s="37" t="n">
        <f aca="false">N82+SUM(N84:N90)</f>
        <v>514933</v>
      </c>
      <c r="O91" s="31" t="n">
        <f aca="false">SUM(C91:N91)</f>
        <v>5273096</v>
      </c>
      <c r="P91" s="2"/>
    </row>
    <row r="92" customFormat="false" ht="15" hidden="false" customHeight="false" outlineLevel="0" collapsed="false">
      <c r="A92" s="3" t="s">
        <v>64</v>
      </c>
      <c r="C92" s="37" t="n">
        <f aca="false">C69-C91</f>
        <v>-215131.34343304</v>
      </c>
      <c r="D92" s="37" t="n">
        <f aca="false">D69-D91</f>
        <v>-172322.113364568</v>
      </c>
      <c r="E92" s="37" t="n">
        <f aca="false">E69-E91</f>
        <v>-235241.885010081</v>
      </c>
      <c r="F92" s="37" t="n">
        <f aca="false">F69-F91</f>
        <v>-1201.6568947843</v>
      </c>
      <c r="G92" s="37" t="n">
        <f aca="false">G69-G91</f>
        <v>58116.1106017635</v>
      </c>
      <c r="H92" s="37" t="n">
        <f aca="false">H69-H91</f>
        <v>27840.7071122808</v>
      </c>
      <c r="I92" s="37" t="n">
        <f aca="false">I69-I91</f>
        <v>473045.504958958</v>
      </c>
      <c r="J92" s="37" t="n">
        <f aca="false">J69-J91</f>
        <v>520289.748560067</v>
      </c>
      <c r="K92" s="37" t="n">
        <f aca="false">K69-K91</f>
        <v>226187.447777826</v>
      </c>
      <c r="L92" s="37" t="n">
        <f aca="false">L69-L91</f>
        <v>362477.309566301</v>
      </c>
      <c r="M92" s="37" t="n">
        <f aca="false">M69-M91</f>
        <v>394931.461907681</v>
      </c>
      <c r="N92" s="37" t="n">
        <f aca="false">N69-N91</f>
        <v>386441.632332983</v>
      </c>
      <c r="O92" s="31" t="n">
        <f aca="false">SUM(C92:N92)</f>
        <v>1825432.92411539</v>
      </c>
      <c r="P92" s="2"/>
    </row>
    <row r="93" customFormat="false" ht="15" hidden="false" customHeight="false" outlineLevel="0" collapsed="false">
      <c r="A93" s="28" t="s">
        <v>65</v>
      </c>
      <c r="C93" s="7" t="n">
        <f aca="false">IFERROR(C92/C57,0)</f>
        <v>-2.22457658291314</v>
      </c>
      <c r="D93" s="7" t="n">
        <f aca="false">IFERROR(D92/D57,0)</f>
        <v>-0.973582884597309</v>
      </c>
      <c r="E93" s="7" t="n">
        <f aca="false">IFERROR(E92/E57,0)</f>
        <v>-0.743568453489251</v>
      </c>
      <c r="F93" s="7" t="n">
        <f aca="false">IFERROR(F92/F57,0)</f>
        <v>-0.00275399295794627</v>
      </c>
      <c r="G93" s="7" t="n">
        <f aca="false">IFERROR(G92/G57,0)</f>
        <v>0.106678564444816</v>
      </c>
      <c r="H93" s="7" t="n">
        <f aca="false">IFERROR(H92/H57,0)</f>
        <v>0.0526380447864543</v>
      </c>
      <c r="I93" s="7" t="n">
        <f aca="false">IFERROR(I92/I57,0)</f>
        <v>0.425209360536907</v>
      </c>
      <c r="J93" s="7" t="n">
        <f aca="false">IFERROR(J92/J57,0)</f>
        <v>0.445005666051363</v>
      </c>
      <c r="K93" s="7" t="n">
        <f aca="false">IFERROR(K92/K57,0)</f>
        <v>0.260244099707139</v>
      </c>
      <c r="L93" s="7" t="n">
        <f aca="false">IFERROR(L92/L57,0)</f>
        <v>0.3538875931569</v>
      </c>
      <c r="M93" s="7" t="n">
        <f aca="false">IFERROR(M92/M57,0)</f>
        <v>0.372047047624312</v>
      </c>
      <c r="N93" s="7" t="n">
        <f aca="false">IFERROR(N92/N57,0)</f>
        <v>0.367514610007018</v>
      </c>
      <c r="O93" s="7" t="n">
        <f aca="false">IFERROR(O92/O57,0)</f>
        <v>0.21761951827416</v>
      </c>
      <c r="P93" s="2"/>
    </row>
    <row r="94" customFormat="false" ht="15" hidden="false" customHeight="false" outlineLevel="0" collapsed="false">
      <c r="A94" s="28" t="s">
        <v>1195</v>
      </c>
      <c r="C94" s="8" t="n">
        <f aca="false">C92-INDEX(Assumptions!$C$163:$E$163,$B$3)</f>
        <v>-290131.34343304</v>
      </c>
      <c r="D94" s="8" t="n">
        <f aca="false">D92-INDEX(Assumptions!$C$163:$E$163,$B$3)</f>
        <v>-247322.113364568</v>
      </c>
      <c r="E94" s="8" t="n">
        <f aca="false">E92-INDEX(Assumptions!$C$163:$E$163,$B$3)</f>
        <v>-310241.885010081</v>
      </c>
      <c r="F94" s="8" t="n">
        <f aca="false">F92-INDEX(Assumptions!$C$163:$E$163,$B$3)</f>
        <v>-76201.6568947843</v>
      </c>
      <c r="G94" s="8" t="n">
        <f aca="false">G92-INDEX(Assumptions!$C$163:$E$163,$B$3)</f>
        <v>-16883.8893982365</v>
      </c>
      <c r="H94" s="8" t="n">
        <f aca="false">H92-INDEX(Assumptions!$C$163:$E$163,$B$3)</f>
        <v>-47159.2928877192</v>
      </c>
      <c r="I94" s="8" t="n">
        <f aca="false">I92-INDEX(Assumptions!$C$163:$E$163,$B$3)</f>
        <v>398045.504958958</v>
      </c>
      <c r="J94" s="8" t="n">
        <f aca="false">J92-INDEX(Assumptions!$C$163:$E$163,$B$3)</f>
        <v>445289.748560067</v>
      </c>
      <c r="K94" s="8" t="n">
        <f aca="false">K92-INDEX(Assumptions!$C$163:$E$163,$B$3)</f>
        <v>151187.447777826</v>
      </c>
      <c r="L94" s="8" t="n">
        <f aca="false">L92-INDEX(Assumptions!$C$163:$E$163,$B$3)</f>
        <v>287477.309566301</v>
      </c>
      <c r="M94" s="8" t="n">
        <f aca="false">M92-INDEX(Assumptions!$C$163:$E$163,$B$3)</f>
        <v>319931.461907681</v>
      </c>
      <c r="N94" s="8" t="n">
        <f aca="false">N92-INDEX(Assumptions!$C$163:$E$163,$B$3)</f>
        <v>311441.632332983</v>
      </c>
      <c r="O94" s="37" t="n">
        <f aca="false">SUM(C94:N94)</f>
        <v>925432.924115387</v>
      </c>
      <c r="P94" s="2"/>
    </row>
    <row r="95" customFormat="false" ht="15" hidden="false" customHeight="false" outlineLevel="0" collapsed="false">
      <c r="A95" s="10" t="s">
        <v>1196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</row>
    <row r="96" customFormat="false" ht="15" hidden="false" customHeight="false" outlineLevel="0" collapsed="false">
      <c r="A96" s="28" t="s">
        <v>1197</v>
      </c>
      <c r="C96" s="8" t="n">
        <f aca="false">IF(1=INDEX(Assumptions!$C$173:$E$173,$D$3)-1,INDEX(Assumptions!$C$174:$E$174,$D$3)*INDEX(Assumptions!$C$182:$E$182,$B$3),0)</f>
        <v>0</v>
      </c>
      <c r="D96" s="8" t="n">
        <f aca="false">IF(2=INDEX(Assumptions!$C$173:$E$173,$D$3)-1,INDEX(Assumptions!$C$174:$E$174,$D$3)*INDEX(Assumptions!$C$182:$E$182,$B$3),0)</f>
        <v>0</v>
      </c>
      <c r="E96" s="8" t="n">
        <f aca="false">IF(3=INDEX(Assumptions!$C$173:$E$173,$D$3)-1,INDEX(Assumptions!$C$174:$E$174,$D$3)*INDEX(Assumptions!$C$182:$E$182,$B$3),0)</f>
        <v>0</v>
      </c>
      <c r="F96" s="8" t="n">
        <f aca="false">IF(4=INDEX(Assumptions!$C$173:$E$173,$D$3)-1,INDEX(Assumptions!$C$174:$E$174,$D$3)*INDEX(Assumptions!$C$182:$E$182,$B$3),0)</f>
        <v>0</v>
      </c>
      <c r="G96" s="8" t="n">
        <f aca="false">IF(5=INDEX(Assumptions!$C$173:$E$173,$D$3)-1,INDEX(Assumptions!$C$174:$E$174,$D$3)*INDEX(Assumptions!$C$182:$E$182,$B$3),0)</f>
        <v>0</v>
      </c>
      <c r="H96" s="8" t="n">
        <f aca="false">IF(6=INDEX(Assumptions!$C$173:$E$173,$D$3)-1,INDEX(Assumptions!$C$174:$E$174,$D$3)*INDEX(Assumptions!$C$182:$E$182,$B$3),0)</f>
        <v>1040000</v>
      </c>
      <c r="I96" s="8" t="n">
        <f aca="false">IF(7=INDEX(Assumptions!$C$173:$E$173,$D$3)-1,INDEX(Assumptions!$C$174:$E$174,$D$3)*INDEX(Assumptions!$C$182:$E$182,$B$3),0)</f>
        <v>0</v>
      </c>
      <c r="J96" s="8" t="n">
        <f aca="false">IF(8=INDEX(Assumptions!$C$173:$E$173,$D$3)-1,INDEX(Assumptions!$C$174:$E$174,$D$3)*INDEX(Assumptions!$C$182:$E$182,$B$3),0)</f>
        <v>0</v>
      </c>
      <c r="K96" s="8" t="n">
        <f aca="false">IF(9=INDEX(Assumptions!$C$173:$E$173,$D$3)-1,INDEX(Assumptions!$C$174:$E$174,$D$3)*INDEX(Assumptions!$C$182:$E$182,$B$3),0)</f>
        <v>0</v>
      </c>
      <c r="L96" s="8" t="n">
        <f aca="false">IF(10=INDEX(Assumptions!$C$173:$E$173,$D$3)-1,INDEX(Assumptions!$C$174:$E$174,$D$3)*INDEX(Assumptions!$C$182:$E$182,$B$3),0)</f>
        <v>0</v>
      </c>
      <c r="M96" s="8" t="n">
        <f aca="false">IF(11=INDEX(Assumptions!$C$173:$E$173,$D$3)-1,INDEX(Assumptions!$C$174:$E$174,$D$3)*INDEX(Assumptions!$C$182:$E$182,$B$3),0)</f>
        <v>0</v>
      </c>
      <c r="N96" s="8" t="n">
        <f aca="false">IF(12=INDEX(Assumptions!$C$173:$E$173,$D$3)-1,INDEX(Assumptions!$C$174:$E$174,$D$3)*INDEX(Assumptions!$C$182:$E$182,$B$3),0)</f>
        <v>0</v>
      </c>
      <c r="O96" s="37" t="n">
        <f aca="false">SUM(C96:N96)</f>
        <v>1040000</v>
      </c>
      <c r="P96" s="2"/>
    </row>
    <row r="97" customFormat="false" ht="15" hidden="false" customHeight="false" outlineLevel="0" collapsed="false">
      <c r="A97" s="28" t="s">
        <v>1198</v>
      </c>
      <c r="C97" s="8" t="n">
        <f aca="false">IF(1=INDEX(Assumptions!$C$173:$E$173,$D$3)-1,MAX(0,INDEX(Assumptions!$C$176:$E$176,$D$3)-INDEX(Assumptions!$C$171:$E$171,$B$3))*INDEX(Assumptions!$C$183:$E$183,$B$3),0)</f>
        <v>0</v>
      </c>
      <c r="D97" s="8" t="n">
        <f aca="false">IF(2=INDEX(Assumptions!$C$173:$E$173,$D$3)-1,MAX(0,INDEX(Assumptions!$C$176:$E$176,$D$3)-INDEX(Assumptions!$C$171:$E$171,$B$3))*INDEX(Assumptions!$C$183:$E$183,$B$3),0)</f>
        <v>0</v>
      </c>
      <c r="E97" s="8" t="n">
        <f aca="false">IF(3=INDEX(Assumptions!$C$173:$E$173,$D$3)-1,MAX(0,INDEX(Assumptions!$C$176:$E$176,$D$3)-INDEX(Assumptions!$C$171:$E$171,$B$3))*INDEX(Assumptions!$C$183:$E$183,$B$3),0)</f>
        <v>0</v>
      </c>
      <c r="F97" s="8" t="n">
        <f aca="false">IF(4=INDEX(Assumptions!$C$173:$E$173,$D$3)-1,MAX(0,INDEX(Assumptions!$C$176:$E$176,$D$3)-INDEX(Assumptions!$C$171:$E$171,$B$3))*INDEX(Assumptions!$C$183:$E$183,$B$3),0)</f>
        <v>0</v>
      </c>
      <c r="G97" s="8" t="n">
        <f aca="false">IF(5=INDEX(Assumptions!$C$173:$E$173,$D$3)-1,MAX(0,INDEX(Assumptions!$C$176:$E$176,$D$3)-INDEX(Assumptions!$C$171:$E$171,$B$3))*INDEX(Assumptions!$C$183:$E$183,$B$3),0)</f>
        <v>0</v>
      </c>
      <c r="H97" s="8" t="n">
        <f aca="false">IF(6=INDEX(Assumptions!$C$173:$E$173,$D$3)-1,MAX(0,INDEX(Assumptions!$C$176:$E$176,$D$3)-INDEX(Assumptions!$C$171:$E$171,$B$3))*INDEX(Assumptions!$C$183:$E$183,$B$3),0)</f>
        <v>120000</v>
      </c>
      <c r="I97" s="8" t="n">
        <f aca="false">IF(7=INDEX(Assumptions!$C$173:$E$173,$D$3)-1,MAX(0,INDEX(Assumptions!$C$176:$E$176,$D$3)-INDEX(Assumptions!$C$171:$E$171,$B$3))*INDEX(Assumptions!$C$183:$E$183,$B$3),0)</f>
        <v>0</v>
      </c>
      <c r="J97" s="8" t="n">
        <f aca="false">IF(8=INDEX(Assumptions!$C$173:$E$173,$D$3)-1,MAX(0,INDEX(Assumptions!$C$176:$E$176,$D$3)-INDEX(Assumptions!$C$171:$E$171,$B$3))*INDEX(Assumptions!$C$183:$E$183,$B$3),0)</f>
        <v>0</v>
      </c>
      <c r="K97" s="8" t="n">
        <f aca="false">IF(9=INDEX(Assumptions!$C$173:$E$173,$D$3)-1,MAX(0,INDEX(Assumptions!$C$176:$E$176,$D$3)-INDEX(Assumptions!$C$171:$E$171,$B$3))*INDEX(Assumptions!$C$183:$E$183,$B$3),0)</f>
        <v>0</v>
      </c>
      <c r="L97" s="8" t="n">
        <f aca="false">IF(10=INDEX(Assumptions!$C$173:$E$173,$D$3)-1,MAX(0,INDEX(Assumptions!$C$176:$E$176,$D$3)-INDEX(Assumptions!$C$171:$E$171,$B$3))*INDEX(Assumptions!$C$183:$E$183,$B$3),0)</f>
        <v>0</v>
      </c>
      <c r="M97" s="8" t="n">
        <f aca="false">IF(11=INDEX(Assumptions!$C$173:$E$173,$D$3)-1,MAX(0,INDEX(Assumptions!$C$176:$E$176,$D$3)-INDEX(Assumptions!$C$171:$E$171,$B$3))*INDEX(Assumptions!$C$183:$E$183,$B$3),0)</f>
        <v>0</v>
      </c>
      <c r="N97" s="8" t="n">
        <f aca="false">IF(12=INDEX(Assumptions!$C$173:$E$173,$D$3)-1,MAX(0,INDEX(Assumptions!$C$176:$E$176,$D$3)-INDEX(Assumptions!$C$171:$E$171,$B$3))*INDEX(Assumptions!$C$183:$E$183,$B$3),0)</f>
        <v>0</v>
      </c>
      <c r="O97" s="37" t="n">
        <f aca="false">SUM(C97:N97)</f>
        <v>120000</v>
      </c>
      <c r="P97" s="2"/>
    </row>
    <row r="98" customFormat="false" ht="15" hidden="false" customHeight="false" outlineLevel="0" collapsed="false">
      <c r="A98" s="28" t="s">
        <v>1199</v>
      </c>
      <c r="C98" s="8" t="n">
        <f aca="false">IF(1=INDEX(Assumptions!$C$173:$E$173,$D$3)-1,INDEX(Assumptions!$C$184:$E$184,$B$3)*INDEX(Assumptions!$C$174:$E$174,$D$3)*INDEX(Assumptions!$C$175:$E$175,$B$3)*$F$4,0)</f>
        <v>0</v>
      </c>
      <c r="D98" s="8" t="n">
        <f aca="false">IF(2=INDEX(Assumptions!$C$173:$E$173,$D$3)-1,INDEX(Assumptions!$C$184:$E$184,$B$3)*INDEX(Assumptions!$C$174:$E$174,$D$3)*INDEX(Assumptions!$C$175:$E$175,$B$3)*$F$4,0)</f>
        <v>0</v>
      </c>
      <c r="E98" s="8" t="n">
        <f aca="false">IF(3=INDEX(Assumptions!$C$173:$E$173,$D$3)-1,INDEX(Assumptions!$C$184:$E$184,$B$3)*INDEX(Assumptions!$C$174:$E$174,$D$3)*INDEX(Assumptions!$C$175:$E$175,$B$3)*$F$4,0)</f>
        <v>0</v>
      </c>
      <c r="F98" s="8" t="n">
        <f aca="false">IF(4=INDEX(Assumptions!$C$173:$E$173,$D$3)-1,INDEX(Assumptions!$C$184:$E$184,$B$3)*INDEX(Assumptions!$C$174:$E$174,$D$3)*INDEX(Assumptions!$C$175:$E$175,$B$3)*$F$4,0)</f>
        <v>0</v>
      </c>
      <c r="G98" s="8" t="n">
        <f aca="false">IF(5=INDEX(Assumptions!$C$173:$E$173,$D$3)-1,INDEX(Assumptions!$C$184:$E$184,$B$3)*INDEX(Assumptions!$C$174:$E$174,$D$3)*INDEX(Assumptions!$C$175:$E$175,$B$3)*$F$4,0)</f>
        <v>0</v>
      </c>
      <c r="H98" s="8" t="n">
        <f aca="false">IF(6=INDEX(Assumptions!$C$173:$E$173,$D$3)-1,INDEX(Assumptions!$C$184:$E$184,$B$3)*INDEX(Assumptions!$C$174:$E$174,$D$3)*INDEX(Assumptions!$C$175:$E$175,$B$3)*$F$4,0)</f>
        <v>312000</v>
      </c>
      <c r="I98" s="8" t="n">
        <f aca="false">IF(7=INDEX(Assumptions!$C$173:$E$173,$D$3)-1,INDEX(Assumptions!$C$184:$E$184,$B$3)*INDEX(Assumptions!$C$174:$E$174,$D$3)*INDEX(Assumptions!$C$175:$E$175,$B$3)*$F$4,0)</f>
        <v>0</v>
      </c>
      <c r="J98" s="8" t="n">
        <f aca="false">IF(8=INDEX(Assumptions!$C$173:$E$173,$D$3)-1,INDEX(Assumptions!$C$184:$E$184,$B$3)*INDEX(Assumptions!$C$174:$E$174,$D$3)*INDEX(Assumptions!$C$175:$E$175,$B$3)*$F$4,0)</f>
        <v>0</v>
      </c>
      <c r="K98" s="8" t="n">
        <f aca="false">IF(9=INDEX(Assumptions!$C$173:$E$173,$D$3)-1,INDEX(Assumptions!$C$184:$E$184,$B$3)*INDEX(Assumptions!$C$174:$E$174,$D$3)*INDEX(Assumptions!$C$175:$E$175,$B$3)*$F$4,0)</f>
        <v>0</v>
      </c>
      <c r="L98" s="8" t="n">
        <f aca="false">IF(10=INDEX(Assumptions!$C$173:$E$173,$D$3)-1,INDEX(Assumptions!$C$184:$E$184,$B$3)*INDEX(Assumptions!$C$174:$E$174,$D$3)*INDEX(Assumptions!$C$175:$E$175,$B$3)*$F$4,0)</f>
        <v>0</v>
      </c>
      <c r="M98" s="8" t="n">
        <f aca="false">IF(11=INDEX(Assumptions!$C$173:$E$173,$D$3)-1,INDEX(Assumptions!$C$184:$E$184,$B$3)*INDEX(Assumptions!$C$174:$E$174,$D$3)*INDEX(Assumptions!$C$175:$E$175,$B$3)*$F$4,0)</f>
        <v>0</v>
      </c>
      <c r="N98" s="8" t="n">
        <f aca="false">IF(12=INDEX(Assumptions!$C$173:$E$173,$D$3)-1,INDEX(Assumptions!$C$184:$E$184,$B$3)*INDEX(Assumptions!$C$174:$E$174,$D$3)*INDEX(Assumptions!$C$175:$E$175,$B$3)*$F$4,0)</f>
        <v>0</v>
      </c>
      <c r="O98" s="37" t="n">
        <f aca="false">SUM(C98:N98)</f>
        <v>312000</v>
      </c>
      <c r="P98" s="2"/>
    </row>
    <row r="99" customFormat="false" ht="15" hidden="false" customHeight="false" outlineLevel="0" collapsed="false">
      <c r="A99" s="28" t="s">
        <v>1200</v>
      </c>
      <c r="C99" s="8" t="n">
        <f aca="false">IF(1=1,INDEX(Assumptions!$C$197:$E$197,$D$3),0)</f>
        <v>150000</v>
      </c>
      <c r="D99" s="8" t="n">
        <f aca="false">IF(2=1,INDEX(Assumptions!$C$197:$E$197,$D$3),0)</f>
        <v>0</v>
      </c>
      <c r="E99" s="8" t="n">
        <f aca="false">IF(3=1,INDEX(Assumptions!$C$197:$E$197,$D$3),0)</f>
        <v>0</v>
      </c>
      <c r="F99" s="8" t="n">
        <f aca="false">IF(4=1,INDEX(Assumptions!$C$197:$E$197,$D$3),0)</f>
        <v>0</v>
      </c>
      <c r="G99" s="8" t="n">
        <f aca="false">IF(5=1,INDEX(Assumptions!$C$197:$E$197,$D$3),0)</f>
        <v>0</v>
      </c>
      <c r="H99" s="8" t="n">
        <f aca="false">IF(6=1,INDEX(Assumptions!$C$197:$E$197,$D$3),0)</f>
        <v>0</v>
      </c>
      <c r="I99" s="8" t="n">
        <f aca="false">IF(7=1,INDEX(Assumptions!$C$197:$E$197,$D$3),0)</f>
        <v>0</v>
      </c>
      <c r="J99" s="8" t="n">
        <f aca="false">IF(8=1,INDEX(Assumptions!$C$197:$E$197,$D$3),0)</f>
        <v>0</v>
      </c>
      <c r="K99" s="8" t="n">
        <f aca="false">IF(9=1,INDEX(Assumptions!$C$197:$E$197,$D$3),0)</f>
        <v>0</v>
      </c>
      <c r="L99" s="8" t="n">
        <f aca="false">IF(10=1,INDEX(Assumptions!$C$197:$E$197,$D$3),0)</f>
        <v>0</v>
      </c>
      <c r="M99" s="8" t="n">
        <f aca="false">IF(11=1,INDEX(Assumptions!$C$197:$E$197,$D$3),0)</f>
        <v>0</v>
      </c>
      <c r="N99" s="8" t="n">
        <f aca="false">IF(12=1,INDEX(Assumptions!$C$197:$E$197,$D$3),0)</f>
        <v>0</v>
      </c>
      <c r="O99" s="37" t="n">
        <f aca="false">SUM(C99:N99)</f>
        <v>150000</v>
      </c>
      <c r="P99" s="2"/>
    </row>
    <row r="100" customFormat="false" ht="15" hidden="false" customHeight="false" outlineLevel="0" collapsed="false">
      <c r="A100" s="28" t="s">
        <v>1201</v>
      </c>
      <c r="C100" s="8" t="n">
        <f aca="false">IF(1=INDEX(Assumptions!$C$189:$E$189,$D$3)-2,INDEX(Assumptions!$C$190:$E$190,$D$3),0)</f>
        <v>0</v>
      </c>
      <c r="D100" s="8" t="n">
        <f aca="false">IF(2=INDEX(Assumptions!$C$189:$E$189,$D$3)-2,INDEX(Assumptions!$C$190:$E$190,$D$3),0)</f>
        <v>0</v>
      </c>
      <c r="E100" s="8" t="n">
        <f aca="false">IF(3=INDEX(Assumptions!$C$189:$E$189,$D$3)-2,INDEX(Assumptions!$C$190:$E$190,$D$3),0)</f>
        <v>0</v>
      </c>
      <c r="F100" s="8" t="n">
        <f aca="false">IF(4=INDEX(Assumptions!$C$189:$E$189,$D$3)-2,INDEX(Assumptions!$C$190:$E$190,$D$3),0)</f>
        <v>0</v>
      </c>
      <c r="G100" s="8" t="n">
        <f aca="false">IF(5=INDEX(Assumptions!$C$189:$E$189,$D$3)-2,INDEX(Assumptions!$C$190:$E$190,$D$3),0)</f>
        <v>0</v>
      </c>
      <c r="H100" s="8" t="n">
        <f aca="false">IF(6=INDEX(Assumptions!$C$189:$E$189,$D$3)-2,INDEX(Assumptions!$C$190:$E$190,$D$3),0)</f>
        <v>0</v>
      </c>
      <c r="I100" s="8" t="n">
        <f aca="false">IF(7=INDEX(Assumptions!$C$189:$E$189,$D$3)-2,INDEX(Assumptions!$C$190:$E$190,$D$3),0)</f>
        <v>0</v>
      </c>
      <c r="J100" s="8" t="n">
        <f aca="false">IF(8=INDEX(Assumptions!$C$189:$E$189,$D$3)-2,INDEX(Assumptions!$C$190:$E$190,$D$3),0)</f>
        <v>350000</v>
      </c>
      <c r="K100" s="8" t="n">
        <f aca="false">IF(9=INDEX(Assumptions!$C$189:$E$189,$D$3)-2,INDEX(Assumptions!$C$190:$E$190,$D$3),0)</f>
        <v>0</v>
      </c>
      <c r="L100" s="8" t="n">
        <f aca="false">IF(10=INDEX(Assumptions!$C$189:$E$189,$D$3)-2,INDEX(Assumptions!$C$190:$E$190,$D$3),0)</f>
        <v>0</v>
      </c>
      <c r="M100" s="8" t="n">
        <f aca="false">IF(11=INDEX(Assumptions!$C$189:$E$189,$D$3)-2,INDEX(Assumptions!$C$190:$E$190,$D$3),0)</f>
        <v>0</v>
      </c>
      <c r="N100" s="8" t="n">
        <f aca="false">IF(12=INDEX(Assumptions!$C$189:$E$189,$D$3)-2,INDEX(Assumptions!$C$190:$E$190,$D$3),0)</f>
        <v>0</v>
      </c>
      <c r="O100" s="37" t="n">
        <f aca="false">SUM(C100:N100)</f>
        <v>350000</v>
      </c>
      <c r="P100" s="2"/>
    </row>
    <row r="101" customFormat="false" ht="15" hidden="false" customHeight="false" outlineLevel="0" collapsed="false">
      <c r="A101" s="3" t="s">
        <v>1202</v>
      </c>
      <c r="C101" s="37" t="n">
        <f aca="false">SUM(C96:C100)</f>
        <v>150000</v>
      </c>
      <c r="D101" s="37" t="n">
        <f aca="false">SUM(D96:D100)</f>
        <v>0</v>
      </c>
      <c r="E101" s="37" t="n">
        <f aca="false">SUM(E96:E100)</f>
        <v>0</v>
      </c>
      <c r="F101" s="37" t="n">
        <f aca="false">SUM(F96:F100)</f>
        <v>0</v>
      </c>
      <c r="G101" s="37" t="n">
        <f aca="false">SUM(G96:G100)</f>
        <v>0</v>
      </c>
      <c r="H101" s="37" t="n">
        <f aca="false">SUM(H96:H100)</f>
        <v>1472000</v>
      </c>
      <c r="I101" s="37" t="n">
        <f aca="false">SUM(I96:I100)</f>
        <v>0</v>
      </c>
      <c r="J101" s="37" t="n">
        <f aca="false">SUM(J96:J100)</f>
        <v>350000</v>
      </c>
      <c r="K101" s="37" t="n">
        <f aca="false">SUM(K96:K100)</f>
        <v>0</v>
      </c>
      <c r="L101" s="37" t="n">
        <f aca="false">SUM(L96:L100)</f>
        <v>0</v>
      </c>
      <c r="M101" s="37" t="n">
        <f aca="false">SUM(M96:M100)</f>
        <v>0</v>
      </c>
      <c r="N101" s="37" t="n">
        <f aca="false">SUM(N96:N100)</f>
        <v>0</v>
      </c>
      <c r="O101" s="31" t="n">
        <f aca="false">SUM(C101:N101)</f>
        <v>1972000</v>
      </c>
      <c r="P101" s="2"/>
    </row>
    <row r="102" customFormat="false" ht="15" hidden="false" customHeight="false" outlineLevel="0" collapsed="false">
      <c r="A102" s="28" t="s">
        <v>1203</v>
      </c>
      <c r="C102" s="8" t="n">
        <f aca="false">((C58+IF(INDEX(Assumptions!$C$87:$E$87,$B$3)&gt;=2,0,0)+IF(INDEX(Assumptions!$C$87:$E$87,$B$3)&gt;=3,0,0))/INDEX(Assumptions!$C$87:$E$87,$B$3))-C58</f>
        <v>-30367.5024</v>
      </c>
      <c r="D102" s="8" t="n">
        <f aca="false">((D58+IF(INDEX(Assumptions!$C$87:$E$87,$B$3)&gt;=2,C58,0)+IF(INDEX(Assumptions!$C$87:$E$87,$B$3)&gt;=3,0,0))/INDEX(Assumptions!$C$87:$E$87,$B$3))-D58</f>
        <v>-27232.03563</v>
      </c>
      <c r="E102" s="8" t="n">
        <f aca="false">((E58+IF(INDEX(Assumptions!$C$87:$E$87,$B$3)&gt;=2,D58,0)+IF(INDEX(Assumptions!$C$87:$E$87,$B$3)&gt;=3,C58,0))/INDEX(Assumptions!$C$87:$E$87,$B$3))-E58</f>
        <v>-35938.813845</v>
      </c>
      <c r="F102" s="8" t="n">
        <f aca="false">((F58+IF(INDEX(Assumptions!$C$87:$E$87,$B$3)&gt;=2,E58,0)+IF(INDEX(Assumptions!$C$87:$E$87,$B$3)&gt;=3,D58,0))/INDEX(Assumptions!$C$87:$E$87,$B$3))-F58</f>
        <v>-37465.048125</v>
      </c>
      <c r="G102" s="8" t="n">
        <f aca="false">((G58+IF(INDEX(Assumptions!$C$87:$E$87,$B$3)&gt;=2,F58,0)+IF(INDEX(Assumptions!$C$87:$E$87,$B$3)&gt;=3,E58,0))/INDEX(Assumptions!$C$87:$E$87,$B$3))-G58</f>
        <v>-50246.88</v>
      </c>
      <c r="H102" s="8" t="n">
        <f aca="false">((H58+IF(INDEX(Assumptions!$C$87:$E$87,$B$3)&gt;=2,G58,0)+IF(INDEX(Assumptions!$C$87:$E$87,$B$3)&gt;=3,F58,0))/INDEX(Assumptions!$C$87:$E$87,$B$3))-H58</f>
        <v>23212.53583682</v>
      </c>
      <c r="I102" s="8" t="n">
        <f aca="false">((I58+IF(INDEX(Assumptions!$C$87:$E$87,$B$3)&gt;=2,H58,0)+IF(INDEX(Assumptions!$C$87:$E$87,$B$3)&gt;=3,G58,0))/INDEX(Assumptions!$C$87:$E$87,$B$3))-I58</f>
        <v>-271832.094853557</v>
      </c>
      <c r="J102" s="8" t="n">
        <f aca="false">((J58+IF(INDEX(Assumptions!$C$87:$E$87,$B$3)&gt;=2,I58,0)+IF(INDEX(Assumptions!$C$87:$E$87,$B$3)&gt;=3,H58,0))/INDEX(Assumptions!$C$87:$E$87,$B$3))-J58</f>
        <v>-13706.8986571705</v>
      </c>
      <c r="K102" s="8" t="n">
        <f aca="false">((K58+IF(INDEX(Assumptions!$C$87:$E$87,$B$3)&gt;=2,J58,0)+IF(INDEX(Assumptions!$C$87:$E$87,$B$3)&gt;=3,I58,0))/INDEX(Assumptions!$C$87:$E$87,$B$3))-K58</f>
        <v>160235.834201986</v>
      </c>
      <c r="L102" s="8" t="n">
        <f aca="false">((L58+IF(INDEX(Assumptions!$C$87:$E$87,$B$3)&gt;=2,K58,0)+IF(INDEX(Assumptions!$C$87:$E$87,$B$3)&gt;=3,J58,0))/INDEX(Assumptions!$C$87:$E$87,$B$3))-L58</f>
        <v>-70052.0424972232</v>
      </c>
      <c r="M102" s="8" t="n">
        <f aca="false">((M58+IF(INDEX(Assumptions!$C$87:$E$87,$B$3)&gt;=2,L58,0)+IF(INDEX(Assumptions!$C$87:$E$87,$B$3)&gt;=3,K58,0))/INDEX(Assumptions!$C$87:$E$87,$B$3))-M58</f>
        <v>-7569.19662111637</v>
      </c>
      <c r="N102" s="8" t="n">
        <f aca="false">((N58+IF(INDEX(Assumptions!$C$87:$E$87,$B$3)&gt;=2,M58,0)+IF(INDEX(Assumptions!$C$87:$E$87,$B$3)&gt;=3,L58,0))/INDEX(Assumptions!$C$87:$E$87,$B$3))-N58</f>
        <v>15899.1425902604</v>
      </c>
      <c r="O102" s="37" t="n">
        <f aca="false">SUM(C102:N102)</f>
        <v>-345063</v>
      </c>
      <c r="P102" s="2"/>
    </row>
    <row r="103" customFormat="false" ht="15" hidden="false" customHeight="false" outlineLevel="0" collapsed="false">
      <c r="A103" s="3" t="s">
        <v>1204</v>
      </c>
      <c r="C103" s="37" t="n">
        <f aca="false">C92+C102-C101</f>
        <v>-395498.84583304</v>
      </c>
      <c r="D103" s="37" t="n">
        <f aca="false">D92+D102-D101</f>
        <v>-199554.148994568</v>
      </c>
      <c r="E103" s="37" t="n">
        <f aca="false">E92+E102-E101</f>
        <v>-271180.698855081</v>
      </c>
      <c r="F103" s="37" t="n">
        <f aca="false">F92+F102-F101</f>
        <v>-38666.7050197843</v>
      </c>
      <c r="G103" s="37" t="n">
        <f aca="false">G92+G102-G101</f>
        <v>7869.23060176353</v>
      </c>
      <c r="H103" s="37" t="n">
        <f aca="false">H92+H102-H101</f>
        <v>-1420946.7570509</v>
      </c>
      <c r="I103" s="37" t="n">
        <f aca="false">I92+I102-I101</f>
        <v>201213.410105401</v>
      </c>
      <c r="J103" s="37" t="n">
        <f aca="false">J92+J102-J101</f>
        <v>156582.849902896</v>
      </c>
      <c r="K103" s="37" t="n">
        <f aca="false">K92+K102-K101</f>
        <v>386423.281979813</v>
      </c>
      <c r="L103" s="37" t="n">
        <f aca="false">L92+L102-L101</f>
        <v>292425.267069078</v>
      </c>
      <c r="M103" s="37" t="n">
        <f aca="false">M92+M102-M101</f>
        <v>387362.265286565</v>
      </c>
      <c r="N103" s="37" t="n">
        <f aca="false">N92+N102-N101</f>
        <v>402340.774923244</v>
      </c>
      <c r="O103" s="31" t="n">
        <f aca="false">SUM(C103:N103)</f>
        <v>-491630.075884613</v>
      </c>
      <c r="P103" s="2"/>
    </row>
    <row r="104" customFormat="false" ht="15" hidden="false" customHeight="false" outlineLevel="0" collapsed="false">
      <c r="A104" s="3" t="s">
        <v>839</v>
      </c>
      <c r="C104" s="37" t="n">
        <f aca="false">0+C103</f>
        <v>-395498.84583304</v>
      </c>
      <c r="D104" s="37" t="n">
        <f aca="false">C104+D103</f>
        <v>-595052.994827608</v>
      </c>
      <c r="E104" s="37" t="n">
        <f aca="false">D104+E103</f>
        <v>-866233.693682689</v>
      </c>
      <c r="F104" s="37" t="n">
        <f aca="false">E104+F103</f>
        <v>-904900.398702473</v>
      </c>
      <c r="G104" s="37" t="n">
        <f aca="false">F104+G103</f>
        <v>-897031.16810071</v>
      </c>
      <c r="H104" s="37" t="n">
        <f aca="false">G104+H103</f>
        <v>-2317977.92515161</v>
      </c>
      <c r="I104" s="37" t="n">
        <f aca="false">H104+I103</f>
        <v>-2116764.51504621</v>
      </c>
      <c r="J104" s="37" t="n">
        <f aca="false">I104+J103</f>
        <v>-1960181.66514331</v>
      </c>
      <c r="K104" s="37" t="n">
        <f aca="false">J104+K103</f>
        <v>-1573758.3831635</v>
      </c>
      <c r="L104" s="37" t="n">
        <f aca="false">K104+L103</f>
        <v>-1281333.11609442</v>
      </c>
      <c r="M104" s="37" t="n">
        <f aca="false">L104+M103</f>
        <v>-893970.850807856</v>
      </c>
      <c r="N104" s="37" t="n">
        <f aca="false">M104+N103</f>
        <v>-491630.075884613</v>
      </c>
      <c r="O104" s="31" t="n">
        <f aca="false">N104</f>
        <v>-491630.075884613</v>
      </c>
      <c r="P104" s="2"/>
    </row>
    <row r="105" customFormat="false" ht="15" hidden="false" customHeight="false" outlineLevel="0" collapsed="false">
      <c r="A105" s="3" t="s">
        <v>67</v>
      </c>
      <c r="C105" s="37" t="n">
        <f aca="false">-MIN(0,MIN($C$104:C104))</f>
        <v>395498.84583304</v>
      </c>
      <c r="D105" s="37" t="n">
        <f aca="false">-MIN(0,MIN($C$104:D104))</f>
        <v>595052.994827608</v>
      </c>
      <c r="E105" s="37" t="n">
        <f aca="false">-MIN(0,MIN($C$104:E104))</f>
        <v>866233.693682689</v>
      </c>
      <c r="F105" s="37" t="n">
        <f aca="false">-MIN(0,MIN($C$104:F104))</f>
        <v>904900.398702473</v>
      </c>
      <c r="G105" s="37" t="n">
        <f aca="false">-MIN(0,MIN($C$104:G104))</f>
        <v>904900.398702473</v>
      </c>
      <c r="H105" s="37" t="n">
        <f aca="false">-MIN(0,MIN($C$104:H104))</f>
        <v>2317977.92515161</v>
      </c>
      <c r="I105" s="37" t="n">
        <f aca="false">-MIN(0,MIN($C$104:I104))</f>
        <v>2317977.92515161</v>
      </c>
      <c r="J105" s="37" t="n">
        <f aca="false">-MIN(0,MIN($C$104:J104))</f>
        <v>2317977.92515161</v>
      </c>
      <c r="K105" s="37" t="n">
        <f aca="false">-MIN(0,MIN($C$104:K104))</f>
        <v>2317977.92515161</v>
      </c>
      <c r="L105" s="37" t="n">
        <f aca="false">-MIN(0,MIN($C$104:L104))</f>
        <v>2317977.92515161</v>
      </c>
      <c r="M105" s="37" t="n">
        <f aca="false">-MIN(0,MIN($C$104:M104))</f>
        <v>2317977.92515161</v>
      </c>
      <c r="N105" s="37" t="n">
        <f aca="false">-MIN(0,MIN($C$104:N104))</f>
        <v>2317977.92515161</v>
      </c>
      <c r="O105" s="31" t="n">
        <f aca="false">MAX(C105:N105)</f>
        <v>2317977.92515161</v>
      </c>
      <c r="P105" s="2"/>
    </row>
    <row r="106" customFormat="false" ht="15" hidden="false" customHeight="false" outlineLevel="0" collapsed="false">
      <c r="A106" s="28" t="s">
        <v>1205</v>
      </c>
      <c r="C106" s="8" t="n">
        <f aca="false">IF(C92&gt;=0,1,0)</f>
        <v>0</v>
      </c>
      <c r="D106" s="8" t="n">
        <f aca="false">IF(D92&gt;=0,1,0)</f>
        <v>0</v>
      </c>
      <c r="E106" s="8" t="n">
        <f aca="false">IF(E92&gt;=0,1,0)</f>
        <v>0</v>
      </c>
      <c r="F106" s="8" t="n">
        <f aca="false">IF(F92&gt;=0,1,0)</f>
        <v>0</v>
      </c>
      <c r="G106" s="8" t="n">
        <f aca="false">IF(G92&gt;=0,1,0)</f>
        <v>1</v>
      </c>
      <c r="H106" s="8" t="n">
        <f aca="false">IF(H92&gt;=0,1,0)</f>
        <v>1</v>
      </c>
      <c r="I106" s="8" t="n">
        <f aca="false">IF(I92&gt;=0,1,0)</f>
        <v>1</v>
      </c>
      <c r="J106" s="8" t="n">
        <f aca="false">IF(J92&gt;=0,1,0)</f>
        <v>1</v>
      </c>
      <c r="K106" s="8" t="n">
        <f aca="false">IF(K92&gt;=0,1,0)</f>
        <v>1</v>
      </c>
      <c r="L106" s="8" t="n">
        <f aca="false">IF(L92&gt;=0,1,0)</f>
        <v>1</v>
      </c>
      <c r="M106" s="8" t="n">
        <f aca="false">IF(M92&gt;=0,1,0)</f>
        <v>1</v>
      </c>
      <c r="N106" s="8" t="n">
        <f aca="false">IF(N92&gt;=0,1,0)</f>
        <v>1</v>
      </c>
      <c r="P106" s="2"/>
    </row>
    <row r="108" customFormat="false" ht="15" hidden="false" customHeight="false" outlineLevel="0" collapsed="false">
      <c r="A108" s="10" t="s">
        <v>1206</v>
      </c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</row>
    <row r="109" customFormat="false" ht="15" hidden="false" customHeight="false" outlineLevel="0" collapsed="false">
      <c r="A109" s="3" t="s">
        <v>27</v>
      </c>
      <c r="B109" s="31" t="n">
        <f aca="false">O57</f>
        <v>8388185.66731538</v>
      </c>
    </row>
    <row r="110" customFormat="false" ht="15" hidden="false" customHeight="false" outlineLevel="0" collapsed="false">
      <c r="A110" s="3" t="s">
        <v>28</v>
      </c>
      <c r="B110" s="31" t="n">
        <f aca="false">O92</f>
        <v>1825432.92411539</v>
      </c>
    </row>
    <row r="111" customFormat="false" ht="15" hidden="false" customHeight="false" outlineLevel="0" collapsed="false">
      <c r="A111" s="3" t="s">
        <v>29</v>
      </c>
      <c r="B111" s="30" t="n">
        <f aca="false">O93</f>
        <v>0.21761951827416</v>
      </c>
    </row>
    <row r="112" customFormat="false" ht="15" hidden="false" customHeight="false" outlineLevel="0" collapsed="false">
      <c r="A112" s="3" t="s">
        <v>30</v>
      </c>
      <c r="B112" s="31" t="n">
        <f aca="false">O94</f>
        <v>925432.924115387</v>
      </c>
    </row>
    <row r="113" customFormat="false" ht="15" hidden="false" customHeight="false" outlineLevel="0" collapsed="false">
      <c r="A113" s="3" t="s">
        <v>31</v>
      </c>
      <c r="B113" s="31" t="n">
        <f aca="false">O101</f>
        <v>1972000</v>
      </c>
    </row>
    <row r="114" customFormat="false" ht="15" hidden="false" customHeight="false" outlineLevel="0" collapsed="false">
      <c r="A114" s="3" t="s">
        <v>32</v>
      </c>
      <c r="B114" s="31" t="n">
        <f aca="false">O105</f>
        <v>2317977.92515161</v>
      </c>
    </row>
    <row r="115" customFormat="false" ht="15" hidden="false" customHeight="false" outlineLevel="0" collapsed="false">
      <c r="A115" s="3" t="s">
        <v>33</v>
      </c>
      <c r="B115" s="31" t="n">
        <f aca="false">INDEX(Assumptions!$C$11:$E$11,$D$3)</f>
        <v>3000000</v>
      </c>
    </row>
    <row r="116" customFormat="false" ht="15" hidden="false" customHeight="false" outlineLevel="0" collapsed="false">
      <c r="A116" s="3" t="s">
        <v>34</v>
      </c>
      <c r="B116" s="31" t="n">
        <f aca="false">B115-B114</f>
        <v>682022.074848391</v>
      </c>
    </row>
    <row r="117" customFormat="false" ht="15" hidden="false" customHeight="false" outlineLevel="0" collapsed="false">
      <c r="A117" s="3" t="s">
        <v>35</v>
      </c>
      <c r="B117" s="32" t="n">
        <f aca="false">O31</f>
        <v>89.4501840794568</v>
      </c>
    </row>
    <row r="118" customFormat="false" ht="15" hidden="false" customHeight="false" outlineLevel="0" collapsed="false">
      <c r="A118" s="3" t="s">
        <v>36</v>
      </c>
      <c r="B118" s="32" t="n">
        <f aca="false">AVERAGE(I31:N31)</f>
        <v>10.8526234222386</v>
      </c>
    </row>
    <row r="119" customFormat="false" ht="15" hidden="false" customHeight="false" outlineLevel="0" collapsed="false">
      <c r="A119" s="3" t="s">
        <v>37</v>
      </c>
      <c r="B119" s="31" t="n">
        <f aca="false">O37</f>
        <v>153</v>
      </c>
    </row>
    <row r="120" customFormat="false" ht="15" hidden="false" customHeight="false" outlineLevel="0" collapsed="false">
      <c r="A120" s="3" t="s">
        <v>38</v>
      </c>
      <c r="B120" s="30" t="n">
        <f aca="false">N34</f>
        <v>0.841013660212882</v>
      </c>
    </row>
    <row r="121" customFormat="false" ht="15" hidden="false" customHeight="false" outlineLevel="0" collapsed="false">
      <c r="A121" s="3" t="s">
        <v>39</v>
      </c>
      <c r="B121" s="40" t="n">
        <f aca="false">IFERROR(MATCH(1,C35:N35,0),"not in Y1")</f>
        <v>6</v>
      </c>
    </row>
    <row r="122" customFormat="false" ht="15" hidden="false" customHeight="false" outlineLevel="0" collapsed="false">
      <c r="A122" s="3" t="s">
        <v>40</v>
      </c>
      <c r="B122" s="30" t="n">
        <f aca="false">N11</f>
        <v>0.3</v>
      </c>
    </row>
    <row r="123" customFormat="false" ht="15" hidden="false" customHeight="false" outlineLevel="0" collapsed="false">
      <c r="A123" s="3" t="s">
        <v>41</v>
      </c>
      <c r="B123" s="31" t="n">
        <f aca="false">N74+N75+N76</f>
        <v>3</v>
      </c>
    </row>
    <row r="124" customFormat="false" ht="15" hidden="false" customHeight="false" outlineLevel="0" collapsed="false">
      <c r="A124" s="3" t="s">
        <v>42</v>
      </c>
      <c r="B124" s="31" t="n">
        <f aca="false">IFERROR((N58-N60-N61-N62-N67-(N47+N48+N49)*(1+INDEX(Assumptions!$C$15:$E$15,$B$3)*$H$4)*INDEX(Assumptions!$C$70:$E$70,$B$3)*INDEX(Assumptions!$C$71:$E$71,$B$3)-N58*(1+INDEX(Assumptions!$C$15:$E$15,$B$3)*$H$4)*INDEX(Assumptions!$C$76:$E$76,$B$3))/N31,0)</f>
        <v>60722.9275</v>
      </c>
    </row>
    <row r="125" customFormat="false" ht="15" hidden="false" customHeight="false" outlineLevel="0" collapsed="false">
      <c r="A125" s="3" t="s">
        <v>1207</v>
      </c>
      <c r="B125" s="31" t="n">
        <f aca="false">N91</f>
        <v>514933</v>
      </c>
    </row>
    <row r="126" customFormat="false" ht="15" hidden="false" customHeight="false" outlineLevel="0" collapsed="false">
      <c r="A126" s="3" t="s">
        <v>1208</v>
      </c>
      <c r="B126" s="31" t="n">
        <f aca="false">N69-B124*N31</f>
        <v>294145.357332983</v>
      </c>
    </row>
    <row r="127" customFormat="false" ht="15" hidden="false" customHeight="false" outlineLevel="0" collapsed="false">
      <c r="A127" s="3" t="s">
        <v>43</v>
      </c>
      <c r="B127" s="32" t="n">
        <f aca="false">IFERROR((B125-B126)/B124,0)</f>
        <v>3.63598482084081</v>
      </c>
    </row>
    <row r="128" customFormat="false" ht="15" hidden="false" customHeight="false" outlineLevel="0" collapsed="false">
      <c r="A128" s="3" t="s">
        <v>44</v>
      </c>
      <c r="B128" s="31" t="n">
        <f aca="false">B127*12</f>
        <v>43.6318178500897</v>
      </c>
    </row>
    <row r="129" customFormat="false" ht="15" hidden="false" customHeight="false" outlineLevel="0" collapsed="false">
      <c r="A129" s="3" t="s">
        <v>45</v>
      </c>
      <c r="B129" s="31" t="n">
        <f aca="false">IFERROR(SUM(I15:N15)*INDEX(Assumptions!$C$119:$E$119,$B$3)/(SUM(I31:N31)*(INDEX(Assumptions!$C$27:$E$27,$B$3)+INDEX(Assumptions!$C$28:$E$28,$B$3)+INDEX(Assumptions!$C$31:$E$31,$B$3))),0)</f>
        <v>10750.0889073143</v>
      </c>
    </row>
    <row r="130" customFormat="false" ht="15" hidden="false" customHeight="false" outlineLevel="0" collapsed="false">
      <c r="A130" s="3" t="s">
        <v>46</v>
      </c>
      <c r="B130" s="30" t="n">
        <f aca="false">B129/(N44/(1+INDEX(Assumptions!$C$15:$E$15,$B$3)*$H$4))</f>
        <v>0.134376111341429</v>
      </c>
    </row>
    <row r="131" customFormat="false" ht="15" hidden="false" customHeight="false" outlineLevel="0" collapsed="false">
      <c r="A131" s="3" t="s">
        <v>47</v>
      </c>
      <c r="B131" s="30" t="n">
        <f aca="false">IFERROR((SUM(I87:N87)+SUM(I78:N79)+SUM(I86:N86)+SUM(I67:N67)+SUMPRODUCT(I47:N47+I48:N48)*(1+INDEX(Assumptions!$C$15:$E$15,$B$3)*$H$4)*INDEX(Assumptions!$C$70:$E$70,$B$3)*INDEX(Assumptions!$C$71:$E$71,$B$3))/SUM(I58:N58),0)</f>
        <v>0.357991760503334</v>
      </c>
    </row>
    <row r="132" customFormat="false" ht="15" hidden="false" customHeight="false" outlineLevel="0" collapsed="false">
      <c r="A132" s="3" t="s">
        <v>48</v>
      </c>
      <c r="B132" s="32" t="n">
        <f aca="false">IFERROR((N87+N78+N79+N86+N67)/(0.25*N58/N31),0)</f>
        <v>14.8668504012311</v>
      </c>
    </row>
    <row r="133" customFormat="false" ht="15" hidden="false" customHeight="false" outlineLevel="0" collapsed="false">
      <c r="A133" s="3" t="s">
        <v>49</v>
      </c>
      <c r="B133" s="31" t="n">
        <f aca="false">SUM(L92:N92)</f>
        <v>1143850.40380697</v>
      </c>
    </row>
    <row r="134" customFormat="false" ht="15" hidden="false" customHeight="false" outlineLevel="0" collapsed="false">
      <c r="A134" s="3" t="s">
        <v>50</v>
      </c>
      <c r="B134" s="40" t="n">
        <f aca="false">IFERROR(MATCH(1,C106:N106,0),"not in Y1")</f>
        <v>5</v>
      </c>
    </row>
    <row r="135" customFormat="false" ht="15" hidden="false" customHeight="false" outlineLevel="0" collapsed="false">
      <c r="A135" s="3" t="s">
        <v>51</v>
      </c>
      <c r="B135" s="31" t="n">
        <f aca="false">N104</f>
        <v>-491630.075884613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2"/>
  </cols>
  <sheetData>
    <row r="1" customFormat="false" ht="17.35" hidden="false" customHeight="false" outlineLevel="0" collapsed="false">
      <c r="A1" s="1" t="s">
        <v>1229</v>
      </c>
    </row>
    <row r="4" customFormat="false" ht="15" hidden="false" customHeight="false" outlineLevel="0" collapsed="false">
      <c r="A4" s="5" t="s">
        <v>1230</v>
      </c>
      <c r="B4" s="5" t="s">
        <v>1231</v>
      </c>
    </row>
    <row r="5" customFormat="false" ht="15" hidden="false" customHeight="false" outlineLevel="0" collapsed="false">
      <c r="A5" s="0" t="s">
        <v>1232</v>
      </c>
      <c r="B5" s="41" t="b">
        <f aca="false">MAX(Outlook_Conservative!C34:N34)&lt;=1.0001</f>
        <v>1</v>
      </c>
    </row>
    <row r="6" customFormat="false" ht="15" hidden="false" customHeight="false" outlineLevel="0" collapsed="false">
      <c r="A6" s="0" t="s">
        <v>1233</v>
      </c>
      <c r="B6" s="41" t="b">
        <f aca="false">ABS(SUM(Outlook_Conservative!O47:O56)-Outlook_Conservative!O57)&lt;1</f>
        <v>1</v>
      </c>
    </row>
    <row r="7" customFormat="false" ht="15" hidden="false" customHeight="false" outlineLevel="0" collapsed="false">
      <c r="A7" s="0" t="s">
        <v>1234</v>
      </c>
      <c r="B7" s="41" t="b">
        <f aca="false">ABS(Outlook_Conservative!O92-(Outlook_Conservative!O69-Outlook_Conservative!O91))&lt;1</f>
        <v>1</v>
      </c>
    </row>
    <row r="8" customFormat="false" ht="15" hidden="false" customHeight="false" outlineLevel="0" collapsed="false">
      <c r="A8" s="0" t="s">
        <v>1235</v>
      </c>
      <c r="B8" s="41" t="b">
        <f aca="false">MAX(Outlook_Base!C34:N34)&lt;=1.0001</f>
        <v>1</v>
      </c>
    </row>
    <row r="9" customFormat="false" ht="15" hidden="false" customHeight="false" outlineLevel="0" collapsed="false">
      <c r="A9" s="0" t="s">
        <v>1236</v>
      </c>
      <c r="B9" s="41" t="b">
        <f aca="false">ABS(SUM(Outlook_Base!O47:O56)-Outlook_Base!O57)&lt;1</f>
        <v>1</v>
      </c>
    </row>
    <row r="10" customFormat="false" ht="15" hidden="false" customHeight="false" outlineLevel="0" collapsed="false">
      <c r="A10" s="0" t="s">
        <v>1237</v>
      </c>
      <c r="B10" s="41" t="b">
        <f aca="false">ABS(Outlook_Base!O92-(Outlook_Base!O69-Outlook_Base!O91))&lt;1</f>
        <v>1</v>
      </c>
    </row>
    <row r="11" customFormat="false" ht="15" hidden="false" customHeight="false" outlineLevel="0" collapsed="false">
      <c r="A11" s="0" t="s">
        <v>1238</v>
      </c>
      <c r="B11" s="41" t="b">
        <f aca="false">MAX(Outlook_Aggressive!C34:N34)&lt;=1.0001</f>
        <v>1</v>
      </c>
    </row>
    <row r="12" customFormat="false" ht="15" hidden="false" customHeight="false" outlineLevel="0" collapsed="false">
      <c r="A12" s="0" t="s">
        <v>1239</v>
      </c>
      <c r="B12" s="41" t="b">
        <f aca="false">ABS(SUM(Outlook_Aggressive!O47:O56)-Outlook_Aggressive!O57)&lt;1</f>
        <v>1</v>
      </c>
    </row>
    <row r="13" customFormat="false" ht="15" hidden="false" customHeight="false" outlineLevel="0" collapsed="false">
      <c r="A13" s="0" t="s">
        <v>1240</v>
      </c>
      <c r="B13" s="41" t="b">
        <f aca="false">ABS(Outlook_Aggressive!O92-(Outlook_Aggressive!O69-Outlook_Aggressive!O91))&lt;1</f>
        <v>1</v>
      </c>
    </row>
    <row r="14" customFormat="false" ht="15" hidden="false" customHeight="false" outlineLevel="0" collapsed="false">
      <c r="A14" s="0" t="s">
        <v>1241</v>
      </c>
      <c r="B14" s="41" t="b">
        <f aca="false">MAX(Plan10L_BaseRates!C34:N34)&lt;=1.0001</f>
        <v>1</v>
      </c>
    </row>
    <row r="15" customFormat="false" ht="15" hidden="false" customHeight="false" outlineLevel="0" collapsed="false">
      <c r="A15" s="0" t="s">
        <v>1242</v>
      </c>
      <c r="B15" s="41" t="b">
        <f aca="false">ABS(SUM(Plan10L_BaseRates!O47:O56)-Plan10L_BaseRates!O57)&lt;1</f>
        <v>1</v>
      </c>
    </row>
    <row r="16" customFormat="false" ht="15" hidden="false" customHeight="false" outlineLevel="0" collapsed="false">
      <c r="A16" s="0" t="s">
        <v>1243</v>
      </c>
      <c r="B16" s="41" t="b">
        <f aca="false">ABS(Plan10L_BaseRates!O92-(Plan10L_BaseRates!O69-Plan10L_BaseRates!O91))&lt;1</f>
        <v>1</v>
      </c>
    </row>
    <row r="17" customFormat="false" ht="15" hidden="false" customHeight="false" outlineLevel="0" collapsed="false">
      <c r="A17" s="0" t="s">
        <v>1244</v>
      </c>
      <c r="B17" s="41" t="b">
        <f aca="false">MAX(Plan50L_BaseRates!C34:N34)&lt;=1.0001</f>
        <v>1</v>
      </c>
    </row>
    <row r="18" customFormat="false" ht="15" hidden="false" customHeight="false" outlineLevel="0" collapsed="false">
      <c r="A18" s="0" t="s">
        <v>1245</v>
      </c>
      <c r="B18" s="41" t="b">
        <f aca="false">ABS(SUM(Plan50L_BaseRates!O47:O56)-Plan50L_BaseRates!O57)&lt;1</f>
        <v>1</v>
      </c>
    </row>
    <row r="19" customFormat="false" ht="15" hidden="false" customHeight="false" outlineLevel="0" collapsed="false">
      <c r="A19" s="0" t="s">
        <v>1246</v>
      </c>
      <c r="B19" s="41" t="b">
        <f aca="false">ABS(Plan50L_BaseRates!O92-(Plan50L_BaseRates!O69-Plan50L_BaseRates!O91))&lt;1</f>
        <v>1</v>
      </c>
    </row>
    <row r="20" customFormat="false" ht="15" hidden="false" customHeight="false" outlineLevel="0" collapsed="false">
      <c r="A20" s="0" t="s">
        <v>1247</v>
      </c>
      <c r="B20" s="41" t="b">
        <f aca="false">MAX(Outlook_Selected!C34:N34)&lt;=1.0001</f>
        <v>1</v>
      </c>
    </row>
    <row r="21" customFormat="false" ht="15" hidden="false" customHeight="false" outlineLevel="0" collapsed="false">
      <c r="A21" s="0" t="s">
        <v>1248</v>
      </c>
      <c r="B21" s="41" t="b">
        <f aca="false">ABS(SUM(Outlook_Selected!O47:O56)-Outlook_Selected!O57)&lt;1</f>
        <v>1</v>
      </c>
    </row>
    <row r="22" customFormat="false" ht="15" hidden="false" customHeight="false" outlineLevel="0" collapsed="false">
      <c r="A22" s="0" t="s">
        <v>1249</v>
      </c>
      <c r="B22" s="41" t="b">
        <f aca="false">ABS(Outlook_Selected!O92-(Outlook_Selected!O69-Outlook_Selected!O91))&lt;1</f>
        <v>1</v>
      </c>
    </row>
    <row r="23" customFormat="false" ht="15" hidden="false" customHeight="false" outlineLevel="0" collapsed="false">
      <c r="A23" s="0" t="s">
        <v>1250</v>
      </c>
      <c r="B23" s="41" t="b">
        <f aca="false">ABS(3yr_Scenarios!B66)&lt;0.001</f>
        <v>1</v>
      </c>
    </row>
    <row r="24" customFormat="false" ht="15" hidden="false" customHeight="false" outlineLevel="0" collapsed="false">
      <c r="A24" s="0" t="s">
        <v>1251</v>
      </c>
      <c r="B24" s="41" t="b">
        <f aca="false">ABS(3yr_Scenarios!C66)&lt;0.001</f>
        <v>1</v>
      </c>
    </row>
    <row r="25" customFormat="false" ht="15" hidden="false" customHeight="false" outlineLevel="0" collapsed="false">
      <c r="A25" s="0" t="s">
        <v>1252</v>
      </c>
      <c r="B25" s="41" t="b">
        <f aca="false">ABS(3yr_Scenarios!D66)&lt;0.001</f>
        <v>1</v>
      </c>
    </row>
    <row r="26" customFormat="false" ht="15" hidden="false" customHeight="false" outlineLevel="0" collapsed="false">
      <c r="A26" s="0" t="s">
        <v>1253</v>
      </c>
      <c r="B26" s="41" t="b">
        <f aca="false">ABS(3yr_Scenarios!E66)&lt;0.001</f>
        <v>1</v>
      </c>
    </row>
    <row r="27" customFormat="false" ht="15" hidden="false" customHeight="false" outlineLevel="0" collapsed="false">
      <c r="A27" s="0" t="s">
        <v>1254</v>
      </c>
      <c r="B27" s="41" t="b">
        <f aca="false">ABS(3yr_Scenarios!F66)&lt;0.001</f>
        <v>1</v>
      </c>
    </row>
    <row r="28" customFormat="false" ht="15" hidden="false" customHeight="false" outlineLevel="0" collapsed="false">
      <c r="A28" s="0" t="s">
        <v>1255</v>
      </c>
      <c r="B28" s="41" t="b">
        <f aca="false">ABS(3yr_Scenarios!G66)&lt;0.001</f>
        <v>1</v>
      </c>
    </row>
    <row r="29" customFormat="false" ht="15" hidden="false" customHeight="false" outlineLevel="0" collapsed="false">
      <c r="A29" s="0" t="s">
        <v>1256</v>
      </c>
      <c r="B29" s="41" t="b">
        <f aca="false">ABS(3yr_Scenarios!H66)&lt;0.001</f>
        <v>1</v>
      </c>
    </row>
    <row r="30" customFormat="false" ht="15" hidden="false" customHeight="false" outlineLevel="0" collapsed="false">
      <c r="A30" s="0" t="s">
        <v>1257</v>
      </c>
      <c r="B30" s="41" t="b">
        <f aca="false">ABS(3yr_Scenarios!I66)&lt;0.001</f>
        <v>1</v>
      </c>
    </row>
    <row r="31" customFormat="false" ht="15" hidden="false" customHeight="false" outlineLevel="0" collapsed="false">
      <c r="A31" s="0" t="s">
        <v>1258</v>
      </c>
      <c r="B31" s="41" t="b">
        <f aca="false">ABS(3yr_Scenarios!J66)&lt;0.001</f>
        <v>1</v>
      </c>
    </row>
    <row r="32" customFormat="false" ht="15" hidden="false" customHeight="false" outlineLevel="0" collapsed="false">
      <c r="A32" s="0" t="s">
        <v>1259</v>
      </c>
      <c r="B32" s="41" t="b">
        <f aca="false">IF(Assumptions!$C$3="Base",ABS(Outlook_Selected!O92-Outlook_Base!O92)&lt;1,TRUE())</f>
        <v>1</v>
      </c>
    </row>
    <row r="33" customFormat="false" ht="15" hidden="false" customHeight="false" outlineLevel="0" collapsed="false">
      <c r="A33" s="0" t="s">
        <v>1260</v>
      </c>
      <c r="B33" s="41" t="b">
        <f aca="false">ABS(Outlook_Base!N18-Assumptions!$D$25*(Assumptions!$D$27+Assumptions!$D$28+Assumptions!$D$31))&lt;0.01</f>
        <v>1</v>
      </c>
    </row>
    <row r="35" customFormat="false" ht="15" hidden="false" customHeight="false" outlineLevel="0" collapsed="false">
      <c r="A35" s="3" t="s">
        <v>1261</v>
      </c>
      <c r="B35" s="41" t="b">
        <f aca="false">AND(B5:B33)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2026-10-16T03:27:34Z</dcterms:created>
  <dc:creator>openpyxl</dc:creator>
  <dc:description/>
  <dc:language>en-US</dc:language>
  <cp:lastModifiedBy/>
  <dcterms:modified xsi:type="dcterms:W3CDTF">2026-10-16T03:27:34Z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