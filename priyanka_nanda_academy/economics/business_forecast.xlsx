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Capacity" sheetId="7" state="visible" r:id="rId9"/>
    <sheet name="Sensitivity" sheetId="8" state="visible" r:id="rId10"/>
    <sheet name="Outlook_Conservative" sheetId="9" state="visible" r:id="rId11"/>
    <sheet name="Outlook_Base" sheetId="10" state="visible" r:id="rId12"/>
    <sheet name="Outlook_Aggressive" sheetId="11" state="visible" r:id="rId13"/>
    <sheet name="Outlook_Selected" sheetId="12" state="visible" r:id="rId14"/>
    <sheet name="Plan10L_BaseRates" sheetId="13" state="visible" r:id="rId15"/>
    <sheet name="Plan50L_BaseRates" sheetId="14" state="visible" r:id="rId16"/>
    <sheet name="Flex_conv_lo" sheetId="15" state="visible" r:id="rId17"/>
    <sheet name="Flex_conv_hi" sheetId="16" state="visible" r:id="rId18"/>
    <sheet name="Flex_fee_lo" sheetId="17" state="visible" r:id="rId19"/>
    <sheet name="Flex_fee_hi" sheetId="18" state="visible" r:id="rId20"/>
    <sheet name="Flex_fill_lo" sheetId="19" state="visible" r:id="rId21"/>
    <sheet name="Flex_fill_hi" sheetId="20" state="visible" r:id="rId22"/>
    <sheet name="Flex_cpl_lo" sheetId="21" state="visible" r:id="rId23"/>
    <sheet name="Flex_cpl_hi" sheetId="22" state="visible" r:id="rId24"/>
    <sheet name="Flex_var_lo" sheetId="23" state="visible" r:id="rId25"/>
    <sheet name="Flex_var_hi" sheetId="24" state="visible" r:id="rId26"/>
    <sheet name="Flex_rent_lo" sheetId="25" state="visible" r:id="rId27"/>
    <sheet name="Flex_rent_hi" sheetId="26" state="visible" r:id="rId28"/>
    <sheet name="Flex_budget_lo" sheetId="27" state="visible" r:id="rId29"/>
    <sheet name="Flex_budget_hi" sheetId="28" state="visible" r:id="rId30"/>
    <sheet name="Flex_gst_ontop" sheetId="29" state="visible" r:id="rId31"/>
    <sheet name="Checks" sheetId="30" state="visible" r:id="rId3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<sst xmlns="http://schemas.openxmlformats.org/spreadsheetml/2006/main" count="5301" uniqueCount="1264">
  <si>
    <t xml:space="preserve">PNA business forecast - unit economics, 12-month outlook, 3-year scenarios, business-model economics, sensitivity</t>
  </si>
  <si>
    <t xml:space="preserve">Economics &amp; Market Sizing agent, 2026-10-16.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</si>
  <si>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</si>
  <si>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</si>
  <si>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</si>
  <si>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</si>
  <si>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</si>
  <si>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</si>
  <si>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</si>
  <si>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L3 list ₹90k (A-GRO-06) vs realised ₹80k (A-BM-02): revenue uses realised. Until the proof gate (A-ECO-104: M7 base, M5 aggressive, not in Y1 conservative) PNA charges today's fee CA-02 (₹40k/60k/75k) incl. kit.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</si>
  <si>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</si>
  <si>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Targets ramp to A-GRO-01 x route mix by month 7. Effective CAC = funnel paid-route CAC x overhead factor (A-ECO-51) calibrated so the Base budget buys the Base paid target at steady state.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</si>
  <si>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</si>
  <si>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</si>
  <si>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</si>
  <si>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</t>
  </si>
  <si>
    <t xml:space="preserve">Sheets</t>
  </si>
  <si>
    <t xml:space="preserve">Dashboard ; Assumptions ; Unit_Economics ; Capacity ; 3yr_Scenarios ; Sensitivity ; BM_Unit_Economics ; Outlook_* (x3 scenarios + Selected + 2 cross runs) ; Flex_* (sensitivity re-runs) ; Checks</t>
  </si>
  <si>
    <t xml:space="preserve">PNA business forecast - dashboard (₹ lakh unless stated; ex-GST; illustrative, assumption-driven)</t>
  </si>
  <si>
    <t xml:space="preserve">Scenario = rates + plan bundle. Conservative = adverse rates + ₹10L plan; Base = base rates + ₹30L plan; Aggressive = favourable rates + ₹50L plan. Cross runs show the ₹10L / ₹50L plans at Base rates.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</si>
  <si>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</si>
  <si>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</si>
  <si>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</si>
  <si>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</si>
  <si>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</si>
  <si>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</si>
  <si>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Note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</si>
  <si>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</si>
  <si>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</si>
  <si>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</si>
  <si>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</si>
  <si>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</si>
  <si>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</si>
  <si>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</si>
  <si>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</si>
  <si>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</si>
  <si>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</si>
  <si>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</si>
  <si>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</si>
  <si>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</si>
  <si>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</si>
  <si>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</si>
  <si>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</si>
  <si>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</si>
  <si>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</si>
  <si>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</si>
  <si>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</si>
  <si>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</si>
  <si>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</si>
  <si>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</si>
  <si>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</si>
  <si>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</si>
  <si>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Directional 3-year view (₹ lakh)</t>
  </si>
  <si>
    <t xml:space="preserve">Metric</t>
  </si>
  <si>
    <t xml:space="preserve">Cons Y1</t>
  </si>
  <si>
    <t xml:space="preserve">Cons Y2</t>
  </si>
  <si>
    <t xml:space="preserve">Cons Y3</t>
  </si>
  <si>
    <t xml:space="preserve">Base Y1</t>
  </si>
  <si>
    <t xml:space="preserve">Base Y2</t>
  </si>
  <si>
    <t xml:space="preserve">Base Y3</t>
  </si>
  <si>
    <t xml:space="preserve">Aggr Y1</t>
  </si>
  <si>
    <t xml:space="preserve">Aggr Y2</t>
  </si>
  <si>
    <t xml:space="preserve">Aggr Y3</t>
  </si>
  <si>
    <t xml:space="preserve">Total revenue</t>
  </si>
  <si>
    <t xml:space="preserve">EBITDA</t>
  </si>
  <si>
    <t xml:space="preserve">EBITDA margin</t>
  </si>
  <si>
    <t xml:space="preserve">Career enrolments delivered</t>
  </si>
  <si>
    <t xml:space="preserve">Peak cash need to date</t>
  </si>
  <si>
    <t xml:space="preserve">Sensitivity (Base Year-1 EBITDA swing, ₹ lakh) - see Sensitivity sheet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</si>
  <si>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</si>
  <si>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</si>
  <si>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</si>
  <si>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</si>
  <si>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</si>
  <si>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</si>
  <si>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</si>
  <si>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</si>
  <si>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</si>
  <si>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</si>
  <si>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</si>
  <si>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</si>
  <si>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</si>
  <si>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</si>
  <si>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</si>
  <si>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</si>
  <si>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</si>
  <si>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</si>
  <si>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</si>
  <si>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</si>
  <si>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</si>
  <si>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</si>
  <si>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</si>
  <si>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</si>
  <si>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</si>
  <si>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</si>
  <si>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</si>
  <si>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</si>
  <si>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</si>
  <si>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</si>
  <si>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</si>
  <si>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</si>
  <si>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</si>
  <si>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</si>
  <si>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</si>
  <si>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</si>
  <si>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</si>
  <si>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</si>
  <si>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</si>
  <si>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</si>
  <si>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</si>
  <si>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</si>
  <si>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</si>
  <si>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</si>
  <si>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</si>
  <si>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</si>
  <si>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</si>
  <si>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</si>
  <si>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</si>
  <si>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</si>
  <si>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</si>
  <si>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</si>
  <si>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</si>
  <si>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</si>
  <si>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</si>
  <si>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</si>
  <si>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</si>
  <si>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</si>
  <si>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</si>
  <si>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</si>
  <si>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</si>
  <si>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</si>
  <si>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</si>
  <si>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</si>
  <si>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</si>
  <si>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</si>
  <si>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</si>
  <si>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</si>
  <si>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</si>
  <si>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</si>
  <si>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</si>
  <si>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</si>
  <si>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</si>
  <si>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</si>
  <si>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</si>
  <si>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</si>
  <si>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</si>
  <si>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</si>
  <si>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</si>
  <si>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</si>
  <si>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</si>
  <si>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</si>
  <si>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</si>
  <si>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</si>
  <si>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</si>
  <si>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</si>
  <si>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</si>
  <si>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</si>
  <si>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</si>
  <si>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</si>
  <si>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</si>
  <si>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</si>
  <si>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</si>
  <si>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</si>
  <si>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</si>
  <si>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</si>
  <si>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</si>
  <si>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</si>
  <si>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</si>
  <si>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</si>
  <si>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</si>
  <si>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</si>
  <si>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</si>
  <si>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</si>
  <si>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</si>
  <si>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</si>
  <si>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</si>
  <si>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</si>
  <si>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</si>
  <si>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</si>
  <si>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</si>
  <si>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</si>
  <si>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</si>
  <si>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</si>
  <si>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</si>
  <si>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</si>
  <si>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</si>
  <si>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</si>
  <si>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</si>
  <si>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</si>
  <si>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</si>
  <si>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</si>
  <si>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</si>
  <si>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</si>
  <si>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</si>
  <si>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</si>
  <si>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</si>
  <si>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</si>
  <si>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</si>
  <si>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</si>
  <si>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</si>
  <si>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</si>
  <si>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</si>
  <si>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</si>
  <si>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</si>
  <si>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</si>
  <si>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</si>
  <si>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</si>
  <si>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</si>
  <si>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</si>
  <si>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</si>
  <si>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</si>
  <si>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</si>
  <si>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</si>
  <si>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</si>
  <si>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</si>
  <si>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</si>
  <si>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</si>
  <si>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</si>
  <si>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</si>
  <si>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</si>
  <si>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</si>
  <si>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</si>
  <si>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</si>
  <si>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</si>
  <si>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</si>
  <si>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</si>
  <si>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</si>
  <si>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</si>
  <si>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</si>
  <si>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</si>
  <si>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</si>
  <si>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</si>
  <si>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</si>
  <si>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</si>
  <si>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</si>
  <si>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</si>
  <si>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</si>
  <si>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</si>
  <si>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</si>
  <si>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</si>
  <si>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</si>
  <si>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</si>
  <si>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</si>
  <si>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</si>
  <si>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</si>
  <si>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</si>
  <si>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</si>
  <si>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</si>
  <si>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</si>
  <si>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</si>
  <si>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</si>
  <si>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</si>
  <si>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</si>
  <si>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</si>
  <si>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</si>
  <si>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</si>
  <si>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</si>
  <si>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</si>
  <si>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</si>
  <si>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</si>
  <si>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</si>
  <si>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</si>
  <si>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</si>
  <si>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</si>
  <si>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</si>
  <si>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</si>
  <si>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</si>
  <si>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</si>
  <si>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</si>
  <si>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</si>
  <si>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</si>
  <si>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</si>
  <si>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</si>
  <si>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</si>
  <si>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</si>
  <si>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</si>
  <si>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</si>
  <si>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</si>
  <si>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</si>
  <si>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</si>
  <si>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</si>
  <si>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</si>
  <si>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</si>
  <si>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</si>
  <si>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</si>
  <si>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</si>
  <si>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</si>
  <si>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</si>
  <si>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</si>
  <si>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</si>
  <si>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</si>
  <si>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</si>
  <si>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</si>
  <si>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</si>
  <si>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</si>
  <si>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</si>
  <si>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</si>
  <si>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</si>
  <si>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</si>
  <si>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</si>
  <si>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</si>
  <si>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</si>
  <si>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</si>
  <si>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</si>
  <si>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</si>
  <si>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</si>
  <si>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</si>
  <si>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</si>
  <si>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</si>
  <si>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</si>
  <si>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</si>
  <si>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</si>
  <si>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</si>
  <si>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</si>
  <si>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</si>
  <si>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</si>
  <si>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</si>
  <si>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</si>
  <si>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</si>
  <si>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</si>
  <si>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</si>
  <si>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</si>
  <si>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</si>
  <si>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</si>
  <si>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</si>
  <si>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</si>
  <si>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</si>
  <si>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</si>
  <si>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</si>
  <si>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</si>
  <si>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</si>
  <si>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</si>
  <si>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</si>
  <si>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</si>
  <si>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</si>
  <si>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</si>
  <si>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</si>
  <si>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</si>
  <si>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</si>
  <si>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</si>
  <si>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</si>
  <si>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</si>
  <si>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</si>
  <si>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</si>
  <si>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</si>
  <si>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</si>
  <si>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</si>
  <si>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</si>
  <si>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</si>
  <si>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</si>
  <si>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</si>
  <si>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</si>
  <si>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</si>
  <si>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</si>
  <si>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</si>
  <si>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</si>
  <si>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</si>
  <si>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</si>
  <si>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</si>
  <si>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</si>
  <si>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</si>
  <si>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</si>
  <si>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</si>
  <si>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</si>
  <si>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</si>
  <si>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</si>
  <si>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</si>
  <si>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</si>
  <si>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</si>
  <si>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</si>
  <si>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</si>
  <si>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</si>
  <si>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</si>
  <si>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</si>
  <si>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</si>
  <si>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</si>
  <si>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</si>
  <si>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</si>
  <si>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</si>
  <si>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</si>
  <si>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</si>
  <si>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</si>
  <si>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</si>
  <si>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</si>
  <si>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</si>
  <si>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</si>
  <si>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</si>
  <si>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</si>
  <si>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</si>
  <si>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</si>
  <si>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</si>
  <si>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</si>
  <si>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</si>
  <si>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</si>
  <si>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</si>
  <si>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</si>
  <si>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</si>
  <si>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</si>
  <si>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</si>
  <si>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</si>
  <si>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</si>
  <si>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</si>
  <si>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</si>
  <si>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</si>
  <si>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</si>
  <si>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</si>
  <si>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</si>
  <si>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</si>
  <si>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</si>
  <si>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</si>
  <si>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growth_marketing_strategy.md §6.4/§10; marketing_channel_plan.md §3.2 (Mar+ only if spend gates green)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</si>
  <si>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</si>
  <si>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</si>
  <si>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</si>
  <si>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</si>
  <si>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</si>
  <si>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</si>
  <si>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</si>
  <si>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</si>
  <si>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</si>
  <si>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</si>
  <si>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</si>
  <si>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</si>
  <si>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</si>
  <si>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</si>
  <si>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</si>
  <si>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</si>
  <si>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</si>
  <si>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</si>
  <si>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</si>
  <si>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</si>
  <si>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</si>
  <si>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</si>
  <si>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</si>
  <si>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</si>
  <si>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</si>
  <si>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</si>
  <si>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</si>
  <si>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</si>
  <si>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</si>
  <si>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</si>
  <si>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</si>
  <si>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</si>
  <si>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</si>
  <si>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</si>
  <si>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</si>
  <si>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</si>
  <si>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</si>
  <si>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</si>
  <si>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</si>
  <si>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</si>
  <si>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</si>
  <si>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</si>
  <si>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</si>
  <si>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</si>
  <si>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</si>
  <si>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</si>
  <si>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</si>
  <si>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</si>
  <si>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</si>
  <si>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</si>
  <si>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</si>
  <si>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</si>
  <si>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</si>
  <si>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</si>
  <si>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</si>
  <si>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</si>
  <si>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</si>
  <si>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</si>
  <si>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</si>
  <si>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</si>
  <si>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</si>
  <si>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</si>
  <si>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</si>
  <si>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</si>
  <si>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</si>
  <si>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</si>
  <si>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</si>
  <si>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</si>
  <si>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</si>
  <si>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</si>
  <si>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</si>
  <si>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</si>
  <si>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</si>
  <si>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</si>
  <si>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</si>
  <si>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</si>
  <si>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</si>
  <si>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</si>
  <si>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</si>
  <si>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</si>
  <si>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</si>
  <si>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</si>
  <si>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</si>
  <si>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</si>
  <si>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</si>
  <si>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</si>
  <si>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</si>
  <si>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</si>
  <si>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</si>
  <si>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</si>
  <si>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</si>
  <si>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</si>
  <si>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</si>
  <si>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</si>
  <si>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</si>
  <si>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</si>
  <si>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</si>
  <si>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</si>
  <si>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</si>
  <si>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</si>
  <si>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</si>
  <si>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</si>
  <si>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</si>
  <si>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</si>
  <si>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</si>
  <si>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</si>
  <si>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</si>
  <si>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</si>
  <si>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</si>
  <si>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</si>
  <si>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</si>
  <si>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</si>
  <si>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</si>
  <si>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</si>
  <si>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</si>
  <si>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</si>
  <si>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</si>
  <si>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</si>
  <si>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</si>
  <si>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</si>
  <si>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</si>
  <si>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</si>
  <si>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</si>
  <si>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</si>
  <si>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</si>
  <si>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</si>
  <si>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</si>
  <si>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</si>
  <si>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</si>
  <si>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</si>
  <si>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</si>
  <si>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</si>
  <si>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</si>
  <si>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</si>
  <si>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</si>
  <si>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</si>
  <si>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</si>
  <si>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</si>
  <si>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</si>
  <si>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</si>
  <si>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</si>
  <si>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</si>
  <si>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</si>
  <si>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</si>
  <si>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</si>
  <si>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</si>
  <si>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</si>
  <si>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</si>
  <si>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</si>
  <si>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</si>
  <si>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</si>
  <si>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</si>
  <si>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</si>
  <si>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</si>
  <si>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</si>
  <si>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</si>
  <si>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</si>
  <si>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</si>
  <si>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</si>
  <si>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</si>
  <si>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</si>
  <si>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</si>
  <si>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</si>
  <si>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</si>
  <si>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</si>
  <si>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</si>
  <si>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</si>
  <si>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</si>
  <si>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</si>
  <si>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</si>
  <si>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</si>
  <si>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</si>
  <si>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</si>
  <si>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</si>
  <si>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Destination/hybrid format launch month (out-of-town L3 students switch format)</t>
  </si>
  <si>
    <t xml:space="preserve">BM: hybrid pilot before G2; Growth Fast-track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</si>
  <si>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</si>
  <si>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</si>
  <si>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</si>
  <si>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</si>
  <si>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</si>
  <si>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</si>
  <si>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</si>
  <si>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</si>
  <si>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</si>
  <si>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</si>
  <si>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</si>
  <si>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</si>
  <si>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</si>
  <si>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</si>
  <si>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</si>
  <si>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</si>
  <si>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</si>
  <si>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</si>
  <si>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</si>
  <si>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</si>
  <si>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</si>
  <si>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</si>
  <si>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</si>
  <si>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</si>
  <si>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</si>
  <si>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</si>
  <si>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</si>
  <si>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</si>
  <si>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</si>
  <si>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</si>
  <si>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</si>
  <si>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</si>
  <si>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</si>
  <si>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</si>
  <si>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</si>
  <si>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</si>
  <si>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</si>
  <si>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</si>
  <si>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</si>
  <si>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</si>
  <si>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</si>
  <si>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</si>
  <si>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</si>
  <si>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</si>
  <si>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</si>
  <si>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</si>
  <si>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</si>
  <si>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</si>
  <si>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</si>
  <si>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</si>
  <si>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</si>
  <si>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</si>
  <si>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</si>
  <si>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</si>
  <si>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</si>
  <si>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</si>
  <si>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</si>
  <si>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</si>
  <si>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</si>
  <si>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</si>
  <si>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</si>
  <si>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</si>
  <si>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</si>
  <si>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</si>
  <si>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</si>
  <si>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</si>
  <si>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</si>
  <si>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</si>
  <si>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</si>
  <si>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</si>
  <si>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</si>
  <si>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</si>
  <si>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</si>
  <si>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</si>
  <si>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</si>
  <si>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</si>
  <si>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</si>
  <si>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</si>
  <si>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</si>
  <si>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</si>
  <si>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</si>
  <si>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</si>
  <si>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</si>
  <si>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</si>
  <si>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</si>
  <si>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</si>
  <si>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</si>
  <si>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</si>
  <si>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</si>
  <si>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</si>
  <si>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</si>
  <si>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</si>
  <si>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</si>
  <si>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</si>
  <si>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</si>
  <si>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</si>
  <si>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</si>
  <si>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</si>
  <si>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</si>
  <si>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</si>
  <si>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</si>
  <si>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</si>
  <si>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</si>
  <si>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</si>
  <si>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</si>
  <si>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</si>
  <si>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</si>
  <si>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</si>
  <si>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</si>
  <si>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</si>
  <si>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</si>
  <si>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</si>
  <si>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</si>
  <si>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</si>
  <si>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</si>
  <si>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</si>
  <si>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</si>
  <si>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</si>
  <si>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</si>
  <si>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</si>
  <si>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</si>
  <si>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</si>
  <si>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</si>
  <si>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</si>
  <si>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</si>
  <si>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</si>
  <si>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</si>
  <si>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</si>
  <si>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</si>
  <si>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</si>
  <si>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</si>
  <si>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</si>
  <si>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</si>
  <si>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</si>
  <si>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</si>
  <si>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</si>
  <si>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</si>
  <si>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</si>
  <si>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</si>
  <si>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</si>
  <si>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</si>
  <si>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</si>
  <si>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</si>
  <si>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</si>
  <si>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</si>
  <si>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</si>
  <si>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</si>
  <si>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</si>
  <si>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</si>
  <si>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</si>
  <si>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</si>
  <si>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</si>
  <si>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</si>
  <si>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</si>
  <si>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</si>
  <si>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</si>
  <si>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/ hybrid</t>
  </si>
  <si>
    <t xml:space="preserve">L4 Masterclass</t>
  </si>
  <si>
    <t xml:space="preserve">L5 Pro Circle (per yr)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</si>
  <si>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</si>
  <si>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</si>
  <si>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</si>
  <si>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</si>
  <si>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</si>
  <si>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</si>
  <si>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</si>
  <si>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</si>
  <si>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</si>
  <si>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</si>
  <si>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</si>
  <si>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</si>
  <si>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</si>
  <si>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</si>
  <si>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</si>
  <si>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</si>
  <si>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</si>
  <si>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</si>
  <si>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</si>
  <si>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</si>
  <si>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</si>
  <si>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</si>
  <si>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</si>
  <si>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</si>
  <si>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</si>
  <si>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</si>
  <si>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</si>
  <si>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</si>
  <si>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</si>
  <si>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</si>
  <si>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</si>
  <si>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</si>
  <si>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</si>
  <si>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</si>
  <si>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</si>
  <si>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</si>
  <si>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</si>
  <si>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</si>
  <si>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</si>
  <si>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Conservative Y1</t>
  </si>
  <si>
    <t xml:space="preserve">Conservative Y2</t>
  </si>
  <si>
    <t xml:space="preserve">Conservative Y3</t>
  </si>
  <si>
    <t xml:space="preserve">Aggressive Y1</t>
  </si>
  <si>
    <t xml:space="preserve">Aggressive Y2</t>
  </si>
  <si>
    <t xml:space="preserve">Aggressive Y3</t>
  </si>
  <si>
    <t xml:space="preserve">Basis</t>
  </si>
  <si>
    <t xml:space="preserve">Volumes</t>
  </si>
  <si>
    <t xml:space="preserve">Career enrolments, flagship (L2 + L3 new students)</t>
  </si>
  <si>
    <t xml:space="preserve">Y2 = 2 x Y1 H2 run-rate, de-seasonalised (May-Oct index), x (1+A-ECO-201); Y3 x (1+A-ECO-202); capacity-capped below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</si>
  <si>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</si>
  <si>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</si>
  <si>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</si>
  <si>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</si>
  <si>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</si>
  <si>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</si>
  <si>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</si>
  <si>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</si>
  <si>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</si>
  <si>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</si>
  <si>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</si>
  <si>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</si>
  <si>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</si>
  <si>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</si>
  <si>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</si>
  <si>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</si>
  <si>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</si>
  <si>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</si>
  <si>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</t>
  </si>
  <si>
    <t xml:space="preserve">Prices (incl. GST)</t>
  </si>
  <si>
    <t xml:space="preserve">L3 / destination realised fee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</si>
  <si>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</si>
  <si>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</si>
  <si>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</si>
  <si>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</si>
  <si>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</si>
  <si>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</si>
  <si>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</si>
  <si>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</si>
  <si>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</si>
  <si>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</si>
  <si>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</si>
  <si>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</si>
  <si>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</si>
  <si>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</si>
  <si>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</si>
  <si>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</si>
  <si>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</si>
  <si>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</si>
  <si>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</si>
  <si>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</si>
  <si>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</si>
  <si>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Capex and deposits</t>
  </si>
  <si>
    <t xml:space="preserve">Net cash flow (Y1 incl. instalment timing)</t>
  </si>
  <si>
    <t xml:space="preserve">Cumulative cash position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</si>
  <si>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</si>
  <si>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</si>
  <si>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</si>
  <si>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</si>
  <si>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</si>
  <si>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</si>
  <si>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</si>
  <si>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</si>
  <si>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</si>
  <si>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</si>
  <si>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</si>
  <si>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</si>
  <si>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</si>
  <si>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</si>
  <si>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</si>
  <si>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</si>
  <si>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</si>
  <si>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</si>
  <si>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</si>
  <si>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</si>
  <si>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</si>
  <si>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</si>
  <si>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</si>
  <si>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</si>
  <si>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</si>
  <si>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</si>
  <si>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</si>
  <si>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</si>
  <si>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</si>
  <si>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</si>
  <si>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</si>
  <si>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</si>
  <si>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</si>
  <si>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</si>
  <si>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</si>
  <si>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</si>
  <si>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</si>
  <si>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</si>
  <si>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</si>
  <si>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</si>
  <si>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</si>
  <si>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</si>
  <si>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</si>
  <si>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</si>
  <si>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</si>
  <si>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</si>
  <si>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</si>
  <si>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</si>
  <si>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</si>
  <si>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</si>
  <si>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</si>
  <si>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</si>
  <si>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</si>
  <si>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</si>
  <si>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</si>
  <si>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</si>
  <si>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</si>
  <si>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</si>
  <si>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</si>
  <si>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</si>
  <si>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</si>
  <si>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</si>
  <si>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</si>
  <si>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</si>
  <si>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</si>
  <si>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</si>
  <si>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</si>
  <si>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</si>
  <si>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</si>
  <si>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</si>
  <si>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</si>
  <si>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</si>
  <si>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</si>
  <si>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</si>
  <si>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</si>
  <si>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</si>
  <si>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</si>
  <si>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</si>
  <si>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</si>
  <si>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</si>
  <si>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</si>
  <si>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</si>
  <si>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</si>
  <si>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</si>
  <si>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</si>
  <si>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</si>
  <si>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</si>
  <si>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</si>
  <si>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</si>
  <si>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</si>
  <si>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</si>
  <si>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</si>
  <si>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</si>
  <si>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</si>
  <si>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</si>
  <si>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</si>
  <si>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</si>
  <si>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</si>
  <si>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</si>
  <si>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</si>
  <si>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</si>
  <si>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</si>
  <si>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</si>
  <si>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</si>
  <si>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</si>
  <si>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</si>
  <si>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</si>
  <si>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</si>
  <si>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</si>
  <si>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</si>
  <si>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</si>
  <si>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</si>
  <si>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</si>
  <si>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</si>
  <si>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</si>
  <si>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</si>
  <si>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</si>
  <si>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</si>
  <si>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</si>
  <si>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</si>
  <si>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</si>
  <si>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</si>
  <si>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</si>
  <si>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</si>
  <si>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</si>
  <si>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</si>
  <si>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</si>
  <si>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</si>
  <si>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</si>
  <si>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</si>
  <si>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</si>
  <si>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</si>
  <si>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</si>
  <si>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</si>
  <si>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</si>
  <si>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</si>
  <si>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</si>
  <si>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</si>
  <si>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</si>
  <si>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</si>
  <si>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</si>
  <si>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</si>
  <si>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</si>
  <si>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</si>
  <si>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</si>
  <si>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</si>
  <si>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</si>
  <si>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</si>
  <si>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</si>
  <si>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</si>
  <si>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</si>
  <si>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</si>
  <si>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</si>
  <si>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</si>
  <si>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</si>
  <si>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</si>
  <si>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</si>
  <si>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</si>
  <si>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</si>
  <si>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</si>
  <si>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</si>
  <si>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</si>
  <si>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</si>
  <si>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</si>
  <si>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</si>
  <si>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</si>
  <si>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</si>
  <si>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</si>
  <si>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</si>
  <si>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</si>
  <si>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</si>
  <si>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</si>
  <si>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</si>
  <si>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</si>
  <si>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</si>
  <si>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</si>
  <si>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</si>
  <si>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</si>
  <si>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</si>
  <si>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</si>
  <si>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</si>
  <si>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</si>
  <si>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</si>
  <si>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</si>
  <si>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</si>
  <si>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</si>
  <si>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</si>
  <si>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</si>
  <si>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</si>
  <si>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</si>
  <si>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</si>
  <si>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</si>
  <si>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</si>
  <si>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</si>
  <si>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</si>
  <si>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Base Year-1 EBITDA and peak cash need (each row = full monthly model re-run, Flex_* sheets)</t>
  </si>
  <si>
    <t xml:space="preserve">Low/high are 'adverse'/'favourable' settings of one driver; all else at Base. Bars are text-based so they render anywhere.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</si>
  <si>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</si>
  <si>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</si>
  <si>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</si>
  <si>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</si>
  <si>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</si>
  <si>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</si>
  <si>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</si>
  <si>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</si>
  <si>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</si>
  <si>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</si>
  <si>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</si>
  <si>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</si>
  <si>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Base case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</si>
  <si>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</si>
  <si>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</si>
  <si>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</si>
  <si>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</si>
  <si>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</si>
  <si>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</si>
  <si>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</si>
  <si>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</si>
  <si>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</si>
  <si>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</si>
  <si>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</si>
  <si>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</si>
  <si>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</si>
  <si>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</si>
  <si>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</si>
  <si>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</si>
  <si>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</si>
  <si>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</si>
  <si>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</si>
  <si>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A-GRO-25). Fee low (x0.8) ≈ BM price stress (₹80k -&gt; ₹64k realised).</t>
  </si>
  <si>
    <t xml:space="preserve">Budget rows hold the enrolment target: a smaller budget buys fewer paid enrolments; a larger one cannot exceed the plan target (A-GRO-01) or seat capacity.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</si>
  <si>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</si>
  <si>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</si>
  <si>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</si>
  <si>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</si>
  <si>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</si>
  <si>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</si>
  <si>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</si>
  <si>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</si>
  <si>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</si>
  <si>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</si>
  <si>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</si>
  <si>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</si>
  <si>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</si>
  <si>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</si>
  <si>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</si>
  <si>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</si>
  <si>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</si>
  <si>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</si>
  <si>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</si>
  <si>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</si>
  <si>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</si>
  <si>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</si>
  <si>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</si>
  <si>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rent x</t>
  </si>
  <si>
    <t xml:space="preserve">GST incl.?</t>
  </si>
  <si>
    <t xml:space="preserve">budget x</t>
  </si>
  <si>
    <t xml:space="preserve">Line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</si>
  <si>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</si>
  <si>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</si>
  <si>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</si>
  <si>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</si>
  <si>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</si>
  <si>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</si>
  <si>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</si>
  <si>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</si>
  <si>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</si>
  <si>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</si>
  <si>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</si>
  <si>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</si>
  <si>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</si>
  <si>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</si>
  <si>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</si>
  <si>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Month #</t>
  </si>
  <si>
    <t xml:space="preserve">Calendar month number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</si>
  <si>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</si>
  <si>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</si>
  <si>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</si>
  <si>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</si>
  <si>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</si>
  <si>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</si>
  <si>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</si>
  <si>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</si>
  <si>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ramp)</t>
  </si>
  <si>
    <t xml:space="preserve">A-GRO-BUD-01..12</t>
  </si>
  <si>
    <t xml:space="preserve">Effective paid CAC = funnel paid CAC x overhead factor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</si>
  <si>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</si>
  <si>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</si>
  <si>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Career demand = seasonality x [today's engine x conv + new non-paid x conv x SLA + MIN(paid target, budget-bought x SLA)]</t>
  </si>
  <si>
    <t xml:space="preserve">Stations available</t>
  </si>
  <si>
    <t xml:space="preserve">Usable seat capacity (stations x slots x max use)</t>
  </si>
  <si>
    <t xml:space="preserve">Destination/hybrid format share of new L3 (out-of-town students after launch)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</si>
  <si>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</si>
  <si>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</si>
  <si>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</si>
  <si>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</si>
  <si>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destination/hybrid format enrolments (out-of-town)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</si>
  <si>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</si>
  <si>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</si>
  <si>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</si>
  <si>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  of which out-of-town (A-GRO-37)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</si>
  <si>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</si>
  <si>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</si>
  <si>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</si>
  <si>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</si>
  <si>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</si>
  <si>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</si>
  <si>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</si>
  <si>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</si>
  <si>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</si>
  <si>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</si>
  <si>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</si>
  <si>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 (CA-02 until price step A-ECO-104, then A-BM-02)</t>
  </si>
  <si>
    <t xml:space="preserve">Kit included in fee? (1 before step)</t>
  </si>
  <si>
    <t xml:space="preserve">E. Revenue (ex-GST)</t>
  </si>
  <si>
    <t xml:space="preserve">L3 local formats</t>
  </si>
  <si>
    <t xml:space="preserve">L3 destination/hybrid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</si>
  <si>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</si>
  <si>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</si>
  <si>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</si>
  <si>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</si>
  <si>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</si>
  <si>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</si>
  <si>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</si>
  <si>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</si>
  <si>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</si>
  <si>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</si>
  <si>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</si>
  <si>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</si>
  <si>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</si>
  <si>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</si>
  <si>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</si>
  <si>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</si>
  <si>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</si>
  <si>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</si>
  <si>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</si>
  <si>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</si>
  <si>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</si>
  <si>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</si>
  <si>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</si>
  <si>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founder/assistant)</t>
  </si>
  <si>
    <t xml:space="preserve">Assistants (FTE; 1 per 2 active batch-slots, practical ratio ≤1:6)</t>
  </si>
  <si>
    <t xml:space="preserve">Trainer + assistant cost</t>
  </si>
  <si>
    <t xml:space="preserve">Admissions counsellors (A-GRO-45 x FTE)</t>
  </si>
  <si>
    <t xml:space="preserve">Marketing/content team, shooter/editor, performance and SEO freelancers (Growth §10)</t>
  </si>
  <si>
    <t xml:space="preserve">Front-desk / operations coordinator (from move)</t>
  </si>
  <si>
    <t xml:space="preserve">Academy manager / admissions head</t>
  </si>
  <si>
    <t xml:space="preserve">Total people cost (founder not charged - owner's return)</t>
  </si>
  <si>
    <t xml:space="preserve">H. Occupancy, marketing and overheads</t>
  </si>
  <si>
    <t xml:space="preserve">Rent: today's academy share, or new space from move month</t>
  </si>
  <si>
    <t xml:space="preserve">Utilities, housekeeping, maintenance</t>
  </si>
  <si>
    <t xml:space="preserve">Martech stack (A-GRO-42) + LMS after hybrid launch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</si>
  <si>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</si>
  <si>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</si>
  <si>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</si>
  <si>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</si>
  <si>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</si>
  <si>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</si>
  <si>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</si>
  <si>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</si>
  <si>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</si>
  <si>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</si>
  <si>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</si>
  <si>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set-up (2 months before launch)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</si>
  <si>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</si>
  <si>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</si>
  <si>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</si>
  <si>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</si>
  <si>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J. Year-1 KPIs, break-even and gate metrics</t>
  </si>
  <si>
    <t xml:space="preserve">Fixed + overhead opex, month 12</t>
  </si>
  <si>
    <t xml:space="preserve">Non-career contribution, month 12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</si>
  <si>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</si>
  <si>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</si>
  <si>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</si>
  <si>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</si>
  <si>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</si>
  <si>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Base with Conversion (all routes; low = founder step-back ÷1.25) x0.8 (₹, ex-GST, Nov-2026 to Oct-2027)</t>
  </si>
  <si>
    <t xml:space="preserve">12-month operating outlook - Base with Conversion (all routes; low = founder step-back ÷1.25) x1.2 (₹, ex-GST, Nov-2026 to Oct-2027)</t>
  </si>
  <si>
    <t xml:space="preserve">12-month operating outlook - Base with Fees (all products) x0.8 (₹, ex-GST, Nov-2026 to Oct-2027)</t>
  </si>
  <si>
    <t xml:space="preserve">12-month operating outlook - Base with Fees (all products) x1.15 (₹, ex-GST, Nov-2026 to Oct-2027)</t>
  </si>
  <si>
    <t xml:space="preserve">12-month operating outlook - Base with Cohort fill (students per batch 8 vs 12) x0.8 (₹, ex-GST, Nov-2026 to Oct-2027)</t>
  </si>
  <si>
    <t xml:space="preserve">12-month operating outlook - Base with Cohort fill (students per batch 8 vs 12) x1.2 (₹, ex-GST, Nov-2026 to Oct-2027)</t>
  </si>
  <si>
    <t xml:space="preserve">12-month operating outlook - Base with CPL / CAC (paid routes) x1.3 (₹, ex-GST, Nov-2026 to Oct-2027)</t>
  </si>
  <si>
    <t xml:space="preserve">12-month operating outlook - Base with CPL / CAC (paid routes) x0.7 (₹, ex-GST, Nov-2026 to Oct-2027)</t>
  </si>
  <si>
    <t xml:space="preserve">12-month operating outlook - Base with Variable delivery cost (kit, consumables) x1.25 (₹, ex-GST, Nov-2026 to Oct-2027)</t>
  </si>
  <si>
    <t xml:space="preserve">12-month operating outlook - Base with Variable delivery cost (kit, consumables) x0.75 (₹, ex-GST, Nov-2026 to Oct-2027)</t>
  </si>
  <si>
    <t xml:space="preserve">12-month operating outlook - Base with Rent (₹130 vs ₹47 per sq ft vs ₹80) x1.625 (₹, ex-GST, Nov-2026 to Oct-2027)</t>
  </si>
  <si>
    <t xml:space="preserve">12-month operating outlook - Base with Rent (₹130 vs ₹47 per sq ft vs ₹80) x0.5875 (₹, ex-GST, Nov-2026 to Oct-2027)</t>
  </si>
  <si>
    <t xml:space="preserve">12-month operating outlook - Base with Paid-media budget ±30% (target held: extra budget cannot exceed target/capacity) x0.7 (₹, ex-GST, Nov-2026 to Oct-2027)</t>
  </si>
  <si>
    <t xml:space="preserve">12-month operating outlook - Base with Paid-media budget ±30% (target held: extra budget cannot exceed target/capacity) x1.3 (₹, ex-GST, Nov-2026 to Oct-2027)</t>
  </si>
  <si>
    <t xml:space="preserve">12-month operating outlook - Base with GST charged on top of list fees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</si>
  <si>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</si>
  <si>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</si>
  <si>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</si>
  <si>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</si>
  <si>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</si>
  <si>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</si>
  <si>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</si>
  <si>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</si>
  <si>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</si>
  <si>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</si>
  <si>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</si>
  <si>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</si>
  <si>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</si>
  <si>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</si>
  <si>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</si>
  <si>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</si>
  <si>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</si>
  <si>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</si>
  <si>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</si>
  <si>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</si>
  <si>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</si>
  <si>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</si>
  <si>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</si>
  <si>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</si>
  <si>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</si>
  <si>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</si>
  <si>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</si>
  <si>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</si>
  <si>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</si>
  <si>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</si>
  <si>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Selected outlook equals Base when selector = Base</t>
  </si>
  <si>
    <t xml:space="preserve">Calibration: Base month-12 paid demand is budget-limited exactly at target (A-ECO-51)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</si>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</sst>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\₹#,##0;[RED]&quot;-₹&quot;#,##0"/>
    <numFmt numFmtId="169" formatCode="General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0" min="2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28.35" hidden="false" customHeight="false" outlineLevel="0" collapsed="false">
      <c r="A4" s="5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</row>
    <row r="5" customFormat="false" ht="15" hidden="false" customHeight="false" outlineLevel="0" collapsed="false">
      <c r="A5" s="0" t="s">
        <v>27</v>
      </c>
      <c r="B5" s="6" t="n">
        <f aca="false">Outlook_Conservative!B111/100000</f>
        <v>17.6199469324404</v>
      </c>
      <c r="C5" s="6" t="n">
        <f aca="false">Outlook_Base!B111/100000</f>
        <v>71.82906680032</v>
      </c>
      <c r="D5" s="6" t="n">
        <f aca="false">Outlook_Aggressive!B111/100000</f>
        <v>134.783683632995</v>
      </c>
      <c r="E5" s="6" t="n">
        <f aca="false">Plan10L_BaseRates!B111/100000</f>
        <v>39.7881817550246</v>
      </c>
      <c r="F5" s="6" t="n">
        <f aca="false">Plan50L_BaseRates!B111/100000</f>
        <v>100.72165547733</v>
      </c>
    </row>
    <row r="6" customFormat="false" ht="15" hidden="false" customHeight="false" outlineLevel="0" collapsed="false">
      <c r="A6" s="0" t="s">
        <v>28</v>
      </c>
      <c r="B6" s="6" t="n">
        <f aca="false">Outlook_Conservative!B112/100000</f>
        <v>-13.1088299312818</v>
      </c>
      <c r="C6" s="6" t="n">
        <f aca="false">Outlook_Base!B112/100000</f>
        <v>5.98199826597075</v>
      </c>
      <c r="D6" s="6" t="n">
        <f aca="false">Outlook_Aggressive!B112/100000</f>
        <v>35.2431011947186</v>
      </c>
      <c r="E6" s="6" t="n">
        <f aca="false">Plan10L_BaseRates!B112/100000</f>
        <v>10.6671807355403</v>
      </c>
      <c r="F6" s="6" t="n">
        <f aca="false">Plan50L_BaseRates!B112/100000</f>
        <v>-4.0099807931393</v>
      </c>
    </row>
    <row r="7" customFormat="false" ht="15" hidden="false" customHeight="false" outlineLevel="0" collapsed="false">
      <c r="A7" s="0" t="s">
        <v>29</v>
      </c>
      <c r="B7" s="7" t="n">
        <f aca="false">Outlook_Conservative!B113</f>
        <v>-0.743976697633911</v>
      </c>
      <c r="C7" s="7" t="n">
        <f aca="false">Outlook_Base!B113</f>
        <v>0.0832810244159277</v>
      </c>
      <c r="D7" s="7" t="n">
        <f aca="false">Outlook_Aggressive!B113</f>
        <v>0.261478987995926</v>
      </c>
      <c r="E7" s="7" t="n">
        <f aca="false">Plan10L_BaseRates!B113</f>
        <v>0.268099226077181</v>
      </c>
      <c r="F7" s="7" t="n">
        <f aca="false">Plan50L_BaseRates!B113</f>
        <v>-0.0398124988527601</v>
      </c>
    </row>
    <row r="8" customFormat="false" ht="15" hidden="false" customHeight="false" outlineLevel="0" collapsed="false">
      <c r="A8" s="0" t="s">
        <v>30</v>
      </c>
      <c r="B8" s="6" t="n">
        <f aca="false">Outlook_Conservative!B114/100000</f>
        <v>-22.1088299312818</v>
      </c>
      <c r="C8" s="6" t="n">
        <f aca="false">Outlook_Base!B114/100000</f>
        <v>-3.01800173402925</v>
      </c>
      <c r="D8" s="6" t="n">
        <f aca="false">Outlook_Aggressive!B114/100000</f>
        <v>26.2431011947186</v>
      </c>
      <c r="E8" s="6" t="n">
        <f aca="false">Plan10L_BaseRates!B114/100000</f>
        <v>1.66718073554029</v>
      </c>
      <c r="F8" s="6" t="n">
        <f aca="false">Plan50L_BaseRates!B114/100000</f>
        <v>-13.0099807931393</v>
      </c>
    </row>
    <row r="9" customFormat="false" ht="15" hidden="false" customHeight="false" outlineLevel="0" collapsed="false">
      <c r="A9" s="0" t="s">
        <v>31</v>
      </c>
      <c r="B9" s="6" t="n">
        <f aca="false">Outlook_Conservative!B115/100000</f>
        <v>0.5</v>
      </c>
      <c r="C9" s="6" t="n">
        <f aca="false">Outlook_Base!B115/100000</f>
        <v>19.72</v>
      </c>
      <c r="D9" s="6" t="n">
        <f aca="false">Outlook_Aggressive!B115/100000</f>
        <v>27.04</v>
      </c>
      <c r="E9" s="6" t="n">
        <f aca="false">Plan10L_BaseRates!B115/100000</f>
        <v>0.5</v>
      </c>
      <c r="F9" s="6" t="n">
        <f aca="false">Plan50L_BaseRates!B115/100000</f>
        <v>27.04</v>
      </c>
    </row>
    <row r="10" customFormat="false" ht="15" hidden="false" customHeight="false" outlineLevel="0" collapsed="false">
      <c r="A10" s="0" t="s">
        <v>32</v>
      </c>
      <c r="B10" s="6" t="n">
        <f aca="false">Outlook_Conservative!B116/100000</f>
        <v>14.9975897369965</v>
      </c>
      <c r="C10" s="6" t="n">
        <f aca="false">Outlook_Base!B116/100000</f>
        <v>25.6585561730623</v>
      </c>
      <c r="D10" s="6" t="n">
        <f aca="false">Outlook_Aggressive!B116/100000</f>
        <v>28.6304366213038</v>
      </c>
      <c r="E10" s="6" t="n">
        <f aca="false">Plan10L_BaseRates!B116/100000</f>
        <v>3.17099112080031</v>
      </c>
      <c r="F10" s="6" t="n">
        <f aca="false">Plan50L_BaseRates!B116/100000</f>
        <v>44.8167236942537</v>
      </c>
    </row>
    <row r="11" customFormat="false" ht="15" hidden="false" customHeight="false" outlineLevel="0" collapsed="false">
      <c r="A11" s="0" t="s">
        <v>33</v>
      </c>
      <c r="B11" s="6" t="n">
        <f aca="false">Outlook_Conservative!B117/100000</f>
        <v>10</v>
      </c>
      <c r="C11" s="6" t="n">
        <f aca="false">Outlook_Base!B117/100000</f>
        <v>30</v>
      </c>
      <c r="D11" s="6" t="n">
        <f aca="false">Outlook_Aggressive!B117/100000</f>
        <v>50</v>
      </c>
      <c r="E11" s="6" t="n">
        <f aca="false">Plan10L_BaseRates!B117/100000</f>
        <v>10</v>
      </c>
      <c r="F11" s="6" t="n">
        <f aca="false">Plan50L_BaseRates!B117/100000</f>
        <v>50</v>
      </c>
    </row>
    <row r="12" customFormat="false" ht="15" hidden="false" customHeight="false" outlineLevel="0" collapsed="false">
      <c r="A12" s="0" t="s">
        <v>34</v>
      </c>
      <c r="B12" s="6" t="n">
        <f aca="false">Outlook_Conservative!B118/100000</f>
        <v>-4.99758973699653</v>
      </c>
      <c r="C12" s="6" t="n">
        <f aca="false">Outlook_Base!B118/100000</f>
        <v>4.34144382693774</v>
      </c>
      <c r="D12" s="6" t="n">
        <f aca="false">Outlook_Aggressive!B118/100000</f>
        <v>21.3695633786962</v>
      </c>
      <c r="E12" s="6" t="n">
        <f aca="false">Plan10L_BaseRates!B118/100000</f>
        <v>6.82900887919969</v>
      </c>
      <c r="F12" s="6" t="n">
        <f aca="false">Plan50L_BaseRates!B118/100000</f>
        <v>5.18327630574633</v>
      </c>
    </row>
    <row r="13" customFormat="false" ht="15" hidden="false" customHeight="false" outlineLevel="0" collapsed="false">
      <c r="A13" s="0" t="s">
        <v>35</v>
      </c>
      <c r="B13" s="8" t="n">
        <f aca="false">Outlook_Conservative!B119</f>
        <v>33.2021232014389</v>
      </c>
      <c r="C13" s="8" t="n">
        <f aca="false">Outlook_Base!B119</f>
        <v>90.918784379973</v>
      </c>
      <c r="D13" s="8" t="n">
        <f aca="false">Outlook_Aggressive!B119</f>
        <v>123.616323104723</v>
      </c>
      <c r="E13" s="8" t="n">
        <f aca="false">Plan10L_BaseRates!B119</f>
        <v>51.9759590046751</v>
      </c>
      <c r="F13" s="8" t="n">
        <f aca="false">Plan50L_BaseRates!B119</f>
        <v>128.245064556601</v>
      </c>
    </row>
    <row r="14" customFormat="false" ht="15" hidden="false" customHeight="false" outlineLevel="0" collapsed="false">
      <c r="A14" s="0" t="s">
        <v>36</v>
      </c>
      <c r="B14" s="6" t="n">
        <f aca="false">Outlook_Conservative!B120</f>
        <v>3.63590647482014</v>
      </c>
      <c r="C14" s="6" t="n">
        <f aca="false">Outlook_Base!B120</f>
        <v>10.8540813053093</v>
      </c>
      <c r="D14" s="6" t="n">
        <f aca="false">Outlook_Aggressive!B120</f>
        <v>13.7443871841204</v>
      </c>
      <c r="E14" s="6" t="n">
        <f aca="false">Plan10L_BaseRates!B120</f>
        <v>5.41971677855696</v>
      </c>
      <c r="F14" s="6" t="n">
        <f aca="false">Plan50L_BaseRates!B120</f>
        <v>14.7857052038779</v>
      </c>
    </row>
    <row r="15" customFormat="false" ht="15" hidden="false" customHeight="false" outlineLevel="0" collapsed="false">
      <c r="A15" s="0" t="s">
        <v>37</v>
      </c>
      <c r="B15" s="8" t="n">
        <f aca="false">Outlook_Conservative!B121</f>
        <v>67.5</v>
      </c>
      <c r="C15" s="8" t="n">
        <f aca="false">Outlook_Base!B121</f>
        <v>153</v>
      </c>
      <c r="D15" s="8" t="n">
        <f aca="false">Outlook_Aggressive!B121</f>
        <v>202.5</v>
      </c>
      <c r="E15" s="8" t="n">
        <f aca="false">Plan10L_BaseRates!B121</f>
        <v>76.5</v>
      </c>
      <c r="F15" s="8" t="n">
        <f aca="false">Plan50L_BaseRates!B121</f>
        <v>191.25</v>
      </c>
    </row>
    <row r="16" customFormat="false" ht="15" hidden="false" customHeight="false" outlineLevel="0" collapsed="false">
      <c r="A16" s="0" t="s">
        <v>38</v>
      </c>
      <c r="B16" s="7" t="n">
        <f aca="false">Outlook_Conservative!B122</f>
        <v>0.483498201438849</v>
      </c>
      <c r="C16" s="7" t="n">
        <f aca="false">Outlook_Base!B122</f>
        <v>0.840526065228539</v>
      </c>
      <c r="D16" s="7" t="n">
        <f aca="false">Outlook_Aggressive!B122</f>
        <v>0.9</v>
      </c>
      <c r="E16" s="7" t="n">
        <f aca="false">Plan10L_BaseRates!B122</f>
        <v>0.803271019975302</v>
      </c>
      <c r="F16" s="7" t="n">
        <f aca="false">Plan50L_BaseRates!B122</f>
        <v>0.9</v>
      </c>
    </row>
    <row r="17" customFormat="false" ht="15" hidden="false" customHeight="false" outlineLevel="0" collapsed="false">
      <c r="A17" s="0" t="s">
        <v>39</v>
      </c>
      <c r="B17" s="0" t="str">
        <f aca="false">Outlook_Conservative!B123</f>
        <v>not in Y1</v>
      </c>
      <c r="C17" s="0" t="n">
        <f aca="false">Outlook_Base!B123</f>
        <v>6</v>
      </c>
      <c r="D17" s="0" t="n">
        <f aca="false">Outlook_Aggressive!B123</f>
        <v>7</v>
      </c>
      <c r="E17" s="0" t="n">
        <f aca="false">Plan10L_BaseRates!B123</f>
        <v>8</v>
      </c>
      <c r="F17" s="0" t="n">
        <f aca="false">Plan50L_BaseRates!B123</f>
        <v>7</v>
      </c>
    </row>
    <row r="18" customFormat="false" ht="15" hidden="false" customHeight="false" outlineLevel="0" collapsed="false">
      <c r="A18" s="0" t="s">
        <v>40</v>
      </c>
      <c r="B18" s="7" t="n">
        <f aca="false">Outlook_Conservative!B124</f>
        <v>0.4</v>
      </c>
      <c r="C18" s="7" t="n">
        <f aca="false">Outlook_Base!B124</f>
        <v>0.3</v>
      </c>
      <c r="D18" s="7" t="n">
        <f aca="false">Outlook_Aggressive!B124</f>
        <v>0.25</v>
      </c>
      <c r="E18" s="7" t="n">
        <f aca="false">Plan10L_BaseRates!B124</f>
        <v>0.4</v>
      </c>
      <c r="F18" s="7" t="n">
        <f aca="false">Plan50L_BaseRates!B124</f>
        <v>0.25</v>
      </c>
    </row>
    <row r="19" customFormat="false" ht="15" hidden="false" customHeight="false" outlineLevel="0" collapsed="false">
      <c r="A19" s="0" t="s">
        <v>41</v>
      </c>
      <c r="B19" s="8" t="n">
        <f aca="false">Outlook_Conservative!B125</f>
        <v>1.5</v>
      </c>
      <c r="C19" s="8" t="n">
        <f aca="false">Outlook_Base!B125</f>
        <v>3</v>
      </c>
      <c r="D19" s="8" t="n">
        <f aca="false">Outlook_Aggressive!B125</f>
        <v>4</v>
      </c>
      <c r="E19" s="8" t="n">
        <f aca="false">Plan10L_BaseRates!B125</f>
        <v>1.5</v>
      </c>
      <c r="F19" s="8" t="n">
        <f aca="false">Plan50L_BaseRates!B125</f>
        <v>4</v>
      </c>
    </row>
    <row r="20" customFormat="false" ht="15" hidden="false" customHeight="false" outlineLevel="0" collapsed="false">
      <c r="A20" s="0" t="s">
        <v>42</v>
      </c>
      <c r="B20" s="9" t="n">
        <f aca="false">Outlook_Conservative!B126</f>
        <v>34929.9645127119</v>
      </c>
      <c r="C20" s="9" t="n">
        <f aca="false">Outlook_Base!B126</f>
        <v>50195.5817372881</v>
      </c>
      <c r="D20" s="9" t="n">
        <f aca="false">Outlook_Aggressive!B126</f>
        <v>68504.5547756493</v>
      </c>
      <c r="E20" s="9" t="n">
        <f aca="false">Plan10L_BaseRates!B126</f>
        <v>50420.5817372881</v>
      </c>
      <c r="F20" s="9" t="n">
        <f aca="false">Plan50L_BaseRates!B126</f>
        <v>50031.1278910276</v>
      </c>
    </row>
    <row r="21" customFormat="false" ht="15" hidden="false" customHeight="false" outlineLevel="0" collapsed="false">
      <c r="A21" s="0" t="s">
        <v>43</v>
      </c>
      <c r="B21" s="6" t="n">
        <f aca="false">Outlook_Conservative!B129</f>
        <v>4.35557670730471</v>
      </c>
      <c r="C21" s="6" t="n">
        <f aca="false">Outlook_Base!B129</f>
        <v>5.47965738818625</v>
      </c>
      <c r="D21" s="6" t="n">
        <f aca="false">Outlook_Aggressive!B129</f>
        <v>4.85758084776037</v>
      </c>
      <c r="E21" s="6" t="n">
        <f aca="false">Plan10L_BaseRates!B129</f>
        <v>1.04011471693827</v>
      </c>
      <c r="F21" s="6" t="n">
        <f aca="false">Plan50L_BaseRates!B129</f>
        <v>10.7415065078716</v>
      </c>
    </row>
    <row r="22" customFormat="false" ht="15" hidden="false" customHeight="false" outlineLevel="0" collapsed="false">
      <c r="A22" s="0" t="s">
        <v>44</v>
      </c>
      <c r="B22" s="8" t="n">
        <f aca="false">Outlook_Conservative!B130</f>
        <v>52.2669204876565</v>
      </c>
      <c r="C22" s="8" t="n">
        <f aca="false">Outlook_Base!B130</f>
        <v>65.755888658235</v>
      </c>
      <c r="D22" s="8" t="n">
        <f aca="false">Outlook_Aggressive!B130</f>
        <v>58.2909701731245</v>
      </c>
      <c r="E22" s="8" t="n">
        <f aca="false">Plan10L_BaseRates!B130</f>
        <v>12.4813766032592</v>
      </c>
      <c r="F22" s="8" t="n">
        <f aca="false">Plan50L_BaseRates!B130</f>
        <v>128.898078094459</v>
      </c>
    </row>
    <row r="23" customFormat="false" ht="15" hidden="false" customHeight="false" outlineLevel="0" collapsed="false">
      <c r="A23" s="0" t="s">
        <v>45</v>
      </c>
      <c r="B23" s="9" t="n">
        <f aca="false">Outlook_Conservative!B131</f>
        <v>12834.946935475</v>
      </c>
      <c r="C23" s="9" t="n">
        <f aca="false">Outlook_Base!B131</f>
        <v>10748.6449921468</v>
      </c>
      <c r="D23" s="9" t="n">
        <f aca="false">Outlook_Aggressive!B131</f>
        <v>16976.6269101408</v>
      </c>
      <c r="E23" s="9" t="n">
        <f aca="false">Plan10L_BaseRates!B131</f>
        <v>8610.53604337827</v>
      </c>
      <c r="F23" s="9" t="n">
        <f aca="false">Plan50L_BaseRates!B131</f>
        <v>15781.0080828702</v>
      </c>
    </row>
    <row r="24" customFormat="false" ht="15" hidden="false" customHeight="false" outlineLevel="0" collapsed="false">
      <c r="A24" s="0" t="s">
        <v>46</v>
      </c>
      <c r="B24" s="7" t="n">
        <f aca="false">Outlook_Conservative!B132</f>
        <v>0.233003652059393</v>
      </c>
      <c r="C24" s="7" t="n">
        <f aca="false">Outlook_Base!B132</f>
        <v>0.158542513634165</v>
      </c>
      <c r="D24" s="7" t="n">
        <f aca="false">Outlook_Aggressive!B132</f>
        <v>0.200324197539662</v>
      </c>
      <c r="E24" s="7" t="n">
        <f aca="false">Plan10L_BaseRates!B132</f>
        <v>0.127005406639829</v>
      </c>
      <c r="F24" s="7" t="n">
        <f aca="false">Plan50L_BaseRates!B132</f>
        <v>0.232769869222335</v>
      </c>
    </row>
    <row r="25" customFormat="false" ht="15" hidden="false" customHeight="false" outlineLevel="0" collapsed="false">
      <c r="A25" s="0" t="s">
        <v>47</v>
      </c>
      <c r="B25" s="7" t="n">
        <f aca="false">Outlook_Conservative!B133</f>
        <v>0.650763530821488</v>
      </c>
      <c r="C25" s="7" t="n">
        <f aca="false">Outlook_Base!B133</f>
        <v>0.422416488225544</v>
      </c>
      <c r="D25" s="7" t="n">
        <f aca="false">Outlook_Aggressive!B133</f>
        <v>0.444693198711574</v>
      </c>
      <c r="E25" s="7" t="n">
        <f aca="false">Plan10L_BaseRates!B133</f>
        <v>0.2787472607242</v>
      </c>
      <c r="F25" s="7" t="n">
        <f aca="false">Plan50L_BaseRates!B133</f>
        <v>0.551029826536619</v>
      </c>
    </row>
    <row r="26" customFormat="false" ht="15" hidden="false" customHeight="false" outlineLevel="0" collapsed="false">
      <c r="A26" s="0" t="s">
        <v>48</v>
      </c>
      <c r="B26" s="6" t="n">
        <f aca="false">Outlook_Conservative!B134</f>
        <v>7.52884009442716</v>
      </c>
      <c r="C26" s="6" t="n">
        <f aca="false">Outlook_Base!B134</f>
        <v>17.5428834734527</v>
      </c>
      <c r="D26" s="6" t="n">
        <f aca="false">Outlook_Aggressive!B134</f>
        <v>23.9529504580762</v>
      </c>
      <c r="E26" s="6" t="n">
        <f aca="false">Plan10L_BaseRates!B134</f>
        <v>5.66843735781582</v>
      </c>
      <c r="F26" s="6" t="n">
        <f aca="false">Plan50L_BaseRates!B134</f>
        <v>31.3083402664892</v>
      </c>
    </row>
    <row r="27" customFormat="false" ht="15" hidden="false" customHeight="false" outlineLevel="0" collapsed="false">
      <c r="A27" s="0" t="s">
        <v>49</v>
      </c>
      <c r="B27" s="6" t="n">
        <f aca="false">Outlook_Conservative!B135/100000</f>
        <v>-1.32441771834039</v>
      </c>
      <c r="C27" s="6" t="n">
        <f aca="false">Outlook_Base!B135/100000</f>
        <v>6.66961392611592</v>
      </c>
      <c r="D27" s="6" t="n">
        <f aca="false">Outlook_Aggressive!B135/100000</f>
        <v>18.3875798106906</v>
      </c>
      <c r="E27" s="6" t="n">
        <f aca="false">Plan10L_BaseRates!B135/100000</f>
        <v>5.70950525933428</v>
      </c>
      <c r="F27" s="6" t="n">
        <f aca="false">Plan50L_BaseRates!B135/100000</f>
        <v>5.58292704858014</v>
      </c>
    </row>
    <row r="28" customFormat="false" ht="15" hidden="false" customHeight="false" outlineLevel="0" collapsed="false">
      <c r="A28" s="0" t="s">
        <v>50</v>
      </c>
      <c r="B28" s="0" t="str">
        <f aca="false">Outlook_Conservative!B136</f>
        <v>not in Y1</v>
      </c>
      <c r="C28" s="0" t="n">
        <f aca="false">Outlook_Base!B136</f>
        <v>7</v>
      </c>
      <c r="D28" s="0" t="n">
        <f aca="false">Outlook_Aggressive!B136</f>
        <v>5</v>
      </c>
      <c r="E28" s="0" t="n">
        <f aca="false">Plan10L_BaseRates!B136</f>
        <v>5</v>
      </c>
      <c r="F28" s="0" t="n">
        <f aca="false">Plan50L_BaseRates!B136</f>
        <v>7</v>
      </c>
    </row>
    <row r="29" customFormat="false" ht="15" hidden="false" customHeight="false" outlineLevel="0" collapsed="false">
      <c r="A29" s="0" t="s">
        <v>51</v>
      </c>
      <c r="B29" s="6" t="n">
        <f aca="false">Outlook_Conservative!B137/100000</f>
        <v>-14.9975897369965</v>
      </c>
      <c r="C29" s="6" t="n">
        <f aca="false">Outlook_Base!B137/100000</f>
        <v>-16.6622644458937</v>
      </c>
      <c r="D29" s="6" t="n">
        <f aca="false">Outlook_Aggressive!B137/100000</f>
        <v>8.20310119471859</v>
      </c>
      <c r="E29" s="6" t="n">
        <f aca="false">Plan10L_BaseRates!B137/100000</f>
        <v>8.76353463384538</v>
      </c>
      <c r="F29" s="6" t="n">
        <f aca="false">Plan50L_BaseRates!B137/100000</f>
        <v>-34.9917924405672</v>
      </c>
    </row>
    <row r="31" customFormat="false" ht="15" hidden="false" customHeight="false" outlineLevel="0" collapsed="false">
      <c r="A31" s="10" t="s">
        <v>52</v>
      </c>
      <c r="B31" s="11"/>
      <c r="C31" s="11"/>
      <c r="D31" s="11"/>
      <c r="E31" s="11"/>
      <c r="F31" s="11"/>
      <c r="G31" s="11"/>
    </row>
    <row r="32" customFormat="false" ht="15" hidden="false" customHeight="false" outlineLevel="0" collapsed="false">
      <c r="A32" s="5" t="s">
        <v>53</v>
      </c>
      <c r="B32" s="5" t="s">
        <v>54</v>
      </c>
      <c r="C32" s="5" t="s">
        <v>55</v>
      </c>
      <c r="D32" s="5" t="s">
        <v>56</v>
      </c>
      <c r="E32" s="5" t="s">
        <v>57</v>
      </c>
      <c r="F32" s="5" t="s">
        <v>58</v>
      </c>
      <c r="G32" s="5" t="s">
        <v>59</v>
      </c>
      <c r="H32" s="12" t="s">
        <v>60</v>
      </c>
      <c r="I32" s="12" t="s">
        <v>61</v>
      </c>
      <c r="J32" s="12" t="s">
        <v>62</v>
      </c>
    </row>
    <row r="33" customFormat="false" ht="15" hidden="false" customHeight="false" outlineLevel="0" collapsed="false">
      <c r="A33" s="0" t="s">
        <v>63</v>
      </c>
      <c r="B33" s="6" t="n">
        <f aca="false">3yr_Scenarios!B38</f>
        <v>17.6199469324404</v>
      </c>
      <c r="C33" s="6" t="n">
        <f aca="false">3yr_Scenarios!C38</f>
        <v>26.6419344271576</v>
      </c>
      <c r="D33" s="6" t="n">
        <f aca="false">3yr_Scenarios!D38</f>
        <v>36.6572985432959</v>
      </c>
      <c r="E33" s="6" t="n">
        <f aca="false">3yr_Scenarios!E38</f>
        <v>71.82906680032</v>
      </c>
      <c r="F33" s="6" t="n">
        <f aca="false">3yr_Scenarios!F38</f>
        <v>120.044844180373</v>
      </c>
      <c r="G33" s="6" t="n">
        <f aca="false">3yr_Scenarios!G38</f>
        <v>166.94275086719</v>
      </c>
      <c r="H33" s="6" t="n">
        <f aca="false">3yr_Scenarios!H38</f>
        <v>134.783683632995</v>
      </c>
      <c r="I33" s="6" t="n">
        <f aca="false">3yr_Scenarios!I38</f>
        <v>235.670458972991</v>
      </c>
      <c r="J33" s="6" t="n">
        <f aca="false">3yr_Scenarios!J38</f>
        <v>334.642000607154</v>
      </c>
    </row>
    <row r="34" customFormat="false" ht="15" hidden="false" customHeight="false" outlineLevel="0" collapsed="false">
      <c r="A34" s="0" t="s">
        <v>64</v>
      </c>
      <c r="B34" s="6" t="n">
        <f aca="false">3yr_Scenarios!B49</f>
        <v>-13.1088299312818</v>
      </c>
      <c r="C34" s="6" t="n">
        <f aca="false">3yr_Scenarios!C49</f>
        <v>-7.20626984568009</v>
      </c>
      <c r="D34" s="6" t="n">
        <f aca="false">3yr_Scenarios!D49</f>
        <v>-9.64064183343418</v>
      </c>
      <c r="E34" s="6" t="n">
        <f aca="false">3yr_Scenarios!E49</f>
        <v>5.98199826597075</v>
      </c>
      <c r="F34" s="6" t="n">
        <f aca="false">3yr_Scenarios!F49</f>
        <v>17.5753710953097</v>
      </c>
      <c r="G34" s="6" t="n">
        <f aca="false">3yr_Scenarios!G49</f>
        <v>44.8469004324274</v>
      </c>
      <c r="H34" s="6" t="n">
        <f aca="false">3yr_Scenarios!H49</f>
        <v>35.2431011947186</v>
      </c>
      <c r="I34" s="6" t="n">
        <f aca="false">3yr_Scenarios!I49</f>
        <v>96.3766792193441</v>
      </c>
      <c r="J34" s="6" t="n">
        <f aca="false">3yr_Scenarios!J49</f>
        <v>162.74302052359</v>
      </c>
    </row>
    <row r="35" customFormat="false" ht="15" hidden="false" customHeight="false" outlineLevel="0" collapsed="false">
      <c r="A35" s="0" t="s">
        <v>65</v>
      </c>
      <c r="B35" s="7" t="n">
        <f aca="false">3yr_Scenarios!B50</f>
        <v>-0.743976697633911</v>
      </c>
      <c r="C35" s="7" t="n">
        <f aca="false">3yr_Scenarios!C50</f>
        <v>-0.270485983868136</v>
      </c>
      <c r="D35" s="7" t="n">
        <f aca="false">3yr_Scenarios!D50</f>
        <v>-0.262993788864382</v>
      </c>
      <c r="E35" s="7" t="n">
        <f aca="false">3yr_Scenarios!E50</f>
        <v>0.0832810244159277</v>
      </c>
      <c r="F35" s="7" t="n">
        <f aca="false">3yr_Scenarios!F50</f>
        <v>0.146406713385391</v>
      </c>
      <c r="G35" s="7" t="n">
        <f aca="false">3yr_Scenarios!G50</f>
        <v>0.268636404991942</v>
      </c>
      <c r="H35" s="7" t="n">
        <f aca="false">3yr_Scenarios!H50</f>
        <v>0.261478987995926</v>
      </c>
      <c r="I35" s="7" t="n">
        <f aca="false">3yr_Scenarios!I50</f>
        <v>0.408946796468833</v>
      </c>
      <c r="J35" s="7" t="n">
        <f aca="false">3yr_Scenarios!J50</f>
        <v>0.486319769270799</v>
      </c>
    </row>
    <row r="36" customFormat="false" ht="15" hidden="false" customHeight="false" outlineLevel="0" collapsed="false">
      <c r="A36" s="0" t="s">
        <v>66</v>
      </c>
      <c r="B36" s="8" t="n">
        <f aca="false">3yr_Scenarios!B17</f>
        <v>33.2021232014389</v>
      </c>
      <c r="C36" s="8" t="n">
        <f aca="false">3yr_Scenarios!C17</f>
        <v>38.9892949640288</v>
      </c>
      <c r="D36" s="8" t="n">
        <f aca="false">3yr_Scenarios!D17</f>
        <v>40.9387597122302</v>
      </c>
      <c r="E36" s="8" t="n">
        <f aca="false">3yr_Scenarios!E17</f>
        <v>90.918784379973</v>
      </c>
      <c r="F36" s="8" t="n">
        <f aca="false">3yr_Scenarios!F17</f>
        <v>121.935211259645</v>
      </c>
      <c r="G36" s="8" t="n">
        <f aca="false">3yr_Scenarios!G17</f>
        <v>134.128732385609</v>
      </c>
      <c r="H36" s="8" t="n">
        <f aca="false">3yr_Scenarios!H17</f>
        <v>123.616323104723</v>
      </c>
      <c r="I36" s="8" t="n">
        <f aca="false">3yr_Scenarios!I17</f>
        <v>160.763301368008</v>
      </c>
      <c r="J36" s="8" t="n">
        <f aca="false">3yr_Scenarios!J17</f>
        <v>162.466079710404</v>
      </c>
    </row>
    <row r="37" customFormat="false" ht="15" hidden="false" customHeight="false" outlineLevel="0" collapsed="false">
      <c r="A37" s="0" t="s">
        <v>67</v>
      </c>
      <c r="B37" s="6" t="n">
        <f aca="false">3yr_Scenarios!B54</f>
        <v>14.9975897369965</v>
      </c>
      <c r="C37" s="6" t="n">
        <f aca="false">3yr_Scenarios!C54</f>
        <v>25.2038595826766</v>
      </c>
      <c r="D37" s="6" t="n">
        <f aca="false">3yr_Scenarios!D54</f>
        <v>37.5445014161108</v>
      </c>
      <c r="E37" s="6" t="n">
        <f aca="false">3yr_Scenarios!E54</f>
        <v>25.6585561730623</v>
      </c>
      <c r="F37" s="6" t="n">
        <f aca="false">3yr_Scenarios!F54</f>
        <v>25.6585561730623</v>
      </c>
      <c r="G37" s="6" t="n">
        <f aca="false">3yr_Scenarios!G54</f>
        <v>25.6585561730623</v>
      </c>
      <c r="H37" s="6" t="n">
        <f aca="false">3yr_Scenarios!H54</f>
        <v>28.6304366213038</v>
      </c>
      <c r="I37" s="6" t="n">
        <f aca="false">3yr_Scenarios!I54</f>
        <v>28.6304366213038</v>
      </c>
      <c r="J37" s="6" t="n">
        <f aca="false">3yr_Scenarios!J54</f>
        <v>28.6304366213038</v>
      </c>
    </row>
    <row r="39" customFormat="false" ht="15" hidden="false" customHeight="false" outlineLevel="0" collapsed="false">
      <c r="A39" s="10" t="s">
        <v>68</v>
      </c>
      <c r="B39" s="11"/>
      <c r="C39" s="11"/>
      <c r="D39" s="11"/>
      <c r="E39" s="11"/>
      <c r="F39" s="11"/>
      <c r="G39" s="11"/>
    </row>
    <row r="40" customFormat="false" ht="15" hidden="false" customHeight="false" outlineLevel="0" collapsed="false">
      <c r="A40" s="0" t="str">
        <f aca="false">Sensitivity!A6</f>
        <v>Conversion (all routes; low = founder step-back ÷1.25)</v>
      </c>
      <c r="B40" s="6" t="n">
        <f aca="false">Sensitivity!F6/100000</f>
        <v>13.8115579551118</v>
      </c>
      <c r="C40" s="13" t="n">
        <f aca="false">Sensitivity!G6</f>
        <v>2</v>
      </c>
      <c r="D40" s="0" t="str">
        <f aca="false">Sensitivity!L6</f>
        <v>██████████████████</v>
      </c>
    </row>
    <row r="41" customFormat="false" ht="15" hidden="false" customHeight="false" outlineLevel="0" collapsed="false">
      <c r="A41" s="0" t="str">
        <f aca="false">Sensitivity!A7</f>
        <v>Fees (all products)</v>
      </c>
      <c r="B41" s="6" t="n">
        <f aca="false">Sensitivity!F7/100000</f>
        <v>23.322704305679</v>
      </c>
      <c r="C41" s="13" t="n">
        <f aca="false">Sensitivity!G7</f>
        <v>1</v>
      </c>
      <c r="D41" s="0" t="str">
        <f aca="false">Sensitivity!L7</f>
        <v>██████████████████████████████</v>
      </c>
    </row>
    <row r="42" customFormat="false" ht="15" hidden="false" customHeight="false" outlineLevel="0" collapsed="false">
      <c r="A42" s="0" t="str">
        <f aca="false">Sensitivity!A8</f>
        <v>Cohort fill (students per batch 8 vs 12)</v>
      </c>
      <c r="B42" s="6" t="n">
        <f aca="false">Sensitivity!F8/100000</f>
        <v>2.08</v>
      </c>
      <c r="C42" s="13" t="n">
        <f aca="false">Sensitivity!G8</f>
        <v>7</v>
      </c>
      <c r="D42" s="0" t="str">
        <f aca="false">Sensitivity!L8</f>
        <v>███</v>
      </c>
    </row>
    <row r="43" customFormat="false" ht="15" hidden="false" customHeight="false" outlineLevel="0" collapsed="false">
      <c r="A43" s="0" t="str">
        <f aca="false">Sensitivity!A9</f>
        <v>CPL / CAC (paid routes)</v>
      </c>
      <c r="B43" s="6" t="n">
        <f aca="false">Sensitivity!F9/100000</f>
        <v>2.5586293800833</v>
      </c>
      <c r="C43" s="13" t="n">
        <f aca="false">Sensitivity!G9</f>
        <v>6</v>
      </c>
      <c r="D43" s="0" t="str">
        <f aca="false">Sensitivity!L9</f>
        <v>███</v>
      </c>
    </row>
    <row r="44" customFormat="false" ht="15" hidden="false" customHeight="false" outlineLevel="0" collapsed="false">
      <c r="A44" s="0" t="str">
        <f aca="false">Sensitivity!A10</f>
        <v>Variable delivery cost (kit, consumables)</v>
      </c>
      <c r="B44" s="6" t="n">
        <f aca="false">Sensitivity!F10/100000</f>
        <v>4.42871771315663</v>
      </c>
      <c r="C44" s="13" t="n">
        <f aca="false">Sensitivity!G10</f>
        <v>5</v>
      </c>
      <c r="D44" s="0" t="str">
        <f aca="false">Sensitivity!L10</f>
        <v>██████</v>
      </c>
    </row>
    <row r="45" customFormat="false" ht="15" hidden="false" customHeight="false" outlineLevel="0" collapsed="false">
      <c r="A45" s="0" t="str">
        <f aca="false">Sensitivity!A11</f>
        <v>Rent (₹130 vs ₹47 per sq ft vs ₹80)</v>
      </c>
      <c r="B45" s="6" t="n">
        <f aca="false">Sensitivity!F11/100000</f>
        <v>8.65275</v>
      </c>
      <c r="C45" s="13" t="n">
        <f aca="false">Sensitivity!G11</f>
        <v>4</v>
      </c>
      <c r="D45" s="0" t="str">
        <f aca="false">Sensitivity!L11</f>
        <v>███████████</v>
      </c>
    </row>
    <row r="46" customFormat="false" ht="15" hidden="false" customHeight="false" outlineLevel="0" collapsed="false">
      <c r="A46" s="0" t="str">
        <f aca="false">Sensitivity!A12</f>
        <v>Paid-media budget ±30% (target held: extra budget cannot exceed target/capacity)</v>
      </c>
      <c r="B46" s="6" t="n">
        <f aca="false">Sensitivity!F12/100000</f>
        <v>1.95729326491967</v>
      </c>
      <c r="C46" s="13" t="n">
        <f aca="false">Sensitivity!G12</f>
        <v>8</v>
      </c>
      <c r="D46" s="0" t="str">
        <f aca="false">Sensitivity!L12</f>
        <v>███</v>
      </c>
    </row>
    <row r="47" customFormat="false" ht="15" hidden="false" customHeight="false" outlineLevel="0" collapsed="false">
      <c r="A47" s="0" t="str">
        <f aca="false">Sensitivity!A13</f>
        <v>GST charged on top of list fees (vs absorbed in quoted fee)</v>
      </c>
      <c r="B47" s="6" t="n">
        <f aca="false">Sensitivity!F13/100000</f>
        <v>12.8630613764532</v>
      </c>
      <c r="C47" s="13" t="n">
        <f aca="false">Sensitivity!G13</f>
        <v>3</v>
      </c>
      <c r="D47" s="0" t="str">
        <f aca="false">Sensitivity!L13</f>
        <v>█████████████████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3" customFormat="false" ht="15" hidden="false" customHeight="false" outlineLevel="0" collapsed="false">
      <c r="A3" s="3" t="s">
        <v>71</v>
      </c>
      <c r="C3" s="14" t="s">
        <v>22</v>
      </c>
      <c r="D3" s="2" t="s">
        <v>72</v>
      </c>
    </row>
    <row r="4" customFormat="false" ht="15" hidden="false" customHeight="false" outlineLevel="0" collapsed="false">
      <c r="A4" s="0" t="s">
        <v>73</v>
      </c>
      <c r="C4" s="3" t="n">
        <f aca="false">MATCH($C$3,$K$4:$M$4,0)</f>
        <v>2</v>
      </c>
      <c r="K4" s="2" t="s">
        <v>21</v>
      </c>
      <c r="L4" s="2" t="s">
        <v>22</v>
      </c>
      <c r="M4" s="2" t="s">
        <v>23</v>
      </c>
    </row>
    <row r="6" customFormat="false" ht="15" hidden="false" customHeight="false" outlineLevel="0" collapsed="false">
      <c r="A6" s="5" t="s">
        <v>74</v>
      </c>
      <c r="B6" s="5" t="s">
        <v>75</v>
      </c>
      <c r="C6" s="5" t="s">
        <v>21</v>
      </c>
      <c r="D6" s="5" t="s">
        <v>22</v>
      </c>
      <c r="E6" s="5" t="s">
        <v>23</v>
      </c>
      <c r="F6" s="5" t="s">
        <v>76</v>
      </c>
      <c r="G6" s="5" t="s">
        <v>77</v>
      </c>
      <c r="H6" s="5" t="s">
        <v>78</v>
      </c>
      <c r="I6" s="5" t="s">
        <v>79</v>
      </c>
      <c r="J6" s="12" t="s">
        <v>80</v>
      </c>
    </row>
    <row r="8" customFormat="false" ht="15" hidden="false" customHeight="false" outlineLevel="0" collapsed="false">
      <c r="A8" s="10" t="s">
        <v>81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3" t="s">
        <v>82</v>
      </c>
      <c r="B9" s="4" t="s">
        <v>83</v>
      </c>
      <c r="C9" s="15" t="n">
        <v>30</v>
      </c>
      <c r="D9" s="15" t="n">
        <v>50</v>
      </c>
      <c r="E9" s="15" t="n">
        <v>60</v>
      </c>
      <c r="F9" s="13" t="s">
        <v>84</v>
      </c>
      <c r="G9" s="4" t="s">
        <v>85</v>
      </c>
      <c r="H9" s="13" t="s">
        <v>86</v>
      </c>
      <c r="I9" s="16" t="n">
        <f aca="false">INDEX(C9:E9,$C$4)</f>
        <v>50</v>
      </c>
      <c r="J9" s="13" t="s">
        <v>87</v>
      </c>
    </row>
    <row r="10" customFormat="false" ht="15" hidden="false" customHeight="false" outlineLevel="0" collapsed="false">
      <c r="A10" s="3" t="s">
        <v>88</v>
      </c>
      <c r="B10" s="4" t="s">
        <v>89</v>
      </c>
      <c r="C10" s="17" t="n">
        <v>40000</v>
      </c>
      <c r="D10" s="17" t="n">
        <v>60000</v>
      </c>
      <c r="E10" s="17" t="n">
        <v>75000</v>
      </c>
      <c r="F10" s="13" t="s">
        <v>90</v>
      </c>
      <c r="G10" s="4" t="s">
        <v>91</v>
      </c>
      <c r="H10" s="13" t="s">
        <v>92</v>
      </c>
      <c r="I10" s="18" t="n">
        <f aca="false">INDEX(C10:E10,$C$4)</f>
        <v>60000</v>
      </c>
      <c r="J10" s="13" t="s">
        <v>87</v>
      </c>
    </row>
    <row r="11" customFormat="false" ht="15" hidden="false" customHeight="false" outlineLevel="0" collapsed="false">
      <c r="A11" s="3" t="s">
        <v>93</v>
      </c>
      <c r="B11" s="4" t="s">
        <v>94</v>
      </c>
      <c r="C11" s="17" t="n">
        <v>1000000</v>
      </c>
      <c r="D11" s="17" t="n">
        <v>3000000</v>
      </c>
      <c r="E11" s="17" t="n">
        <v>5000000</v>
      </c>
      <c r="F11" s="13" t="s">
        <v>90</v>
      </c>
      <c r="G11" s="4" t="s">
        <v>95</v>
      </c>
      <c r="H11" s="13" t="s">
        <v>86</v>
      </c>
      <c r="I11" s="18" t="n">
        <f aca="false">INDEX(C11:E11,$C$4)</f>
        <v>3000000</v>
      </c>
      <c r="J11" s="13" t="s">
        <v>96</v>
      </c>
    </row>
    <row r="12" customFormat="false" ht="15" hidden="false" customHeight="false" outlineLevel="0" collapsed="false">
      <c r="A12" s="3" t="s">
        <v>97</v>
      </c>
      <c r="B12" s="4" t="s">
        <v>98</v>
      </c>
      <c r="C12" s="19" t="n">
        <v>0.6</v>
      </c>
      <c r="D12" s="19" t="n">
        <v>0.6</v>
      </c>
      <c r="E12" s="19" t="n">
        <v>0.6</v>
      </c>
      <c r="F12" s="13" t="s">
        <v>99</v>
      </c>
      <c r="G12" s="4" t="s">
        <v>100</v>
      </c>
      <c r="H12" s="13" t="s">
        <v>92</v>
      </c>
      <c r="I12" s="20" t="n">
        <f aca="false">INDEX(C12:E12,$C$4)</f>
        <v>0.6</v>
      </c>
      <c r="J12" s="13" t="s">
        <v>87</v>
      </c>
    </row>
    <row r="13" customFormat="false" ht="15" hidden="false" customHeight="false" outlineLevel="0" collapsed="false">
      <c r="A13" s="3" t="s">
        <v>101</v>
      </c>
      <c r="B13" s="4" t="s">
        <v>102</v>
      </c>
      <c r="C13" s="17" t="n">
        <v>6000</v>
      </c>
      <c r="D13" s="17" t="n">
        <v>8000</v>
      </c>
      <c r="E13" s="17" t="n">
        <v>10000</v>
      </c>
      <c r="F13" s="13" t="s">
        <v>90</v>
      </c>
      <c r="G13" s="4" t="s">
        <v>103</v>
      </c>
      <c r="H13" s="13" t="s">
        <v>92</v>
      </c>
      <c r="I13" s="18" t="n">
        <f aca="false">INDEX(C13:E13,$C$4)</f>
        <v>8000</v>
      </c>
      <c r="J13" s="13" t="s">
        <v>87</v>
      </c>
    </row>
    <row r="14" customFormat="false" ht="28.35" hidden="false" customHeight="false" outlineLevel="0" collapsed="false">
      <c r="A14" s="3" t="s">
        <v>104</v>
      </c>
      <c r="B14" s="4" t="s">
        <v>105</v>
      </c>
      <c r="C14" s="17" t="n">
        <v>15000</v>
      </c>
      <c r="D14" s="17" t="n">
        <v>12000</v>
      </c>
      <c r="E14" s="17" t="n">
        <v>10000</v>
      </c>
      <c r="F14" s="13" t="s">
        <v>106</v>
      </c>
      <c r="G14" s="4" t="s">
        <v>107</v>
      </c>
      <c r="H14" s="13" t="s">
        <v>92</v>
      </c>
      <c r="I14" s="18" t="n">
        <f aca="false">INDEX(C14:E14,$C$4)</f>
        <v>12000</v>
      </c>
      <c r="J14" s="13" t="s">
        <v>87</v>
      </c>
    </row>
    <row r="15" customFormat="false" ht="55.2" hidden="false" customHeight="false" outlineLevel="0" collapsed="false">
      <c r="A15" s="3" t="s">
        <v>108</v>
      </c>
      <c r="B15" s="4" t="s">
        <v>109</v>
      </c>
      <c r="C15" s="19" t="n">
        <v>0.18</v>
      </c>
      <c r="D15" s="19" t="n">
        <v>0.18</v>
      </c>
      <c r="E15" s="19" t="n">
        <v>0.18</v>
      </c>
      <c r="F15" s="13" t="s">
        <v>99</v>
      </c>
      <c r="G15" s="4" t="s">
        <v>110</v>
      </c>
      <c r="H15" s="13" t="s">
        <v>111</v>
      </c>
      <c r="I15" s="20" t="n">
        <f aca="false">INDEX(C15:E15,$C$4)</f>
        <v>0.18</v>
      </c>
      <c r="J15" s="13" t="s">
        <v>87</v>
      </c>
    </row>
    <row r="16" customFormat="false" ht="28.35" hidden="false" customHeight="false" outlineLevel="0" collapsed="false">
      <c r="A16" s="3" t="s">
        <v>112</v>
      </c>
      <c r="B16" s="4" t="s">
        <v>113</v>
      </c>
      <c r="C16" s="21" t="n">
        <v>1</v>
      </c>
      <c r="D16" s="21" t="n">
        <v>1</v>
      </c>
      <c r="E16" s="21" t="n">
        <v>1</v>
      </c>
      <c r="F16" s="13" t="s">
        <v>114</v>
      </c>
      <c r="G16" s="4" t="s">
        <v>115</v>
      </c>
      <c r="H16" s="13" t="s">
        <v>92</v>
      </c>
      <c r="I16" s="22" t="n">
        <f aca="false">INDEX(C16:E16,$C$4)</f>
        <v>1</v>
      </c>
      <c r="J16" s="13" t="s">
        <v>87</v>
      </c>
    </row>
    <row r="17" customFormat="false" ht="15" hidden="false" customHeight="false" outlineLevel="0" collapsed="false">
      <c r="A17" s="3" t="s">
        <v>116</v>
      </c>
      <c r="B17" s="4" t="s">
        <v>117</v>
      </c>
      <c r="C17" s="17" t="n">
        <v>999</v>
      </c>
      <c r="D17" s="17" t="n">
        <v>999</v>
      </c>
      <c r="E17" s="17" t="n">
        <v>999</v>
      </c>
      <c r="F17" s="13" t="s">
        <v>90</v>
      </c>
      <c r="G17" s="4" t="s">
        <v>118</v>
      </c>
      <c r="H17" s="13" t="s">
        <v>92</v>
      </c>
      <c r="I17" s="18" t="n">
        <f aca="false">INDEX(C17:E17,$C$4)</f>
        <v>999</v>
      </c>
      <c r="J17" s="13" t="s">
        <v>87</v>
      </c>
    </row>
    <row r="18" customFormat="false" ht="15" hidden="false" customHeight="false" outlineLevel="0" collapsed="false">
      <c r="A18" s="3" t="s">
        <v>119</v>
      </c>
      <c r="B18" s="4" t="s">
        <v>120</v>
      </c>
      <c r="C18" s="17" t="n">
        <v>30000</v>
      </c>
      <c r="D18" s="17" t="n">
        <v>39900</v>
      </c>
      <c r="E18" s="17" t="n">
        <v>45000</v>
      </c>
      <c r="F18" s="13" t="s">
        <v>90</v>
      </c>
      <c r="G18" s="4" t="s">
        <v>121</v>
      </c>
      <c r="H18" s="13" t="s">
        <v>92</v>
      </c>
      <c r="I18" s="18" t="n">
        <f aca="false">INDEX(C18:E18,$C$4)</f>
        <v>39900</v>
      </c>
      <c r="J18" s="13" t="s">
        <v>87</v>
      </c>
    </row>
    <row r="19" customFormat="false" ht="28.35" hidden="false" customHeight="false" outlineLevel="0" collapsed="false">
      <c r="A19" s="3" t="s">
        <v>122</v>
      </c>
      <c r="B19" s="4" t="s">
        <v>123</v>
      </c>
      <c r="C19" s="17" t="n">
        <v>75000</v>
      </c>
      <c r="D19" s="17" t="n">
        <v>90000</v>
      </c>
      <c r="E19" s="17" t="n">
        <v>120000</v>
      </c>
      <c r="F19" s="13" t="s">
        <v>90</v>
      </c>
      <c r="G19" s="4" t="s">
        <v>122</v>
      </c>
      <c r="H19" s="13" t="s">
        <v>92</v>
      </c>
      <c r="I19" s="18" t="n">
        <f aca="false">INDEX(C19:E19,$C$4)</f>
        <v>90000</v>
      </c>
      <c r="J19" s="13" t="s">
        <v>87</v>
      </c>
    </row>
    <row r="20" customFormat="false" ht="15" hidden="false" customHeight="false" outlineLevel="0" collapsed="false">
      <c r="A20" s="3" t="s">
        <v>124</v>
      </c>
      <c r="B20" s="4" t="s">
        <v>125</v>
      </c>
      <c r="C20" s="17" t="n">
        <v>65000</v>
      </c>
      <c r="D20" s="17" t="n">
        <v>80000</v>
      </c>
      <c r="E20" s="17" t="n">
        <v>100000</v>
      </c>
      <c r="F20" s="13" t="s">
        <v>90</v>
      </c>
      <c r="G20" s="4" t="s">
        <v>126</v>
      </c>
      <c r="H20" s="13" t="s">
        <v>92</v>
      </c>
      <c r="I20" s="18" t="n">
        <f aca="false">INDEX(C20:E20,$C$4)</f>
        <v>80000</v>
      </c>
      <c r="J20" s="13" t="s">
        <v>87</v>
      </c>
    </row>
    <row r="21" customFormat="false" ht="15" hidden="false" customHeight="false" outlineLevel="0" collapsed="false">
      <c r="A21" s="3" t="s">
        <v>127</v>
      </c>
      <c r="B21" s="4" t="s">
        <v>128</v>
      </c>
      <c r="C21" s="17" t="n">
        <v>5000</v>
      </c>
      <c r="D21" s="17" t="n">
        <v>10000</v>
      </c>
      <c r="E21" s="17" t="n">
        <v>14000</v>
      </c>
      <c r="F21" s="13" t="s">
        <v>90</v>
      </c>
      <c r="G21" s="4" t="s">
        <v>129</v>
      </c>
      <c r="H21" s="13" t="s">
        <v>92</v>
      </c>
      <c r="I21" s="18" t="n">
        <f aca="false">INDEX(C21:E21,$C$4)</f>
        <v>10000</v>
      </c>
      <c r="J21" s="13" t="s">
        <v>87</v>
      </c>
    </row>
    <row r="22" customFormat="false" ht="15" hidden="false" customHeight="false" outlineLevel="0" collapsed="false">
      <c r="A22" s="3" t="s">
        <v>130</v>
      </c>
      <c r="B22" s="4" t="s">
        <v>131</v>
      </c>
      <c r="C22" s="17" t="n">
        <v>3000</v>
      </c>
      <c r="D22" s="17" t="n">
        <v>4999</v>
      </c>
      <c r="E22" s="17" t="n">
        <v>6500</v>
      </c>
      <c r="F22" s="13" t="s">
        <v>90</v>
      </c>
      <c r="G22" s="4" t="s">
        <v>132</v>
      </c>
      <c r="H22" s="13" t="s">
        <v>92</v>
      </c>
      <c r="I22" s="18" t="n">
        <f aca="false">INDEX(C22:E22,$C$4)</f>
        <v>4999</v>
      </c>
      <c r="J22" s="13" t="s">
        <v>87</v>
      </c>
    </row>
    <row r="23" customFormat="false" ht="15" hidden="false" customHeight="false" outlineLevel="0" collapsed="false">
      <c r="A23" s="3" t="s">
        <v>133</v>
      </c>
      <c r="B23" s="4" t="s">
        <v>134</v>
      </c>
      <c r="C23" s="17" t="n">
        <v>4999</v>
      </c>
      <c r="D23" s="17" t="n">
        <v>9999</v>
      </c>
      <c r="E23" s="17" t="n">
        <v>12499</v>
      </c>
      <c r="F23" s="13" t="s">
        <v>135</v>
      </c>
      <c r="G23" s="4" t="s">
        <v>136</v>
      </c>
      <c r="H23" s="13" t="s">
        <v>92</v>
      </c>
      <c r="I23" s="18" t="n">
        <f aca="false">INDEX(C23:E23,$C$4)</f>
        <v>9999</v>
      </c>
      <c r="J23" s="13" t="s">
        <v>87</v>
      </c>
    </row>
    <row r="24" customFormat="false" ht="28.35" hidden="false" customHeight="false" outlineLevel="0" collapsed="false">
      <c r="A24" s="3" t="s">
        <v>137</v>
      </c>
      <c r="B24" s="4" t="s">
        <v>138</v>
      </c>
      <c r="C24" s="17" t="n">
        <v>65000</v>
      </c>
      <c r="D24" s="17" t="n">
        <v>80000</v>
      </c>
      <c r="E24" s="17" t="n">
        <v>100000</v>
      </c>
      <c r="F24" s="13" t="s">
        <v>90</v>
      </c>
      <c r="G24" s="4" t="s">
        <v>139</v>
      </c>
      <c r="H24" s="13" t="s">
        <v>92</v>
      </c>
      <c r="I24" s="18" t="n">
        <f aca="false">INDEX(C24:E24,$C$4)</f>
        <v>80000</v>
      </c>
      <c r="J24" s="13" t="s">
        <v>87</v>
      </c>
    </row>
    <row r="25" customFormat="false" ht="28.35" hidden="false" customHeight="false" outlineLevel="0" collapsed="false">
      <c r="A25" s="3" t="s">
        <v>140</v>
      </c>
      <c r="B25" s="4" t="s">
        <v>141</v>
      </c>
      <c r="C25" s="23" t="n">
        <v>6</v>
      </c>
      <c r="D25" s="23" t="n">
        <v>10</v>
      </c>
      <c r="E25" s="23" t="n">
        <v>15</v>
      </c>
      <c r="F25" s="13" t="s">
        <v>142</v>
      </c>
      <c r="G25" s="4" t="s">
        <v>140</v>
      </c>
      <c r="H25" s="13" t="s">
        <v>92</v>
      </c>
      <c r="I25" s="24" t="n">
        <f aca="false">INDEX(C25:E25,$C$4)</f>
        <v>10</v>
      </c>
      <c r="J25" s="13" t="s">
        <v>96</v>
      </c>
    </row>
    <row r="26" customFormat="false" ht="15" hidden="false" customHeight="false" outlineLevel="0" collapsed="false">
      <c r="A26" s="3" t="s">
        <v>143</v>
      </c>
      <c r="B26" s="4" t="s">
        <v>144</v>
      </c>
      <c r="C26" s="19" t="n">
        <v>0.5</v>
      </c>
      <c r="D26" s="19" t="n">
        <v>0.6</v>
      </c>
      <c r="E26" s="19" t="n">
        <v>0.7</v>
      </c>
      <c r="F26" s="13" t="s">
        <v>99</v>
      </c>
      <c r="G26" s="4" t="s">
        <v>143</v>
      </c>
      <c r="H26" s="13" t="s">
        <v>92</v>
      </c>
      <c r="I26" s="20" t="n">
        <f aca="false">INDEX(C26:E26,$C$4)</f>
        <v>0.6</v>
      </c>
      <c r="J26" s="13" t="s">
        <v>87</v>
      </c>
    </row>
    <row r="27" customFormat="false" ht="15" hidden="false" customHeight="false" outlineLevel="0" collapsed="false">
      <c r="A27" s="3" t="s">
        <v>145</v>
      </c>
      <c r="B27" s="4" t="s">
        <v>146</v>
      </c>
      <c r="C27" s="19" t="n">
        <v>0.3</v>
      </c>
      <c r="D27" s="19" t="n">
        <v>0.3</v>
      </c>
      <c r="E27" s="19" t="n">
        <v>0.3</v>
      </c>
      <c r="F27" s="13" t="s">
        <v>99</v>
      </c>
      <c r="G27" s="4" t="s">
        <v>147</v>
      </c>
      <c r="H27" s="13" t="s">
        <v>92</v>
      </c>
      <c r="I27" s="20" t="n">
        <f aca="false">INDEX(C27:E27,$C$4)</f>
        <v>0.3</v>
      </c>
      <c r="J27" s="13" t="s">
        <v>87</v>
      </c>
    </row>
    <row r="28" customFormat="false" ht="15" hidden="false" customHeight="false" outlineLevel="0" collapsed="false">
      <c r="A28" s="3" t="s">
        <v>148</v>
      </c>
      <c r="B28" s="4" t="s">
        <v>149</v>
      </c>
      <c r="C28" s="19" t="n">
        <v>0.2</v>
      </c>
      <c r="D28" s="19" t="n">
        <v>0.2</v>
      </c>
      <c r="E28" s="19" t="n">
        <v>0.2</v>
      </c>
      <c r="F28" s="13" t="s">
        <v>99</v>
      </c>
      <c r="G28" s="4" t="s">
        <v>147</v>
      </c>
      <c r="H28" s="13" t="s">
        <v>92</v>
      </c>
      <c r="I28" s="20" t="n">
        <f aca="false">INDEX(C28:E28,$C$4)</f>
        <v>0.2</v>
      </c>
      <c r="J28" s="13" t="s">
        <v>87</v>
      </c>
    </row>
    <row r="29" customFormat="false" ht="15" hidden="false" customHeight="false" outlineLevel="0" collapsed="false">
      <c r="A29" s="3" t="s">
        <v>150</v>
      </c>
      <c r="B29" s="4" t="s">
        <v>151</v>
      </c>
      <c r="C29" s="19" t="n">
        <v>0.2</v>
      </c>
      <c r="D29" s="19" t="n">
        <v>0.2</v>
      </c>
      <c r="E29" s="19" t="n">
        <v>0.2</v>
      </c>
      <c r="F29" s="13" t="s">
        <v>99</v>
      </c>
      <c r="G29" s="4" t="s">
        <v>147</v>
      </c>
      <c r="H29" s="13" t="s">
        <v>92</v>
      </c>
      <c r="I29" s="20" t="n">
        <f aca="false">INDEX(C29:E29,$C$4)</f>
        <v>0.2</v>
      </c>
      <c r="J29" s="13" t="s">
        <v>87</v>
      </c>
    </row>
    <row r="30" customFormat="false" ht="15" hidden="false" customHeight="false" outlineLevel="0" collapsed="false">
      <c r="A30" s="3" t="s">
        <v>152</v>
      </c>
      <c r="B30" s="4" t="s">
        <v>153</v>
      </c>
      <c r="C30" s="19" t="n">
        <v>0.2</v>
      </c>
      <c r="D30" s="19" t="n">
        <v>0.2</v>
      </c>
      <c r="E30" s="19" t="n">
        <v>0.2</v>
      </c>
      <c r="F30" s="13" t="s">
        <v>99</v>
      </c>
      <c r="G30" s="4" t="s">
        <v>147</v>
      </c>
      <c r="H30" s="13" t="s">
        <v>92</v>
      </c>
      <c r="I30" s="20" t="n">
        <f aca="false">INDEX(C30:E30,$C$4)</f>
        <v>0.2</v>
      </c>
      <c r="J30" s="13" t="s">
        <v>87</v>
      </c>
    </row>
    <row r="31" customFormat="false" ht="15" hidden="false" customHeight="false" outlineLevel="0" collapsed="false">
      <c r="A31" s="3" t="s">
        <v>154</v>
      </c>
      <c r="B31" s="4" t="s">
        <v>155</v>
      </c>
      <c r="C31" s="19" t="n">
        <v>0.1</v>
      </c>
      <c r="D31" s="19" t="n">
        <v>0.1</v>
      </c>
      <c r="E31" s="19" t="n">
        <v>0.1</v>
      </c>
      <c r="F31" s="13" t="s">
        <v>99</v>
      </c>
      <c r="G31" s="4" t="s">
        <v>147</v>
      </c>
      <c r="H31" s="13" t="s">
        <v>92</v>
      </c>
      <c r="I31" s="20" t="n">
        <f aca="false">INDEX(C31:E31,$C$4)</f>
        <v>0.1</v>
      </c>
      <c r="J31" s="13" t="s">
        <v>87</v>
      </c>
    </row>
    <row r="32" customFormat="false" ht="15" hidden="false" customHeight="false" outlineLevel="0" collapsed="false">
      <c r="A32" s="3" t="s">
        <v>156</v>
      </c>
      <c r="B32" s="4" t="s">
        <v>157</v>
      </c>
      <c r="C32" s="17" t="n">
        <v>600</v>
      </c>
      <c r="D32" s="17" t="n">
        <v>300</v>
      </c>
      <c r="E32" s="17" t="n">
        <v>150</v>
      </c>
      <c r="F32" s="13" t="s">
        <v>158</v>
      </c>
      <c r="G32" s="4" t="s">
        <v>159</v>
      </c>
      <c r="H32" s="13" t="s">
        <v>92</v>
      </c>
      <c r="I32" s="18" t="n">
        <f aca="false">INDEX(C32:E32,$C$4)</f>
        <v>300</v>
      </c>
      <c r="J32" s="13" t="s">
        <v>87</v>
      </c>
    </row>
    <row r="33" customFormat="false" ht="15" hidden="false" customHeight="false" outlineLevel="0" collapsed="false">
      <c r="A33" s="3" t="s">
        <v>160</v>
      </c>
      <c r="B33" s="4" t="s">
        <v>161</v>
      </c>
      <c r="C33" s="17" t="n">
        <v>500</v>
      </c>
      <c r="D33" s="17" t="n">
        <v>250</v>
      </c>
      <c r="E33" s="17" t="n">
        <v>120</v>
      </c>
      <c r="F33" s="13" t="s">
        <v>158</v>
      </c>
      <c r="G33" s="4" t="s">
        <v>160</v>
      </c>
      <c r="H33" s="13" t="s">
        <v>92</v>
      </c>
      <c r="I33" s="18" t="n">
        <f aca="false">INDEX(C33:E33,$C$4)</f>
        <v>250</v>
      </c>
      <c r="J33" s="13" t="s">
        <v>87</v>
      </c>
    </row>
    <row r="34" customFormat="false" ht="15" hidden="false" customHeight="false" outlineLevel="0" collapsed="false">
      <c r="A34" s="3" t="s">
        <v>162</v>
      </c>
      <c r="B34" s="4" t="s">
        <v>163</v>
      </c>
      <c r="C34" s="17" t="n">
        <v>800</v>
      </c>
      <c r="D34" s="17" t="n">
        <v>500</v>
      </c>
      <c r="E34" s="17" t="n">
        <v>300</v>
      </c>
      <c r="F34" s="13" t="s">
        <v>158</v>
      </c>
      <c r="G34" s="4" t="s">
        <v>162</v>
      </c>
      <c r="H34" s="13" t="s">
        <v>92</v>
      </c>
      <c r="I34" s="18" t="n">
        <f aca="false">INDEX(C34:E34,$C$4)</f>
        <v>500</v>
      </c>
      <c r="J34" s="13" t="s">
        <v>87</v>
      </c>
    </row>
    <row r="35" customFormat="false" ht="15" hidden="false" customHeight="false" outlineLevel="0" collapsed="false">
      <c r="A35" s="3" t="s">
        <v>164</v>
      </c>
      <c r="B35" s="4" t="s">
        <v>165</v>
      </c>
      <c r="C35" s="17" t="n">
        <v>700</v>
      </c>
      <c r="D35" s="17" t="n">
        <v>400</v>
      </c>
      <c r="E35" s="17" t="n">
        <v>200</v>
      </c>
      <c r="F35" s="13" t="s">
        <v>166</v>
      </c>
      <c r="G35" s="4" t="s">
        <v>164</v>
      </c>
      <c r="H35" s="13" t="s">
        <v>92</v>
      </c>
      <c r="I35" s="18" t="n">
        <f aca="false">INDEX(C35:E35,$C$4)</f>
        <v>400</v>
      </c>
      <c r="J35" s="13" t="s">
        <v>87</v>
      </c>
    </row>
    <row r="36" customFormat="false" ht="15" hidden="false" customHeight="false" outlineLevel="0" collapsed="false">
      <c r="A36" s="3" t="s">
        <v>167</v>
      </c>
      <c r="B36" s="4" t="s">
        <v>168</v>
      </c>
      <c r="C36" s="17" t="n">
        <v>300</v>
      </c>
      <c r="D36" s="17" t="n">
        <v>150</v>
      </c>
      <c r="E36" s="17" t="n">
        <v>50</v>
      </c>
      <c r="F36" s="13" t="s">
        <v>158</v>
      </c>
      <c r="G36" s="4" t="s">
        <v>167</v>
      </c>
      <c r="H36" s="13" t="s">
        <v>92</v>
      </c>
      <c r="I36" s="18" t="n">
        <f aca="false">INDEX(C36:E36,$C$4)</f>
        <v>150</v>
      </c>
      <c r="J36" s="13" t="s">
        <v>87</v>
      </c>
    </row>
    <row r="37" customFormat="false" ht="15" hidden="false" customHeight="false" outlineLevel="0" collapsed="false">
      <c r="A37" s="3" t="s">
        <v>169</v>
      </c>
      <c r="B37" s="4" t="s">
        <v>170</v>
      </c>
      <c r="C37" s="17" t="n">
        <v>400</v>
      </c>
      <c r="D37" s="17" t="n">
        <v>200</v>
      </c>
      <c r="E37" s="17" t="n">
        <v>100</v>
      </c>
      <c r="F37" s="13" t="s">
        <v>158</v>
      </c>
      <c r="G37" s="4" t="s">
        <v>169</v>
      </c>
      <c r="H37" s="13" t="s">
        <v>92</v>
      </c>
      <c r="I37" s="18" t="n">
        <f aca="false">INDEX(C37:E37,$C$4)</f>
        <v>200</v>
      </c>
      <c r="J37" s="13" t="s">
        <v>87</v>
      </c>
    </row>
    <row r="38" customFormat="false" ht="15" hidden="false" customHeight="false" outlineLevel="0" collapsed="false">
      <c r="A38" s="3" t="s">
        <v>171</v>
      </c>
      <c r="B38" s="4" t="s">
        <v>172</v>
      </c>
      <c r="C38" s="19" t="n">
        <v>0.7</v>
      </c>
      <c r="D38" s="19" t="n">
        <v>0.5</v>
      </c>
      <c r="E38" s="19" t="n">
        <v>0.3</v>
      </c>
      <c r="F38" s="13" t="s">
        <v>99</v>
      </c>
      <c r="G38" s="4" t="s">
        <v>173</v>
      </c>
      <c r="H38" s="13" t="s">
        <v>92</v>
      </c>
      <c r="I38" s="20" t="n">
        <f aca="false">INDEX(C38:E38,$C$4)</f>
        <v>0.5</v>
      </c>
      <c r="J38" s="13" t="s">
        <v>87</v>
      </c>
    </row>
    <row r="39" customFormat="false" ht="15" hidden="false" customHeight="false" outlineLevel="0" collapsed="false">
      <c r="A39" s="3" t="s">
        <v>174</v>
      </c>
      <c r="B39" s="4" t="s">
        <v>175</v>
      </c>
      <c r="C39" s="19" t="n">
        <v>0.8</v>
      </c>
      <c r="D39" s="19" t="n">
        <v>0.6</v>
      </c>
      <c r="E39" s="19" t="n">
        <v>0.4</v>
      </c>
      <c r="F39" s="13" t="s">
        <v>99</v>
      </c>
      <c r="G39" s="4" t="s">
        <v>176</v>
      </c>
      <c r="H39" s="13" t="s">
        <v>92</v>
      </c>
      <c r="I39" s="20" t="n">
        <f aca="false">INDEX(C39:E39,$C$4)</f>
        <v>0.6</v>
      </c>
      <c r="J39" s="13" t="s">
        <v>87</v>
      </c>
    </row>
    <row r="40" customFormat="false" ht="15" hidden="false" customHeight="false" outlineLevel="0" collapsed="false">
      <c r="A40" s="3" t="s">
        <v>177</v>
      </c>
      <c r="B40" s="4" t="s">
        <v>178</v>
      </c>
      <c r="C40" s="19" t="n">
        <v>0.35</v>
      </c>
      <c r="D40" s="19" t="n">
        <v>0.4</v>
      </c>
      <c r="E40" s="19" t="n">
        <v>0.45</v>
      </c>
      <c r="F40" s="13" t="s">
        <v>99</v>
      </c>
      <c r="G40" s="4" t="s">
        <v>179</v>
      </c>
      <c r="H40" s="13" t="s">
        <v>92</v>
      </c>
      <c r="I40" s="20" t="n">
        <f aca="false">INDEX(C40:E40,$C$4)</f>
        <v>0.4</v>
      </c>
      <c r="J40" s="13" t="s">
        <v>87</v>
      </c>
    </row>
    <row r="41" customFormat="false" ht="15" hidden="false" customHeight="false" outlineLevel="0" collapsed="false">
      <c r="A41" s="3" t="s">
        <v>176</v>
      </c>
      <c r="B41" s="4" t="s">
        <v>180</v>
      </c>
      <c r="C41" s="19" t="n">
        <v>0.45</v>
      </c>
      <c r="D41" s="19" t="n">
        <v>0.55</v>
      </c>
      <c r="E41" s="19" t="n">
        <v>0.65</v>
      </c>
      <c r="F41" s="13" t="s">
        <v>99</v>
      </c>
      <c r="G41" s="4" t="s">
        <v>179</v>
      </c>
      <c r="H41" s="13" t="s">
        <v>92</v>
      </c>
      <c r="I41" s="20" t="n">
        <f aca="false">INDEX(C41:E41,$C$4)</f>
        <v>0.55</v>
      </c>
      <c r="J41" s="13" t="s">
        <v>87</v>
      </c>
    </row>
    <row r="42" customFormat="false" ht="15" hidden="false" customHeight="false" outlineLevel="0" collapsed="false">
      <c r="A42" s="3" t="s">
        <v>181</v>
      </c>
      <c r="B42" s="4" t="s">
        <v>182</v>
      </c>
      <c r="C42" s="19" t="n">
        <v>0.25</v>
      </c>
      <c r="D42" s="19" t="n">
        <v>0.3</v>
      </c>
      <c r="E42" s="19" t="n">
        <v>0.35</v>
      </c>
      <c r="F42" s="13" t="s">
        <v>99</v>
      </c>
      <c r="G42" s="4" t="s">
        <v>179</v>
      </c>
      <c r="H42" s="13" t="s">
        <v>92</v>
      </c>
      <c r="I42" s="20" t="n">
        <f aca="false">INDEX(C42:E42,$C$4)</f>
        <v>0.3</v>
      </c>
      <c r="J42" s="13" t="s">
        <v>87</v>
      </c>
    </row>
    <row r="43" customFormat="false" ht="15" hidden="false" customHeight="false" outlineLevel="0" collapsed="false">
      <c r="A43" s="3" t="s">
        <v>183</v>
      </c>
      <c r="B43" s="4" t="s">
        <v>184</v>
      </c>
      <c r="C43" s="19" t="n">
        <v>0.75</v>
      </c>
      <c r="D43" s="19" t="n">
        <v>0.8</v>
      </c>
      <c r="E43" s="19" t="n">
        <v>0.85</v>
      </c>
      <c r="F43" s="13" t="s">
        <v>99</v>
      </c>
      <c r="G43" s="4" t="s">
        <v>179</v>
      </c>
      <c r="H43" s="13" t="s">
        <v>92</v>
      </c>
      <c r="I43" s="20" t="n">
        <f aca="false">INDEX(C43:E43,$C$4)</f>
        <v>0.8</v>
      </c>
      <c r="J43" s="13" t="s">
        <v>87</v>
      </c>
    </row>
    <row r="44" customFormat="false" ht="15" hidden="false" customHeight="false" outlineLevel="0" collapsed="false">
      <c r="A44" s="3" t="s">
        <v>185</v>
      </c>
      <c r="B44" s="4" t="s">
        <v>186</v>
      </c>
      <c r="C44" s="19" t="n">
        <v>0.4</v>
      </c>
      <c r="D44" s="19" t="n">
        <v>0.45</v>
      </c>
      <c r="E44" s="19" t="n">
        <v>0.5</v>
      </c>
      <c r="F44" s="13" t="s">
        <v>99</v>
      </c>
      <c r="G44" s="4" t="s">
        <v>187</v>
      </c>
      <c r="H44" s="13" t="s">
        <v>92</v>
      </c>
      <c r="I44" s="20" t="n">
        <f aca="false">INDEX(C44:E44,$C$4)</f>
        <v>0.45</v>
      </c>
      <c r="J44" s="13" t="s">
        <v>87</v>
      </c>
    </row>
    <row r="45" customFormat="false" ht="15" hidden="false" customHeight="false" outlineLevel="0" collapsed="false">
      <c r="A45" s="3" t="s">
        <v>188</v>
      </c>
      <c r="B45" s="4" t="s">
        <v>189</v>
      </c>
      <c r="C45" s="19" t="n">
        <v>0.5</v>
      </c>
      <c r="D45" s="19" t="n">
        <v>0.6</v>
      </c>
      <c r="E45" s="19" t="n">
        <v>0.65</v>
      </c>
      <c r="F45" s="13" t="s">
        <v>99</v>
      </c>
      <c r="G45" s="4" t="s">
        <v>187</v>
      </c>
      <c r="H45" s="13" t="s">
        <v>92</v>
      </c>
      <c r="I45" s="20" t="n">
        <f aca="false">INDEX(C45:E45,$C$4)</f>
        <v>0.6</v>
      </c>
      <c r="J45" s="13" t="s">
        <v>87</v>
      </c>
    </row>
    <row r="46" customFormat="false" ht="15" hidden="false" customHeight="false" outlineLevel="0" collapsed="false">
      <c r="A46" s="3" t="s">
        <v>190</v>
      </c>
      <c r="B46" s="4" t="s">
        <v>191</v>
      </c>
      <c r="C46" s="19" t="n">
        <v>0.28</v>
      </c>
      <c r="D46" s="19" t="n">
        <v>0.32</v>
      </c>
      <c r="E46" s="19" t="n">
        <v>0.35</v>
      </c>
      <c r="F46" s="13" t="s">
        <v>99</v>
      </c>
      <c r="G46" s="4" t="s">
        <v>187</v>
      </c>
      <c r="H46" s="13" t="s">
        <v>92</v>
      </c>
      <c r="I46" s="20" t="n">
        <f aca="false">INDEX(C46:E46,$C$4)</f>
        <v>0.32</v>
      </c>
      <c r="J46" s="13" t="s">
        <v>87</v>
      </c>
    </row>
    <row r="47" customFormat="false" ht="15" hidden="false" customHeight="false" outlineLevel="0" collapsed="false">
      <c r="A47" s="3" t="s">
        <v>192</v>
      </c>
      <c r="B47" s="4" t="s">
        <v>193</v>
      </c>
      <c r="C47" s="19" t="n">
        <v>0.75</v>
      </c>
      <c r="D47" s="19" t="n">
        <v>0.8</v>
      </c>
      <c r="E47" s="19" t="n">
        <v>0.85</v>
      </c>
      <c r="F47" s="13" t="s">
        <v>99</v>
      </c>
      <c r="G47" s="4" t="s">
        <v>187</v>
      </c>
      <c r="H47" s="13" t="s">
        <v>92</v>
      </c>
      <c r="I47" s="20" t="n">
        <f aca="false">INDEX(C47:E47,$C$4)</f>
        <v>0.8</v>
      </c>
      <c r="J47" s="13" t="s">
        <v>87</v>
      </c>
    </row>
    <row r="48" customFormat="false" ht="15" hidden="false" customHeight="false" outlineLevel="0" collapsed="false">
      <c r="A48" s="3" t="s">
        <v>194</v>
      </c>
      <c r="B48" s="4" t="s">
        <v>195</v>
      </c>
      <c r="C48" s="19" t="n">
        <v>0.3</v>
      </c>
      <c r="D48" s="19" t="n">
        <v>0.38</v>
      </c>
      <c r="E48" s="19" t="n">
        <v>0.45</v>
      </c>
      <c r="F48" s="13" t="s">
        <v>99</v>
      </c>
      <c r="G48" s="4" t="s">
        <v>196</v>
      </c>
      <c r="H48" s="13" t="s">
        <v>92</v>
      </c>
      <c r="I48" s="20" t="n">
        <f aca="false">INDEX(C48:E48,$C$4)</f>
        <v>0.38</v>
      </c>
      <c r="J48" s="13" t="s">
        <v>87</v>
      </c>
    </row>
    <row r="49" customFormat="false" ht="15" hidden="false" customHeight="false" outlineLevel="0" collapsed="false">
      <c r="A49" s="3" t="s">
        <v>197</v>
      </c>
      <c r="B49" s="4" t="s">
        <v>198</v>
      </c>
      <c r="C49" s="19" t="n">
        <v>0.45</v>
      </c>
      <c r="D49" s="19" t="n">
        <v>0.55</v>
      </c>
      <c r="E49" s="19" t="n">
        <v>0.65</v>
      </c>
      <c r="F49" s="13" t="s">
        <v>99</v>
      </c>
      <c r="G49" s="4" t="s">
        <v>196</v>
      </c>
      <c r="H49" s="13" t="s">
        <v>92</v>
      </c>
      <c r="I49" s="20" t="n">
        <f aca="false">INDEX(C49:E49,$C$4)</f>
        <v>0.55</v>
      </c>
      <c r="J49" s="13" t="s">
        <v>87</v>
      </c>
    </row>
    <row r="50" customFormat="false" ht="15" hidden="false" customHeight="false" outlineLevel="0" collapsed="false">
      <c r="A50" s="3" t="s">
        <v>199</v>
      </c>
      <c r="B50" s="4" t="s">
        <v>200</v>
      </c>
      <c r="C50" s="19" t="n">
        <v>0.25</v>
      </c>
      <c r="D50" s="19" t="n">
        <v>0.3</v>
      </c>
      <c r="E50" s="19" t="n">
        <v>0.35</v>
      </c>
      <c r="F50" s="13" t="s">
        <v>99</v>
      </c>
      <c r="G50" s="4" t="s">
        <v>196</v>
      </c>
      <c r="H50" s="13" t="s">
        <v>92</v>
      </c>
      <c r="I50" s="20" t="n">
        <f aca="false">INDEX(C50:E50,$C$4)</f>
        <v>0.3</v>
      </c>
      <c r="J50" s="13" t="s">
        <v>87</v>
      </c>
    </row>
    <row r="51" customFormat="false" ht="15" hidden="false" customHeight="false" outlineLevel="0" collapsed="false">
      <c r="A51" s="3" t="s">
        <v>201</v>
      </c>
      <c r="B51" s="4" t="s">
        <v>202</v>
      </c>
      <c r="C51" s="19" t="n">
        <v>0.75</v>
      </c>
      <c r="D51" s="19" t="n">
        <v>0.8</v>
      </c>
      <c r="E51" s="19" t="n">
        <v>0.85</v>
      </c>
      <c r="F51" s="13" t="s">
        <v>99</v>
      </c>
      <c r="G51" s="4" t="s">
        <v>196</v>
      </c>
      <c r="H51" s="13" t="s">
        <v>92</v>
      </c>
      <c r="I51" s="20" t="n">
        <f aca="false">INDEX(C51:E51,$C$4)</f>
        <v>0.8</v>
      </c>
      <c r="J51" s="13" t="s">
        <v>87</v>
      </c>
    </row>
    <row r="52" customFormat="false" ht="15" hidden="false" customHeight="false" outlineLevel="0" collapsed="false">
      <c r="A52" s="3" t="s">
        <v>203</v>
      </c>
      <c r="B52" s="4" t="s">
        <v>204</v>
      </c>
      <c r="C52" s="19" t="n">
        <v>0.6</v>
      </c>
      <c r="D52" s="19" t="n">
        <v>0.7</v>
      </c>
      <c r="E52" s="19" t="n">
        <v>0.8</v>
      </c>
      <c r="F52" s="13" t="s">
        <v>99</v>
      </c>
      <c r="G52" s="4" t="s">
        <v>205</v>
      </c>
      <c r="H52" s="13" t="s">
        <v>92</v>
      </c>
      <c r="I52" s="20" t="n">
        <f aca="false">INDEX(C52:E52,$C$4)</f>
        <v>0.7</v>
      </c>
      <c r="J52" s="13" t="s">
        <v>87</v>
      </c>
    </row>
    <row r="53" customFormat="false" ht="15" hidden="false" customHeight="false" outlineLevel="0" collapsed="false">
      <c r="A53" s="3" t="s">
        <v>206</v>
      </c>
      <c r="B53" s="4" t="s">
        <v>207</v>
      </c>
      <c r="C53" s="19" t="n">
        <v>0.7</v>
      </c>
      <c r="D53" s="19" t="n">
        <v>0.75</v>
      </c>
      <c r="E53" s="19" t="n">
        <v>0.8</v>
      </c>
      <c r="F53" s="13" t="s">
        <v>99</v>
      </c>
      <c r="G53" s="4" t="s">
        <v>205</v>
      </c>
      <c r="H53" s="13" t="s">
        <v>92</v>
      </c>
      <c r="I53" s="20" t="n">
        <f aca="false">INDEX(C53:E53,$C$4)</f>
        <v>0.75</v>
      </c>
      <c r="J53" s="13" t="s">
        <v>87</v>
      </c>
    </row>
    <row r="54" customFormat="false" ht="15" hidden="false" customHeight="false" outlineLevel="0" collapsed="false">
      <c r="A54" s="3" t="s">
        <v>208</v>
      </c>
      <c r="B54" s="4" t="s">
        <v>209</v>
      </c>
      <c r="C54" s="19" t="n">
        <v>0.5</v>
      </c>
      <c r="D54" s="19" t="n">
        <v>0.55</v>
      </c>
      <c r="E54" s="19" t="n">
        <v>0.6</v>
      </c>
      <c r="F54" s="13" t="s">
        <v>99</v>
      </c>
      <c r="G54" s="4" t="s">
        <v>205</v>
      </c>
      <c r="H54" s="13" t="s">
        <v>92</v>
      </c>
      <c r="I54" s="20" t="n">
        <f aca="false">INDEX(C54:E54,$C$4)</f>
        <v>0.55</v>
      </c>
      <c r="J54" s="13" t="s">
        <v>87</v>
      </c>
    </row>
    <row r="55" customFormat="false" ht="15" hidden="false" customHeight="false" outlineLevel="0" collapsed="false">
      <c r="A55" s="3" t="s">
        <v>210</v>
      </c>
      <c r="B55" s="4" t="s">
        <v>211</v>
      </c>
      <c r="C55" s="19" t="n">
        <v>0.8</v>
      </c>
      <c r="D55" s="19" t="n">
        <v>0.87</v>
      </c>
      <c r="E55" s="19" t="n">
        <v>0.92</v>
      </c>
      <c r="F55" s="13" t="s">
        <v>99</v>
      </c>
      <c r="G55" s="4" t="s">
        <v>205</v>
      </c>
      <c r="H55" s="13" t="s">
        <v>92</v>
      </c>
      <c r="I55" s="20" t="n">
        <f aca="false">INDEX(C55:E55,$C$4)</f>
        <v>0.87</v>
      </c>
      <c r="J55" s="13" t="s">
        <v>87</v>
      </c>
    </row>
    <row r="56" customFormat="false" ht="15" hidden="false" customHeight="false" outlineLevel="0" collapsed="false">
      <c r="A56" s="3" t="s">
        <v>212</v>
      </c>
      <c r="B56" s="4" t="s">
        <v>213</v>
      </c>
      <c r="C56" s="19" t="n">
        <v>0.75</v>
      </c>
      <c r="D56" s="19" t="n">
        <v>0.82</v>
      </c>
      <c r="E56" s="19" t="n">
        <v>0.9</v>
      </c>
      <c r="F56" s="13" t="s">
        <v>99</v>
      </c>
      <c r="G56" s="4" t="s">
        <v>214</v>
      </c>
      <c r="H56" s="13" t="s">
        <v>92</v>
      </c>
      <c r="I56" s="20" t="n">
        <f aca="false">INDEX(C56:E56,$C$4)</f>
        <v>0.82</v>
      </c>
      <c r="J56" s="13" t="s">
        <v>87</v>
      </c>
    </row>
    <row r="57" customFormat="false" ht="15" hidden="false" customHeight="false" outlineLevel="0" collapsed="false">
      <c r="A57" s="3" t="s">
        <v>215</v>
      </c>
      <c r="B57" s="4" t="s">
        <v>216</v>
      </c>
      <c r="C57" s="19" t="n">
        <v>0.5</v>
      </c>
      <c r="D57" s="19" t="n">
        <v>0.65</v>
      </c>
      <c r="E57" s="19" t="n">
        <v>0.8</v>
      </c>
      <c r="F57" s="13" t="s">
        <v>99</v>
      </c>
      <c r="G57" s="4" t="s">
        <v>214</v>
      </c>
      <c r="H57" s="13" t="s">
        <v>92</v>
      </c>
      <c r="I57" s="20" t="n">
        <f aca="false">INDEX(C57:E57,$C$4)</f>
        <v>0.65</v>
      </c>
      <c r="J57" s="13" t="s">
        <v>87</v>
      </c>
    </row>
    <row r="58" customFormat="false" ht="15" hidden="false" customHeight="false" outlineLevel="0" collapsed="false">
      <c r="A58" s="3" t="s">
        <v>217</v>
      </c>
      <c r="B58" s="4" t="s">
        <v>218</v>
      </c>
      <c r="C58" s="19" t="n">
        <v>0.16</v>
      </c>
      <c r="D58" s="19" t="n">
        <v>0.2</v>
      </c>
      <c r="E58" s="19" t="n">
        <v>0.25</v>
      </c>
      <c r="F58" s="13" t="s">
        <v>99</v>
      </c>
      <c r="G58" s="4" t="s">
        <v>214</v>
      </c>
      <c r="H58" s="13" t="s">
        <v>92</v>
      </c>
      <c r="I58" s="20" t="n">
        <f aca="false">INDEX(C58:E58,$C$4)</f>
        <v>0.2</v>
      </c>
      <c r="J58" s="13" t="s">
        <v>87</v>
      </c>
    </row>
    <row r="59" customFormat="false" ht="28.35" hidden="false" customHeight="false" outlineLevel="0" collapsed="false">
      <c r="A59" s="3" t="s">
        <v>219</v>
      </c>
      <c r="B59" s="4" t="s">
        <v>220</v>
      </c>
      <c r="C59" s="25" t="n">
        <v>0.5</v>
      </c>
      <c r="D59" s="25" t="n">
        <v>0.67</v>
      </c>
      <c r="E59" s="25" t="n">
        <v>0.77</v>
      </c>
      <c r="F59" s="13" t="s">
        <v>221</v>
      </c>
      <c r="G59" s="4" t="s">
        <v>222</v>
      </c>
      <c r="H59" s="13" t="s">
        <v>92</v>
      </c>
      <c r="I59" s="26" t="n">
        <f aca="false">INDEX(C59:E59,$C$4)</f>
        <v>0.67</v>
      </c>
      <c r="J59" s="13" t="s">
        <v>87</v>
      </c>
    </row>
    <row r="60" customFormat="false" ht="28.35" hidden="false" customHeight="false" outlineLevel="0" collapsed="false">
      <c r="A60" s="3" t="s">
        <v>223</v>
      </c>
      <c r="B60" s="4" t="s">
        <v>224</v>
      </c>
      <c r="C60" s="25" t="n">
        <v>1.5</v>
      </c>
      <c r="D60" s="25" t="n">
        <v>1.25</v>
      </c>
      <c r="E60" s="25" t="n">
        <v>1</v>
      </c>
      <c r="F60" s="13" t="s">
        <v>221</v>
      </c>
      <c r="G60" s="4" t="s">
        <v>225</v>
      </c>
      <c r="H60" s="13" t="s">
        <v>92</v>
      </c>
      <c r="I60" s="26" t="n">
        <f aca="false">INDEX(C60:E60,$C$4)</f>
        <v>1.25</v>
      </c>
      <c r="J60" s="13" t="s">
        <v>87</v>
      </c>
    </row>
    <row r="61" customFormat="false" ht="15" hidden="false" customHeight="false" outlineLevel="0" collapsed="false">
      <c r="A61" s="3" t="s">
        <v>226</v>
      </c>
      <c r="B61" s="4" t="s">
        <v>227</v>
      </c>
      <c r="C61" s="19" t="n">
        <v>0.25</v>
      </c>
      <c r="D61" s="19" t="n">
        <v>0.35</v>
      </c>
      <c r="E61" s="19" t="n">
        <v>0.45</v>
      </c>
      <c r="F61" s="13" t="s">
        <v>99</v>
      </c>
      <c r="G61" s="4" t="s">
        <v>228</v>
      </c>
      <c r="H61" s="13" t="s">
        <v>92</v>
      </c>
      <c r="I61" s="20" t="n">
        <f aca="false">INDEX(C61:E61,$C$4)</f>
        <v>0.35</v>
      </c>
      <c r="J61" s="13" t="s">
        <v>87</v>
      </c>
    </row>
    <row r="62" customFormat="false" ht="15" hidden="false" customHeight="false" outlineLevel="0" collapsed="false">
      <c r="A62" s="3" t="s">
        <v>229</v>
      </c>
      <c r="B62" s="4" t="s">
        <v>230</v>
      </c>
      <c r="C62" s="19" t="n">
        <v>0.2</v>
      </c>
      <c r="D62" s="19" t="n">
        <v>0.3</v>
      </c>
      <c r="E62" s="19" t="n">
        <v>0.4</v>
      </c>
      <c r="F62" s="13" t="s">
        <v>99</v>
      </c>
      <c r="G62" s="4" t="s">
        <v>228</v>
      </c>
      <c r="H62" s="13" t="s">
        <v>92</v>
      </c>
      <c r="I62" s="20" t="n">
        <f aca="false">INDEX(C62:E62,$C$4)</f>
        <v>0.3</v>
      </c>
      <c r="J62" s="13" t="s">
        <v>87</v>
      </c>
    </row>
    <row r="63" customFormat="false" ht="15" hidden="false" customHeight="false" outlineLevel="0" collapsed="false">
      <c r="A63" s="3" t="s">
        <v>231</v>
      </c>
      <c r="B63" s="4" t="s">
        <v>232</v>
      </c>
      <c r="C63" s="19" t="n">
        <v>0.15</v>
      </c>
      <c r="D63" s="19" t="n">
        <v>0.25</v>
      </c>
      <c r="E63" s="19" t="n">
        <v>0.35</v>
      </c>
      <c r="F63" s="13" t="s">
        <v>99</v>
      </c>
      <c r="G63" s="4" t="s">
        <v>231</v>
      </c>
      <c r="H63" s="13" t="s">
        <v>92</v>
      </c>
      <c r="I63" s="20" t="n">
        <f aca="false">INDEX(C63:E63,$C$4)</f>
        <v>0.25</v>
      </c>
      <c r="J63" s="13" t="s">
        <v>87</v>
      </c>
    </row>
    <row r="64" customFormat="false" ht="15" hidden="false" customHeight="false" outlineLevel="0" collapsed="false">
      <c r="A64" s="3" t="s">
        <v>233</v>
      </c>
      <c r="B64" s="4" t="s">
        <v>234</v>
      </c>
      <c r="C64" s="19" t="n">
        <v>0.1</v>
      </c>
      <c r="D64" s="19" t="n">
        <v>0.17</v>
      </c>
      <c r="E64" s="19" t="n">
        <v>0.25</v>
      </c>
      <c r="F64" s="13" t="s">
        <v>99</v>
      </c>
      <c r="G64" s="4" t="s">
        <v>233</v>
      </c>
      <c r="H64" s="13" t="s">
        <v>92</v>
      </c>
      <c r="I64" s="20" t="n">
        <f aca="false">INDEX(C64:E64,$C$4)</f>
        <v>0.17</v>
      </c>
      <c r="J64" s="13" t="s">
        <v>87</v>
      </c>
    </row>
    <row r="65" customFormat="false" ht="15" hidden="false" customHeight="false" outlineLevel="0" collapsed="false">
      <c r="A65" s="3" t="s">
        <v>235</v>
      </c>
      <c r="B65" s="4" t="s">
        <v>236</v>
      </c>
      <c r="C65" s="19" t="n">
        <v>0.25</v>
      </c>
      <c r="D65" s="19" t="n">
        <v>0.3</v>
      </c>
      <c r="E65" s="19" t="n">
        <v>0.4</v>
      </c>
      <c r="F65" s="13" t="s">
        <v>99</v>
      </c>
      <c r="G65" s="4" t="s">
        <v>235</v>
      </c>
      <c r="H65" s="13" t="s">
        <v>92</v>
      </c>
      <c r="I65" s="20" t="n">
        <f aca="false">INDEX(C65:E65,$C$4)</f>
        <v>0.3</v>
      </c>
      <c r="J65" s="13" t="s">
        <v>87</v>
      </c>
    </row>
    <row r="66" customFormat="false" ht="15" hidden="false" customHeight="false" outlineLevel="0" collapsed="false">
      <c r="A66" s="3" t="s">
        <v>237</v>
      </c>
      <c r="B66" s="4" t="s">
        <v>238</v>
      </c>
      <c r="C66" s="19" t="n">
        <v>0.01</v>
      </c>
      <c r="D66" s="19" t="n">
        <v>0.03</v>
      </c>
      <c r="E66" s="19" t="n">
        <v>0.05</v>
      </c>
      <c r="F66" s="13" t="s">
        <v>99</v>
      </c>
      <c r="G66" s="4" t="s">
        <v>237</v>
      </c>
      <c r="H66" s="13" t="s">
        <v>92</v>
      </c>
      <c r="I66" s="20" t="n">
        <f aca="false">INDEX(C66:E66,$C$4)</f>
        <v>0.03</v>
      </c>
      <c r="J66" s="13" t="s">
        <v>87</v>
      </c>
    </row>
    <row r="67" customFormat="false" ht="15" hidden="false" customHeight="false" outlineLevel="0" collapsed="false">
      <c r="A67" s="3" t="s">
        <v>239</v>
      </c>
      <c r="B67" s="4" t="s">
        <v>240</v>
      </c>
      <c r="C67" s="19" t="n">
        <v>0.85</v>
      </c>
      <c r="D67" s="19" t="n">
        <v>0.9</v>
      </c>
      <c r="E67" s="19" t="n">
        <v>0.95</v>
      </c>
      <c r="F67" s="13" t="s">
        <v>99</v>
      </c>
      <c r="G67" s="4" t="s">
        <v>239</v>
      </c>
      <c r="H67" s="13" t="s">
        <v>92</v>
      </c>
      <c r="I67" s="20" t="n">
        <f aca="false">INDEX(C67:E67,$C$4)</f>
        <v>0.9</v>
      </c>
      <c r="J67" s="13" t="s">
        <v>87</v>
      </c>
    </row>
    <row r="68" customFormat="false" ht="15" hidden="false" customHeight="false" outlineLevel="0" collapsed="false">
      <c r="A68" s="3" t="s">
        <v>241</v>
      </c>
      <c r="B68" s="4" t="s">
        <v>242</v>
      </c>
      <c r="C68" s="23" t="n">
        <v>0.2</v>
      </c>
      <c r="D68" s="23" t="n">
        <v>0.4</v>
      </c>
      <c r="E68" s="23" t="n">
        <v>0.6</v>
      </c>
      <c r="F68" s="13" t="s">
        <v>243</v>
      </c>
      <c r="G68" s="4" t="s">
        <v>241</v>
      </c>
      <c r="H68" s="13" t="s">
        <v>92</v>
      </c>
      <c r="I68" s="24" t="n">
        <f aca="false">INDEX(C68:E68,$C$4)</f>
        <v>0.4</v>
      </c>
      <c r="J68" s="13" t="s">
        <v>87</v>
      </c>
    </row>
    <row r="69" customFormat="false" ht="15" hidden="false" customHeight="false" outlineLevel="0" collapsed="false">
      <c r="A69" s="3" t="s">
        <v>244</v>
      </c>
      <c r="B69" s="4" t="s">
        <v>245</v>
      </c>
      <c r="C69" s="17" t="n">
        <v>5000</v>
      </c>
      <c r="D69" s="17" t="n">
        <v>3000</v>
      </c>
      <c r="E69" s="17" t="n">
        <v>2000</v>
      </c>
      <c r="F69" s="13" t="s">
        <v>90</v>
      </c>
      <c r="G69" s="4" t="s">
        <v>246</v>
      </c>
      <c r="H69" s="13" t="s">
        <v>92</v>
      </c>
      <c r="I69" s="18" t="n">
        <f aca="false">INDEX(C69:E69,$C$4)</f>
        <v>3000</v>
      </c>
      <c r="J69" s="13" t="s">
        <v>87</v>
      </c>
    </row>
    <row r="70" customFormat="false" ht="15" hidden="false" customHeight="false" outlineLevel="0" collapsed="false">
      <c r="A70" s="3" t="s">
        <v>247</v>
      </c>
      <c r="B70" s="4" t="s">
        <v>248</v>
      </c>
      <c r="C70" s="19" t="n">
        <v>0.5</v>
      </c>
      <c r="D70" s="19" t="n">
        <v>0.35</v>
      </c>
      <c r="E70" s="19" t="n">
        <v>0.2</v>
      </c>
      <c r="F70" s="13" t="s">
        <v>99</v>
      </c>
      <c r="G70" s="4" t="s">
        <v>249</v>
      </c>
      <c r="H70" s="13" t="s">
        <v>92</v>
      </c>
      <c r="I70" s="20" t="n">
        <f aca="false">INDEX(C70:E70,$C$4)</f>
        <v>0.35</v>
      </c>
      <c r="J70" s="13" t="s">
        <v>87</v>
      </c>
    </row>
    <row r="71" customFormat="false" ht="15" hidden="false" customHeight="false" outlineLevel="0" collapsed="false">
      <c r="A71" s="3" t="s">
        <v>250</v>
      </c>
      <c r="B71" s="4" t="s">
        <v>251</v>
      </c>
      <c r="C71" s="19" t="n">
        <v>0.07</v>
      </c>
      <c r="D71" s="19" t="n">
        <v>0.05</v>
      </c>
      <c r="E71" s="19" t="n">
        <v>0.03</v>
      </c>
      <c r="F71" s="13" t="s">
        <v>99</v>
      </c>
      <c r="G71" s="4" t="s">
        <v>250</v>
      </c>
      <c r="H71" s="13" t="s">
        <v>92</v>
      </c>
      <c r="I71" s="20" t="n">
        <f aca="false">INDEX(C71:E71,$C$4)</f>
        <v>0.05</v>
      </c>
      <c r="J71" s="13" t="s">
        <v>87</v>
      </c>
    </row>
    <row r="72" customFormat="false" ht="15" hidden="false" customHeight="false" outlineLevel="0" collapsed="false">
      <c r="A72" s="3" t="s">
        <v>252</v>
      </c>
      <c r="B72" s="4" t="s">
        <v>253</v>
      </c>
      <c r="C72" s="19" t="n">
        <v>0.2</v>
      </c>
      <c r="D72" s="19" t="n">
        <v>0.3</v>
      </c>
      <c r="E72" s="19" t="n">
        <v>0.45</v>
      </c>
      <c r="F72" s="13" t="s">
        <v>99</v>
      </c>
      <c r="G72" s="4" t="s">
        <v>252</v>
      </c>
      <c r="H72" s="13" t="s">
        <v>92</v>
      </c>
      <c r="I72" s="20" t="n">
        <f aca="false">INDEX(C72:E72,$C$4)</f>
        <v>0.3</v>
      </c>
      <c r="J72" s="13" t="s">
        <v>87</v>
      </c>
    </row>
    <row r="73" customFormat="false" ht="15" hidden="false" customHeight="false" outlineLevel="0" collapsed="false">
      <c r="A73" s="3" t="s">
        <v>254</v>
      </c>
      <c r="B73" s="4" t="s">
        <v>255</v>
      </c>
      <c r="C73" s="19" t="n">
        <v>0.05</v>
      </c>
      <c r="D73" s="19" t="n">
        <v>0.1</v>
      </c>
      <c r="E73" s="19" t="n">
        <v>0.2</v>
      </c>
      <c r="F73" s="13" t="s">
        <v>99</v>
      </c>
      <c r="G73" s="4" t="s">
        <v>252</v>
      </c>
      <c r="H73" s="13" t="s">
        <v>92</v>
      </c>
      <c r="I73" s="20" t="n">
        <f aca="false">INDEX(C73:E73,$C$4)</f>
        <v>0.1</v>
      </c>
      <c r="J73" s="13" t="s">
        <v>87</v>
      </c>
    </row>
    <row r="74" customFormat="false" ht="15" hidden="false" customHeight="false" outlineLevel="0" collapsed="false">
      <c r="A74" s="3" t="s">
        <v>256</v>
      </c>
      <c r="B74" s="4" t="s">
        <v>257</v>
      </c>
      <c r="C74" s="19" t="n">
        <v>0.15</v>
      </c>
      <c r="D74" s="19" t="n">
        <v>0.25</v>
      </c>
      <c r="E74" s="19" t="n">
        <v>0.35</v>
      </c>
      <c r="F74" s="13" t="s">
        <v>99</v>
      </c>
      <c r="G74" s="4" t="s">
        <v>258</v>
      </c>
      <c r="H74" s="13" t="s">
        <v>92</v>
      </c>
      <c r="I74" s="20" t="n">
        <f aca="false">INDEX(C74:E74,$C$4)</f>
        <v>0.25</v>
      </c>
      <c r="J74" s="13" t="s">
        <v>87</v>
      </c>
    </row>
    <row r="75" customFormat="false" ht="15" hidden="false" customHeight="false" outlineLevel="0" collapsed="false">
      <c r="A75" s="3" t="s">
        <v>259</v>
      </c>
      <c r="B75" s="4" t="s">
        <v>260</v>
      </c>
      <c r="C75" s="15" t="n">
        <v>25</v>
      </c>
      <c r="D75" s="15" t="n">
        <v>30</v>
      </c>
      <c r="E75" s="15" t="n">
        <v>40</v>
      </c>
      <c r="F75" s="13" t="s">
        <v>261</v>
      </c>
      <c r="G75" s="4" t="s">
        <v>259</v>
      </c>
      <c r="H75" s="13" t="s">
        <v>92</v>
      </c>
      <c r="I75" s="16" t="n">
        <f aca="false">INDEX(C75:E75,$C$4)</f>
        <v>30</v>
      </c>
      <c r="J75" s="13" t="s">
        <v>87</v>
      </c>
    </row>
    <row r="76" customFormat="false" ht="15" hidden="false" customHeight="false" outlineLevel="0" collapsed="false">
      <c r="A76" s="3" t="s">
        <v>262</v>
      </c>
      <c r="B76" s="4" t="s">
        <v>263</v>
      </c>
      <c r="C76" s="19" t="n">
        <v>0.024</v>
      </c>
      <c r="D76" s="19" t="n">
        <v>0.02</v>
      </c>
      <c r="E76" s="19" t="n">
        <v>0.018</v>
      </c>
      <c r="F76" s="13" t="s">
        <v>99</v>
      </c>
      <c r="G76" s="4" t="s">
        <v>264</v>
      </c>
      <c r="H76" s="13" t="s">
        <v>265</v>
      </c>
      <c r="I76" s="20" t="n">
        <f aca="false">INDEX(C76:E76,$C$4)</f>
        <v>0.02</v>
      </c>
      <c r="J76" s="13" t="s">
        <v>87</v>
      </c>
    </row>
    <row r="77" customFormat="false" ht="28.35" hidden="false" customHeight="false" outlineLevel="0" collapsed="false">
      <c r="A77" s="3" t="s">
        <v>266</v>
      </c>
      <c r="B77" s="4" t="s">
        <v>267</v>
      </c>
      <c r="C77" s="15" t="n">
        <v>25</v>
      </c>
      <c r="D77" s="15" t="n">
        <v>40</v>
      </c>
      <c r="E77" s="15" t="n">
        <v>60</v>
      </c>
      <c r="F77" s="13" t="s">
        <v>268</v>
      </c>
      <c r="G77" s="4" t="s">
        <v>269</v>
      </c>
      <c r="H77" s="13" t="s">
        <v>92</v>
      </c>
      <c r="I77" s="16" t="n">
        <f aca="false">INDEX(C77:E77,$C$4)</f>
        <v>40</v>
      </c>
      <c r="J77" s="13" t="s">
        <v>87</v>
      </c>
    </row>
    <row r="78" customFormat="false" ht="28.35" hidden="false" customHeight="false" outlineLevel="0" collapsed="false">
      <c r="A78" s="3" t="s">
        <v>270</v>
      </c>
      <c r="B78" s="4" t="s">
        <v>271</v>
      </c>
      <c r="C78" s="15" t="n">
        <v>5</v>
      </c>
      <c r="D78" s="15" t="n">
        <v>8</v>
      </c>
      <c r="E78" s="15" t="n">
        <v>12</v>
      </c>
      <c r="F78" s="13" t="s">
        <v>268</v>
      </c>
      <c r="G78" s="4" t="s">
        <v>270</v>
      </c>
      <c r="H78" s="13" t="s">
        <v>92</v>
      </c>
      <c r="I78" s="16" t="n">
        <f aca="false">INDEX(C78:E78,$C$4)</f>
        <v>8</v>
      </c>
      <c r="J78" s="13" t="s">
        <v>87</v>
      </c>
    </row>
    <row r="79" customFormat="false" ht="15" hidden="false" customHeight="false" outlineLevel="0" collapsed="false">
      <c r="A79" s="3" t="s">
        <v>272</v>
      </c>
      <c r="B79" s="4" t="s">
        <v>273</v>
      </c>
      <c r="C79" s="17" t="n">
        <v>150</v>
      </c>
      <c r="D79" s="17" t="n">
        <v>100</v>
      </c>
      <c r="E79" s="17" t="n">
        <v>60</v>
      </c>
      <c r="F79" s="13" t="s">
        <v>274</v>
      </c>
      <c r="G79" s="4" t="s">
        <v>275</v>
      </c>
      <c r="H79" s="13" t="s">
        <v>92</v>
      </c>
      <c r="I79" s="18" t="n">
        <f aca="false">INDEX(C79:E79,$C$4)</f>
        <v>100</v>
      </c>
      <c r="J79" s="13" t="s">
        <v>87</v>
      </c>
    </row>
    <row r="80" customFormat="false" ht="28.35" hidden="false" customHeight="false" outlineLevel="0" collapsed="false">
      <c r="A80" s="3" t="s">
        <v>276</v>
      </c>
      <c r="B80" s="4" t="s">
        <v>277</v>
      </c>
      <c r="C80" s="23" t="n">
        <v>1</v>
      </c>
      <c r="D80" s="23" t="n">
        <v>1</v>
      </c>
      <c r="E80" s="23" t="n">
        <v>1</v>
      </c>
      <c r="F80" s="13" t="s">
        <v>278</v>
      </c>
      <c r="G80" s="4" t="s">
        <v>279</v>
      </c>
      <c r="H80" s="13" t="s">
        <v>92</v>
      </c>
      <c r="I80" s="24" t="n">
        <f aca="false">INDEX(C80:E80,$C$4)</f>
        <v>1</v>
      </c>
      <c r="J80" s="13" t="s">
        <v>87</v>
      </c>
    </row>
    <row r="81" customFormat="false" ht="15" hidden="false" customHeight="false" outlineLevel="0" collapsed="false">
      <c r="A81" s="3" t="s">
        <v>280</v>
      </c>
      <c r="B81" s="4" t="s">
        <v>281</v>
      </c>
      <c r="C81" s="15" t="n">
        <v>30</v>
      </c>
      <c r="D81" s="15" t="n">
        <v>30</v>
      </c>
      <c r="E81" s="15" t="n">
        <v>40</v>
      </c>
      <c r="F81" s="13" t="s">
        <v>282</v>
      </c>
      <c r="G81" s="4" t="s">
        <v>283</v>
      </c>
      <c r="H81" s="13" t="s">
        <v>92</v>
      </c>
      <c r="I81" s="16" t="n">
        <f aca="false">INDEX(C81:E81,$C$4)</f>
        <v>30</v>
      </c>
      <c r="J81" s="13" t="s">
        <v>87</v>
      </c>
    </row>
    <row r="82" customFormat="false" ht="15" hidden="false" customHeight="false" outlineLevel="0" collapsed="false">
      <c r="A82" s="3" t="s">
        <v>284</v>
      </c>
      <c r="B82" s="4" t="s">
        <v>285</v>
      </c>
      <c r="C82" s="15" t="n">
        <v>25</v>
      </c>
      <c r="D82" s="15" t="n">
        <v>32</v>
      </c>
      <c r="E82" s="15" t="n">
        <v>40</v>
      </c>
      <c r="F82" s="13" t="s">
        <v>286</v>
      </c>
      <c r="G82" s="4" t="s">
        <v>287</v>
      </c>
      <c r="H82" s="13" t="s">
        <v>92</v>
      </c>
      <c r="I82" s="16" t="n">
        <f aca="false">INDEX(C82:E82,$C$4)</f>
        <v>32</v>
      </c>
      <c r="J82" s="13" t="s">
        <v>87</v>
      </c>
    </row>
    <row r="83" customFormat="false" ht="15" hidden="false" customHeight="false" outlineLevel="0" collapsed="false">
      <c r="A83" s="3" t="s">
        <v>288</v>
      </c>
      <c r="B83" s="4" t="s">
        <v>289</v>
      </c>
      <c r="C83" s="17" t="n">
        <v>999</v>
      </c>
      <c r="D83" s="17" t="n">
        <v>1499</v>
      </c>
      <c r="E83" s="17" t="n">
        <v>1499</v>
      </c>
      <c r="F83" s="13" t="s">
        <v>90</v>
      </c>
      <c r="G83" s="4" t="s">
        <v>290</v>
      </c>
      <c r="H83" s="13" t="s">
        <v>92</v>
      </c>
      <c r="I83" s="18" t="n">
        <f aca="false">INDEX(C83:E83,$C$4)</f>
        <v>1499</v>
      </c>
      <c r="J83" s="13" t="s">
        <v>87</v>
      </c>
    </row>
    <row r="84" customFormat="false" ht="15" hidden="false" customHeight="false" outlineLevel="0" collapsed="false">
      <c r="A84" s="3" t="s">
        <v>291</v>
      </c>
      <c r="B84" s="4" t="s">
        <v>292</v>
      </c>
      <c r="C84" s="17" t="n">
        <v>60000</v>
      </c>
      <c r="D84" s="17" t="n">
        <v>52000</v>
      </c>
      <c r="E84" s="17" t="n">
        <v>45000</v>
      </c>
      <c r="F84" s="13" t="s">
        <v>293</v>
      </c>
      <c r="G84" s="4" t="s">
        <v>294</v>
      </c>
      <c r="H84" s="13" t="s">
        <v>92</v>
      </c>
      <c r="I84" s="18" t="n">
        <f aca="false">INDEX(C84:E84,$C$4)</f>
        <v>52000</v>
      </c>
      <c r="J84" s="13" t="s">
        <v>87</v>
      </c>
    </row>
    <row r="85" customFormat="false" ht="15" hidden="false" customHeight="false" outlineLevel="0" collapsed="false">
      <c r="A85" s="3" t="s">
        <v>295</v>
      </c>
      <c r="B85" s="4" t="s">
        <v>296</v>
      </c>
      <c r="C85" s="19" t="n">
        <v>0.08</v>
      </c>
      <c r="D85" s="19" t="n">
        <v>0.11</v>
      </c>
      <c r="E85" s="19" t="n">
        <v>0.15</v>
      </c>
      <c r="F85" s="13" t="s">
        <v>99</v>
      </c>
      <c r="G85" s="4" t="s">
        <v>297</v>
      </c>
      <c r="H85" s="13" t="s">
        <v>92</v>
      </c>
      <c r="I85" s="20" t="n">
        <f aca="false">INDEX(C85:E85,$C$4)</f>
        <v>0.11</v>
      </c>
      <c r="J85" s="13" t="s">
        <v>87</v>
      </c>
    </row>
    <row r="86" customFormat="false" ht="28.35" hidden="false" customHeight="false" outlineLevel="0" collapsed="false">
      <c r="A86" s="3" t="s">
        <v>298</v>
      </c>
      <c r="B86" s="4" t="s">
        <v>299</v>
      </c>
      <c r="C86" s="25" t="n">
        <v>0</v>
      </c>
      <c r="D86" s="25" t="n">
        <v>0.5</v>
      </c>
      <c r="E86" s="25" t="n">
        <v>1</v>
      </c>
      <c r="F86" s="13" t="s">
        <v>300</v>
      </c>
      <c r="G86" s="4" t="s">
        <v>301</v>
      </c>
      <c r="H86" s="13" t="s">
        <v>92</v>
      </c>
      <c r="I86" s="26" t="n">
        <f aca="false">INDEX(C86:E86,$C$4)</f>
        <v>0.5</v>
      </c>
      <c r="J86" s="13" t="s">
        <v>96</v>
      </c>
    </row>
    <row r="87" customFormat="false" ht="28.35" hidden="false" customHeight="false" outlineLevel="0" collapsed="false">
      <c r="A87" s="3" t="s">
        <v>302</v>
      </c>
      <c r="B87" s="4" t="s">
        <v>303</v>
      </c>
      <c r="C87" s="15" t="n">
        <v>3</v>
      </c>
      <c r="D87" s="15" t="n">
        <v>2</v>
      </c>
      <c r="E87" s="15" t="n">
        <v>1</v>
      </c>
      <c r="F87" s="13" t="s">
        <v>304</v>
      </c>
      <c r="G87" s="4" t="s">
        <v>305</v>
      </c>
      <c r="H87" s="13" t="s">
        <v>92</v>
      </c>
      <c r="I87" s="16" t="n">
        <f aca="false">INDEX(C87:E87,$C$4)</f>
        <v>2</v>
      </c>
      <c r="J87" s="13" t="s">
        <v>87</v>
      </c>
    </row>
    <row r="88" customFormat="false" ht="15" hidden="false" customHeight="false" outlineLevel="0" collapsed="false">
      <c r="A88" s="3" t="s">
        <v>306</v>
      </c>
      <c r="B88" s="4" t="s">
        <v>307</v>
      </c>
      <c r="C88" s="23" t="n">
        <v>0.3</v>
      </c>
      <c r="D88" s="23" t="n">
        <v>0.5</v>
      </c>
      <c r="E88" s="23" t="n">
        <v>0.8</v>
      </c>
      <c r="F88" s="13" t="s">
        <v>308</v>
      </c>
      <c r="G88" s="4" t="s">
        <v>309</v>
      </c>
      <c r="H88" s="13" t="s">
        <v>92</v>
      </c>
      <c r="I88" s="24" t="n">
        <f aca="false">INDEX(C88:E88,$C$4)</f>
        <v>0.5</v>
      </c>
      <c r="J88" s="13" t="s">
        <v>87</v>
      </c>
    </row>
    <row r="89" customFormat="false" ht="15" hidden="false" customHeight="false" outlineLevel="0" collapsed="false">
      <c r="A89" s="3" t="s">
        <v>310</v>
      </c>
      <c r="B89" s="4" t="s">
        <v>311</v>
      </c>
      <c r="C89" s="19" t="n">
        <v>0.25</v>
      </c>
      <c r="D89" s="19" t="n">
        <v>0.3</v>
      </c>
      <c r="E89" s="19" t="n">
        <v>0.4</v>
      </c>
      <c r="F89" s="13" t="s">
        <v>99</v>
      </c>
      <c r="G89" s="4" t="s">
        <v>312</v>
      </c>
      <c r="H89" s="13" t="s">
        <v>92</v>
      </c>
      <c r="I89" s="20" t="n">
        <f aca="false">INDEX(C89:E89,$C$4)</f>
        <v>0.3</v>
      </c>
      <c r="J89" s="13" t="s">
        <v>87</v>
      </c>
    </row>
    <row r="90" customFormat="false" ht="28.35" hidden="false" customHeight="false" outlineLevel="0" collapsed="false">
      <c r="A90" s="3" t="s">
        <v>313</v>
      </c>
      <c r="B90" s="4" t="s">
        <v>314</v>
      </c>
      <c r="C90" s="17" t="n">
        <v>600</v>
      </c>
      <c r="D90" s="17" t="n">
        <v>960</v>
      </c>
      <c r="E90" s="17" t="n">
        <v>1400</v>
      </c>
      <c r="F90" s="13" t="s">
        <v>315</v>
      </c>
      <c r="G90" s="4" t="s">
        <v>316</v>
      </c>
      <c r="H90" s="13" t="s">
        <v>92</v>
      </c>
      <c r="I90" s="18" t="n">
        <f aca="false">INDEX(C90:E90,$C$4)</f>
        <v>960</v>
      </c>
      <c r="J90" s="13" t="s">
        <v>87</v>
      </c>
    </row>
    <row r="91" customFormat="false" ht="15" hidden="false" customHeight="false" outlineLevel="0" collapsed="false">
      <c r="A91" s="3" t="s">
        <v>317</v>
      </c>
      <c r="B91" s="4" t="s">
        <v>318</v>
      </c>
      <c r="C91" s="17" t="n">
        <v>7000</v>
      </c>
      <c r="D91" s="17" t="n">
        <v>6000</v>
      </c>
      <c r="E91" s="17" t="n">
        <v>5000</v>
      </c>
      <c r="F91" s="13" t="s">
        <v>106</v>
      </c>
      <c r="G91" s="4" t="s">
        <v>319</v>
      </c>
      <c r="H91" s="13" t="s">
        <v>92</v>
      </c>
      <c r="I91" s="18" t="n">
        <f aca="false">INDEX(C91:E91,$C$4)</f>
        <v>6000</v>
      </c>
      <c r="J91" s="13" t="s">
        <v>87</v>
      </c>
    </row>
    <row r="92" customFormat="false" ht="15" hidden="false" customHeight="false" outlineLevel="0" collapsed="false">
      <c r="A92" s="3" t="s">
        <v>320</v>
      </c>
      <c r="B92" s="4" t="s">
        <v>321</v>
      </c>
      <c r="C92" s="17" t="n">
        <v>2500</v>
      </c>
      <c r="D92" s="17" t="n">
        <v>2000</v>
      </c>
      <c r="E92" s="17" t="n">
        <v>1500</v>
      </c>
      <c r="F92" s="13" t="s">
        <v>106</v>
      </c>
      <c r="G92" s="4" t="s">
        <v>322</v>
      </c>
      <c r="H92" s="13" t="s">
        <v>92</v>
      </c>
      <c r="I92" s="18" t="n">
        <f aca="false">INDEX(C92:E92,$C$4)</f>
        <v>2000</v>
      </c>
      <c r="J92" s="13" t="s">
        <v>87</v>
      </c>
    </row>
    <row r="93" customFormat="false" ht="28.35" hidden="false" customHeight="false" outlineLevel="0" collapsed="false">
      <c r="A93" s="3" t="s">
        <v>323</v>
      </c>
      <c r="B93" s="4" t="s">
        <v>324</v>
      </c>
      <c r="C93" s="17" t="n">
        <v>9000</v>
      </c>
      <c r="D93" s="17" t="n">
        <v>7500</v>
      </c>
      <c r="E93" s="17" t="n">
        <v>6000</v>
      </c>
      <c r="F93" s="13" t="s">
        <v>106</v>
      </c>
      <c r="G93" s="4" t="s">
        <v>325</v>
      </c>
      <c r="H93" s="13" t="s">
        <v>92</v>
      </c>
      <c r="I93" s="18" t="n">
        <f aca="false">INDEX(C93:E93,$C$4)</f>
        <v>7500</v>
      </c>
      <c r="J93" s="13" t="s">
        <v>87</v>
      </c>
    </row>
    <row r="94" customFormat="false" ht="15" hidden="false" customHeight="false" outlineLevel="0" collapsed="false">
      <c r="A94" s="3" t="s">
        <v>326</v>
      </c>
      <c r="B94" s="4" t="s">
        <v>327</v>
      </c>
      <c r="C94" s="17" t="n">
        <v>1200</v>
      </c>
      <c r="D94" s="17" t="n">
        <v>1000</v>
      </c>
      <c r="E94" s="17" t="n">
        <v>800</v>
      </c>
      <c r="F94" s="13" t="s">
        <v>328</v>
      </c>
      <c r="G94" s="4" t="s">
        <v>329</v>
      </c>
      <c r="H94" s="13" t="s">
        <v>92</v>
      </c>
      <c r="I94" s="18" t="n">
        <f aca="false">INDEX(C94:E94,$C$4)</f>
        <v>1000</v>
      </c>
      <c r="J94" s="13" t="s">
        <v>87</v>
      </c>
    </row>
    <row r="95" customFormat="false" ht="15" hidden="false" customHeight="false" outlineLevel="0" collapsed="false">
      <c r="A95" s="3" t="s">
        <v>330</v>
      </c>
      <c r="B95" s="4" t="s">
        <v>331</v>
      </c>
      <c r="C95" s="17" t="n">
        <v>500</v>
      </c>
      <c r="D95" s="17" t="n">
        <v>400</v>
      </c>
      <c r="E95" s="17" t="n">
        <v>300</v>
      </c>
      <c r="F95" s="13" t="s">
        <v>328</v>
      </c>
      <c r="G95" s="4" t="s">
        <v>329</v>
      </c>
      <c r="H95" s="13" t="s">
        <v>92</v>
      </c>
      <c r="I95" s="18" t="n">
        <f aca="false">INDEX(C95:E95,$C$4)</f>
        <v>400</v>
      </c>
      <c r="J95" s="13" t="s">
        <v>87</v>
      </c>
    </row>
    <row r="96" customFormat="false" ht="28.35" hidden="false" customHeight="false" outlineLevel="0" collapsed="false">
      <c r="A96" s="3" t="s">
        <v>332</v>
      </c>
      <c r="B96" s="4" t="s">
        <v>333</v>
      </c>
      <c r="C96" s="17" t="n">
        <v>300</v>
      </c>
      <c r="D96" s="17" t="n">
        <v>250</v>
      </c>
      <c r="E96" s="17" t="n">
        <v>200</v>
      </c>
      <c r="F96" s="13" t="s">
        <v>166</v>
      </c>
      <c r="G96" s="4" t="s">
        <v>329</v>
      </c>
      <c r="H96" s="13" t="s">
        <v>92</v>
      </c>
      <c r="I96" s="18" t="n">
        <f aca="false">INDEX(C96:E96,$C$4)</f>
        <v>250</v>
      </c>
      <c r="J96" s="13" t="s">
        <v>87</v>
      </c>
    </row>
    <row r="97" customFormat="false" ht="15" hidden="false" customHeight="false" outlineLevel="0" collapsed="false">
      <c r="A97" s="3" t="s">
        <v>334</v>
      </c>
      <c r="B97" s="4" t="s">
        <v>335</v>
      </c>
      <c r="C97" s="17" t="n">
        <v>2500</v>
      </c>
      <c r="D97" s="17" t="n">
        <v>2000</v>
      </c>
      <c r="E97" s="17" t="n">
        <v>1500</v>
      </c>
      <c r="F97" s="13" t="s">
        <v>336</v>
      </c>
      <c r="G97" s="4" t="s">
        <v>337</v>
      </c>
      <c r="H97" s="13" t="s">
        <v>92</v>
      </c>
      <c r="I97" s="18" t="n">
        <f aca="false">INDEX(C97:E97,$C$4)</f>
        <v>2000</v>
      </c>
      <c r="J97" s="13" t="s">
        <v>87</v>
      </c>
    </row>
    <row r="98" customFormat="false" ht="15" hidden="false" customHeight="false" outlineLevel="0" collapsed="false">
      <c r="A98" s="3" t="s">
        <v>338</v>
      </c>
      <c r="B98" s="4" t="s">
        <v>339</v>
      </c>
      <c r="C98" s="17" t="n">
        <v>75000</v>
      </c>
      <c r="D98" s="17" t="n">
        <v>60000</v>
      </c>
      <c r="E98" s="17" t="n">
        <v>55000</v>
      </c>
      <c r="F98" s="13" t="s">
        <v>340</v>
      </c>
      <c r="G98" s="4" t="s">
        <v>341</v>
      </c>
      <c r="H98" s="13" t="s">
        <v>92</v>
      </c>
      <c r="I98" s="18" t="n">
        <f aca="false">INDEX(C98:E98,$C$4)</f>
        <v>60000</v>
      </c>
      <c r="J98" s="13" t="s">
        <v>87</v>
      </c>
    </row>
    <row r="99" customFormat="false" ht="15" hidden="false" customHeight="false" outlineLevel="0" collapsed="false">
      <c r="A99" s="3" t="s">
        <v>342</v>
      </c>
      <c r="B99" s="4" t="s">
        <v>343</v>
      </c>
      <c r="C99" s="17" t="n">
        <v>45000</v>
      </c>
      <c r="D99" s="17" t="n">
        <v>38000</v>
      </c>
      <c r="E99" s="17" t="n">
        <v>32000</v>
      </c>
      <c r="F99" s="13" t="s">
        <v>340</v>
      </c>
      <c r="G99" s="4" t="s">
        <v>344</v>
      </c>
      <c r="H99" s="13" t="s">
        <v>92</v>
      </c>
      <c r="I99" s="18" t="n">
        <f aca="false">INDEX(C99:E99,$C$4)</f>
        <v>38000</v>
      </c>
      <c r="J99" s="13" t="s">
        <v>87</v>
      </c>
    </row>
    <row r="100" customFormat="false" ht="15" hidden="false" customHeight="false" outlineLevel="0" collapsed="false">
      <c r="A100" s="3" t="s">
        <v>345</v>
      </c>
      <c r="B100" s="4" t="s">
        <v>346</v>
      </c>
      <c r="C100" s="17" t="n">
        <v>20000</v>
      </c>
      <c r="D100" s="17" t="n">
        <v>18000</v>
      </c>
      <c r="E100" s="17" t="n">
        <v>16000</v>
      </c>
      <c r="F100" s="13" t="s">
        <v>340</v>
      </c>
      <c r="G100" s="4" t="s">
        <v>347</v>
      </c>
      <c r="H100" s="13" t="s">
        <v>92</v>
      </c>
      <c r="I100" s="18" t="n">
        <f aca="false">INDEX(C100:E100,$C$4)</f>
        <v>18000</v>
      </c>
      <c r="J100" s="13" t="s">
        <v>87</v>
      </c>
    </row>
    <row r="101" customFormat="false" ht="15" hidden="false" customHeight="false" outlineLevel="0" collapsed="false">
      <c r="A101" s="3" t="s">
        <v>348</v>
      </c>
      <c r="B101" s="4" t="s">
        <v>349</v>
      </c>
      <c r="C101" s="15" t="n">
        <v>2</v>
      </c>
      <c r="D101" s="15" t="n">
        <v>2</v>
      </c>
      <c r="E101" s="15" t="n">
        <v>2</v>
      </c>
      <c r="F101" s="13" t="s">
        <v>350</v>
      </c>
      <c r="G101" s="4" t="s">
        <v>329</v>
      </c>
      <c r="H101" s="13" t="s">
        <v>92</v>
      </c>
      <c r="I101" s="16" t="n">
        <f aca="false">INDEX(C101:E101,$C$4)</f>
        <v>2</v>
      </c>
      <c r="J101" s="13" t="s">
        <v>87</v>
      </c>
    </row>
    <row r="102" customFormat="false" ht="28.35" hidden="false" customHeight="false" outlineLevel="0" collapsed="false">
      <c r="A102" s="3" t="s">
        <v>351</v>
      </c>
      <c r="B102" s="4" t="s">
        <v>352</v>
      </c>
      <c r="C102" s="23" t="n">
        <v>8</v>
      </c>
      <c r="D102" s="23" t="n">
        <v>10</v>
      </c>
      <c r="E102" s="23" t="n">
        <v>11</v>
      </c>
      <c r="F102" s="13" t="s">
        <v>353</v>
      </c>
      <c r="G102" s="4" t="s">
        <v>354</v>
      </c>
      <c r="H102" s="13" t="s">
        <v>92</v>
      </c>
      <c r="I102" s="24" t="n">
        <f aca="false">INDEX(C102:E102,$C$4)</f>
        <v>10</v>
      </c>
      <c r="J102" s="13" t="s">
        <v>87</v>
      </c>
    </row>
    <row r="103" customFormat="false" ht="15" hidden="false" customHeight="false" outlineLevel="0" collapsed="false">
      <c r="A103" s="3" t="s">
        <v>355</v>
      </c>
      <c r="B103" s="4" t="s">
        <v>356</v>
      </c>
      <c r="C103" s="23" t="n">
        <v>3</v>
      </c>
      <c r="D103" s="23" t="n">
        <v>3</v>
      </c>
      <c r="E103" s="23" t="n">
        <v>3</v>
      </c>
      <c r="F103" s="13" t="s">
        <v>357</v>
      </c>
      <c r="G103" s="4" t="s">
        <v>358</v>
      </c>
      <c r="H103" s="13" t="s">
        <v>359</v>
      </c>
      <c r="I103" s="24" t="n">
        <f aca="false">INDEX(C103:E103,$C$4)</f>
        <v>3</v>
      </c>
      <c r="J103" s="13" t="s">
        <v>87</v>
      </c>
    </row>
    <row r="104" customFormat="false" ht="28.35" hidden="false" customHeight="false" outlineLevel="0" collapsed="false">
      <c r="A104" s="3" t="s">
        <v>360</v>
      </c>
      <c r="B104" s="4" t="s">
        <v>361</v>
      </c>
      <c r="C104" s="23" t="n">
        <v>2.5</v>
      </c>
      <c r="D104" s="23" t="n">
        <v>2.5</v>
      </c>
      <c r="E104" s="23" t="n">
        <v>2.5</v>
      </c>
      <c r="F104" s="13" t="s">
        <v>357</v>
      </c>
      <c r="G104" s="4" t="s">
        <v>362</v>
      </c>
      <c r="H104" s="13" t="s">
        <v>359</v>
      </c>
      <c r="I104" s="24" t="n">
        <f aca="false">INDEX(C104:E104,$C$4)</f>
        <v>2.5</v>
      </c>
      <c r="J104" s="13" t="s">
        <v>87</v>
      </c>
    </row>
    <row r="105" customFormat="false" ht="28.35" hidden="false" customHeight="false" outlineLevel="0" collapsed="false">
      <c r="A105" s="3" t="s">
        <v>363</v>
      </c>
      <c r="B105" s="4" t="s">
        <v>364</v>
      </c>
      <c r="C105" s="15" t="n">
        <v>10</v>
      </c>
      <c r="D105" s="15" t="n">
        <v>7</v>
      </c>
      <c r="E105" s="15" t="n">
        <v>5</v>
      </c>
      <c r="F105" s="13" t="s">
        <v>365</v>
      </c>
      <c r="G105" s="4" t="s">
        <v>366</v>
      </c>
      <c r="H105" s="13" t="s">
        <v>92</v>
      </c>
      <c r="I105" s="16" t="n">
        <f aca="false">INDEX(C105:E105,$C$4)</f>
        <v>7</v>
      </c>
      <c r="J105" s="13" t="s">
        <v>87</v>
      </c>
    </row>
    <row r="106" customFormat="false" ht="28.35" hidden="false" customHeight="false" outlineLevel="0" collapsed="false">
      <c r="A106" s="3" t="s">
        <v>367</v>
      </c>
      <c r="B106" s="4" t="s">
        <v>368</v>
      </c>
      <c r="C106" s="15" t="n">
        <v>4</v>
      </c>
      <c r="D106" s="15" t="n">
        <v>3</v>
      </c>
      <c r="E106" s="15" t="n">
        <v>2</v>
      </c>
      <c r="F106" s="13" t="s">
        <v>365</v>
      </c>
      <c r="G106" s="4" t="s">
        <v>369</v>
      </c>
      <c r="H106" s="13" t="s">
        <v>92</v>
      </c>
      <c r="I106" s="16" t="n">
        <f aca="false">INDEX(C106:E106,$C$4)</f>
        <v>3</v>
      </c>
      <c r="J106" s="13" t="s">
        <v>96</v>
      </c>
    </row>
    <row r="107" customFormat="false" ht="15" hidden="false" customHeight="false" outlineLevel="0" collapsed="false">
      <c r="A107" s="3" t="s">
        <v>370</v>
      </c>
      <c r="B107" s="4" t="s">
        <v>371</v>
      </c>
      <c r="C107" s="17" t="n">
        <v>8000</v>
      </c>
      <c r="D107" s="17" t="n">
        <v>18000</v>
      </c>
      <c r="E107" s="17" t="n">
        <v>30000</v>
      </c>
      <c r="F107" s="13" t="s">
        <v>340</v>
      </c>
      <c r="G107" s="4" t="s">
        <v>372</v>
      </c>
      <c r="H107" s="13" t="s">
        <v>359</v>
      </c>
      <c r="I107" s="18" t="n">
        <f aca="false">INDEX(C107:E107,$C$4)</f>
        <v>18000</v>
      </c>
      <c r="J107" s="13" t="s">
        <v>96</v>
      </c>
    </row>
    <row r="108" customFormat="false" ht="15" hidden="false" customHeight="false" outlineLevel="0" collapsed="false">
      <c r="A108" s="3" t="s">
        <v>373</v>
      </c>
      <c r="B108" s="4" t="s">
        <v>374</v>
      </c>
      <c r="C108" s="17" t="n">
        <v>20000</v>
      </c>
      <c r="D108" s="17" t="n">
        <v>25000</v>
      </c>
      <c r="E108" s="17" t="n">
        <v>25000</v>
      </c>
      <c r="F108" s="13" t="s">
        <v>340</v>
      </c>
      <c r="G108" s="4" t="s">
        <v>375</v>
      </c>
      <c r="H108" s="13" t="s">
        <v>359</v>
      </c>
      <c r="I108" s="18" t="n">
        <f aca="false">INDEX(C108:E108,$C$4)</f>
        <v>25000</v>
      </c>
      <c r="J108" s="13" t="s">
        <v>96</v>
      </c>
    </row>
    <row r="109" customFormat="false" ht="28.35" hidden="false" customHeight="false" outlineLevel="0" collapsed="false">
      <c r="A109" s="3" t="s">
        <v>376</v>
      </c>
      <c r="B109" s="4" t="s">
        <v>377</v>
      </c>
      <c r="C109" s="17" t="n">
        <v>0</v>
      </c>
      <c r="D109" s="17" t="n">
        <v>35000</v>
      </c>
      <c r="E109" s="17" t="n">
        <v>75000</v>
      </c>
      <c r="F109" s="13" t="s">
        <v>340</v>
      </c>
      <c r="G109" s="4" t="s">
        <v>378</v>
      </c>
      <c r="H109" s="13" t="s">
        <v>359</v>
      </c>
      <c r="I109" s="18" t="n">
        <f aca="false">INDEX(C109:E109,$C$4)</f>
        <v>35000</v>
      </c>
      <c r="J109" s="13" t="s">
        <v>96</v>
      </c>
    </row>
    <row r="110" customFormat="false" ht="15" hidden="false" customHeight="false" outlineLevel="0" collapsed="false">
      <c r="A110" s="3" t="s">
        <v>379</v>
      </c>
      <c r="B110" s="4" t="s">
        <v>380</v>
      </c>
      <c r="C110" s="17" t="n">
        <v>12000</v>
      </c>
      <c r="D110" s="17" t="n">
        <v>20000</v>
      </c>
      <c r="E110" s="17" t="n">
        <v>25000</v>
      </c>
      <c r="F110" s="13" t="s">
        <v>340</v>
      </c>
      <c r="G110" s="4" t="s">
        <v>378</v>
      </c>
      <c r="H110" s="13" t="s">
        <v>359</v>
      </c>
      <c r="I110" s="18" t="n">
        <f aca="false">INDEX(C110:E110,$C$4)</f>
        <v>20000</v>
      </c>
      <c r="J110" s="13" t="s">
        <v>96</v>
      </c>
    </row>
    <row r="111" customFormat="false" ht="15" hidden="false" customHeight="false" outlineLevel="0" collapsed="false">
      <c r="A111" s="3" t="s">
        <v>381</v>
      </c>
      <c r="B111" s="4" t="s">
        <v>382</v>
      </c>
      <c r="C111" s="17" t="n">
        <v>0</v>
      </c>
      <c r="D111" s="17" t="n">
        <v>20000</v>
      </c>
      <c r="E111" s="17" t="n">
        <v>35000</v>
      </c>
      <c r="F111" s="13" t="s">
        <v>340</v>
      </c>
      <c r="G111" s="4" t="s">
        <v>378</v>
      </c>
      <c r="H111" s="13" t="s">
        <v>359</v>
      </c>
      <c r="I111" s="18" t="n">
        <f aca="false">INDEX(C111:E111,$C$4)</f>
        <v>20000</v>
      </c>
      <c r="J111" s="13" t="s">
        <v>96</v>
      </c>
    </row>
    <row r="112" customFormat="false" ht="15" hidden="false" customHeight="false" outlineLevel="0" collapsed="false">
      <c r="A112" s="3" t="s">
        <v>383</v>
      </c>
      <c r="B112" s="4" t="s">
        <v>384</v>
      </c>
      <c r="C112" s="17" t="n">
        <v>50000</v>
      </c>
      <c r="D112" s="17" t="n">
        <v>120000</v>
      </c>
      <c r="E112" s="17" t="n">
        <v>250000</v>
      </c>
      <c r="F112" s="13" t="s">
        <v>90</v>
      </c>
      <c r="G112" s="4" t="s">
        <v>378</v>
      </c>
      <c r="H112" s="13" t="s">
        <v>359</v>
      </c>
      <c r="I112" s="18" t="n">
        <f aca="false">INDEX(C112:E112,$C$4)</f>
        <v>120000</v>
      </c>
      <c r="J112" s="13" t="s">
        <v>96</v>
      </c>
    </row>
    <row r="113" customFormat="false" ht="15" hidden="false" customHeight="false" outlineLevel="0" collapsed="false">
      <c r="A113" s="3" t="s">
        <v>385</v>
      </c>
      <c r="B113" s="4" t="s">
        <v>386</v>
      </c>
      <c r="C113" s="17" t="n">
        <v>0</v>
      </c>
      <c r="D113" s="17" t="n">
        <v>15000</v>
      </c>
      <c r="E113" s="17" t="n">
        <v>25000</v>
      </c>
      <c r="F113" s="13" t="s">
        <v>340</v>
      </c>
      <c r="G113" s="4" t="s">
        <v>378</v>
      </c>
      <c r="H113" s="13" t="s">
        <v>359</v>
      </c>
      <c r="I113" s="18" t="n">
        <f aca="false">INDEX(C113:E113,$C$4)</f>
        <v>15000</v>
      </c>
      <c r="J113" s="13" t="s">
        <v>96</v>
      </c>
    </row>
    <row r="114" customFormat="false" ht="15" hidden="false" customHeight="false" outlineLevel="0" collapsed="false">
      <c r="A114" s="10" t="s">
        <v>387</v>
      </c>
      <c r="B114" s="11"/>
      <c r="C114" s="11"/>
      <c r="D114" s="11"/>
      <c r="E114" s="11"/>
      <c r="F114" s="11"/>
      <c r="G114" s="11"/>
      <c r="H114" s="11"/>
      <c r="I114" s="11"/>
    </row>
    <row r="115" customFormat="false" ht="28.35" hidden="false" customHeight="false" outlineLevel="0" collapsed="false">
      <c r="A115" s="3" t="s">
        <v>388</v>
      </c>
      <c r="B115" s="4" t="s">
        <v>389</v>
      </c>
      <c r="C115" s="17" t="n">
        <v>16680</v>
      </c>
      <c r="D115" s="17" t="n">
        <v>4826</v>
      </c>
      <c r="E115" s="17" t="n">
        <v>1422</v>
      </c>
      <c r="F115" s="13" t="s">
        <v>390</v>
      </c>
      <c r="G115" s="4" t="s">
        <v>391</v>
      </c>
      <c r="H115" s="13" t="s">
        <v>392</v>
      </c>
      <c r="I115" s="18" t="n">
        <f aca="false">INDEX(C115:E115,$C$4)</f>
        <v>4826</v>
      </c>
      <c r="J115" s="13" t="s">
        <v>87</v>
      </c>
    </row>
    <row r="116" customFormat="false" ht="28.35" hidden="false" customHeight="false" outlineLevel="0" collapsed="false">
      <c r="A116" s="3" t="s">
        <v>393</v>
      </c>
      <c r="B116" s="4" t="s">
        <v>394</v>
      </c>
      <c r="C116" s="17" t="n">
        <v>64548</v>
      </c>
      <c r="D116" s="17" t="n">
        <v>37633</v>
      </c>
      <c r="E116" s="17" t="n">
        <v>9387</v>
      </c>
      <c r="F116" s="13" t="s">
        <v>340</v>
      </c>
      <c r="G116" s="4" t="s">
        <v>395</v>
      </c>
      <c r="H116" s="13" t="s">
        <v>392</v>
      </c>
      <c r="I116" s="18" t="n">
        <f aca="false">INDEX(C116:E116,$C$4)</f>
        <v>37633</v>
      </c>
      <c r="J116" s="13" t="s">
        <v>87</v>
      </c>
    </row>
    <row r="117" customFormat="false" ht="28.35" hidden="false" customHeight="false" outlineLevel="0" collapsed="false">
      <c r="A117" s="3" t="s">
        <v>396</v>
      </c>
      <c r="B117" s="4" t="s">
        <v>397</v>
      </c>
      <c r="C117" s="17" t="n">
        <v>1400</v>
      </c>
      <c r="D117" s="17" t="n">
        <v>300</v>
      </c>
      <c r="E117" s="17" t="n">
        <v>43</v>
      </c>
      <c r="F117" s="13" t="s">
        <v>328</v>
      </c>
      <c r="G117" s="4" t="s">
        <v>398</v>
      </c>
      <c r="H117" s="13" t="s">
        <v>392</v>
      </c>
      <c r="I117" s="18" t="n">
        <f aca="false">INDEX(C117:E117,$C$4)</f>
        <v>300</v>
      </c>
      <c r="J117" s="13" t="s">
        <v>87</v>
      </c>
    </row>
    <row r="118" customFormat="false" ht="28.35" hidden="false" customHeight="false" outlineLevel="0" collapsed="false">
      <c r="A118" s="3" t="s">
        <v>399</v>
      </c>
      <c r="B118" s="4" t="s">
        <v>400</v>
      </c>
      <c r="C118" s="17" t="n">
        <v>3200</v>
      </c>
      <c r="D118" s="17" t="n">
        <v>706</v>
      </c>
      <c r="E118" s="17" t="n">
        <v>160</v>
      </c>
      <c r="F118" s="13" t="s">
        <v>328</v>
      </c>
      <c r="G118" s="4" t="s">
        <v>398</v>
      </c>
      <c r="H118" s="13" t="s">
        <v>392</v>
      </c>
      <c r="I118" s="18" t="n">
        <f aca="false">INDEX(C118:E118,$C$4)</f>
        <v>706</v>
      </c>
      <c r="J118" s="13" t="s">
        <v>87</v>
      </c>
    </row>
    <row r="119" customFormat="false" ht="28.35" hidden="false" customHeight="false" outlineLevel="0" collapsed="false">
      <c r="A119" s="3" t="s">
        <v>401</v>
      </c>
      <c r="B119" s="4" t="s">
        <v>402</v>
      </c>
      <c r="C119" s="19" t="n">
        <v>0.7</v>
      </c>
      <c r="D119" s="19" t="n">
        <v>0.7</v>
      </c>
      <c r="E119" s="19" t="n">
        <v>0.7</v>
      </c>
      <c r="F119" s="13" t="s">
        <v>99</v>
      </c>
      <c r="G119" s="4" t="s">
        <v>403</v>
      </c>
      <c r="H119" s="13" t="s">
        <v>359</v>
      </c>
      <c r="I119" s="20" t="n">
        <f aca="false">INDEX(C119:E119,$C$4)</f>
        <v>0.7</v>
      </c>
      <c r="J119" s="13" t="s">
        <v>87</v>
      </c>
    </row>
    <row r="120" customFormat="false" ht="41.75" hidden="false" customHeight="false" outlineLevel="0" collapsed="false">
      <c r="A120" s="3" t="s">
        <v>404</v>
      </c>
      <c r="B120" s="4" t="s">
        <v>405</v>
      </c>
      <c r="C120" s="27" t="n">
        <f aca="false">Assumptions!$D$119*Assumptions!$D$132/(Assumptions!$D$25*(Assumptions!$D$27+Assumptions!$D$28+Assumptions!$D$31)*Assumptions!$D$115)</f>
        <v>2.41746097527283</v>
      </c>
      <c r="D120" s="27" t="n">
        <f aca="false">Assumptions!$D$119*Assumptions!$D$132/(Assumptions!$D$25*(Assumptions!$D$27+Assumptions!$D$28+Assumptions!$D$31)*Assumptions!$D$115)</f>
        <v>2.41746097527283</v>
      </c>
      <c r="E120" s="27" t="n">
        <f aca="false">Assumptions!$D$119*Assumptions!$D$132/(Assumptions!$D$25*(Assumptions!$D$27+Assumptions!$D$28+Assumptions!$D$31)*Assumptions!$D$115)</f>
        <v>2.41746097527283</v>
      </c>
      <c r="F120" s="13" t="s">
        <v>221</v>
      </c>
      <c r="G120" s="4" t="s">
        <v>406</v>
      </c>
      <c r="H120" s="13" t="s">
        <v>407</v>
      </c>
      <c r="I120" s="26" t="n">
        <f aca="false">INDEX(C120:E120,$C$4)</f>
        <v>2.41746097527283</v>
      </c>
      <c r="J120" s="13" t="s">
        <v>87</v>
      </c>
    </row>
    <row r="121" customFormat="false" ht="28.35" hidden="false" customHeight="false" outlineLevel="0" collapsed="false">
      <c r="A121" s="3" t="s">
        <v>408</v>
      </c>
      <c r="B121" s="4" t="s">
        <v>409</v>
      </c>
      <c r="C121" s="17" t="n">
        <v>10000</v>
      </c>
      <c r="D121" s="17" t="n">
        <v>15000</v>
      </c>
      <c r="E121" s="17" t="n">
        <v>15000</v>
      </c>
      <c r="F121" s="13" t="s">
        <v>90</v>
      </c>
      <c r="G121" s="4" t="s">
        <v>410</v>
      </c>
      <c r="H121" s="13" t="s">
        <v>359</v>
      </c>
      <c r="I121" s="18" t="n">
        <f aca="false">INDEX(C121:E121,$C$4)</f>
        <v>15000</v>
      </c>
      <c r="J121" s="13" t="s">
        <v>96</v>
      </c>
    </row>
    <row r="122" customFormat="false" ht="28.35" hidden="false" customHeight="false" outlineLevel="0" collapsed="false">
      <c r="A122" s="3" t="s">
        <v>411</v>
      </c>
      <c r="B122" s="4" t="s">
        <v>412</v>
      </c>
      <c r="C122" s="17" t="n">
        <v>25000</v>
      </c>
      <c r="D122" s="17" t="n">
        <v>40000</v>
      </c>
      <c r="E122" s="17" t="n">
        <v>50000</v>
      </c>
      <c r="F122" s="13" t="s">
        <v>90</v>
      </c>
      <c r="G122" s="4" t="s">
        <v>410</v>
      </c>
      <c r="H122" s="13" t="s">
        <v>359</v>
      </c>
      <c r="I122" s="18" t="n">
        <f aca="false">INDEX(C122:E122,$C$4)</f>
        <v>40000</v>
      </c>
      <c r="J122" s="13" t="s">
        <v>96</v>
      </c>
    </row>
    <row r="123" customFormat="false" ht="28.35" hidden="false" customHeight="false" outlineLevel="0" collapsed="false">
      <c r="A123" s="3" t="s">
        <v>413</v>
      </c>
      <c r="B123" s="4" t="s">
        <v>414</v>
      </c>
      <c r="C123" s="17" t="n">
        <v>30000</v>
      </c>
      <c r="D123" s="17" t="n">
        <v>50000</v>
      </c>
      <c r="E123" s="17" t="n">
        <v>60000</v>
      </c>
      <c r="F123" s="13" t="s">
        <v>90</v>
      </c>
      <c r="G123" s="4" t="s">
        <v>410</v>
      </c>
      <c r="H123" s="13" t="s">
        <v>359</v>
      </c>
      <c r="I123" s="18" t="n">
        <f aca="false">INDEX(C123:E123,$C$4)</f>
        <v>50000</v>
      </c>
      <c r="J123" s="13" t="s">
        <v>96</v>
      </c>
    </row>
    <row r="124" customFormat="false" ht="28.35" hidden="false" customHeight="false" outlineLevel="0" collapsed="false">
      <c r="A124" s="3" t="s">
        <v>415</v>
      </c>
      <c r="B124" s="4" t="s">
        <v>416</v>
      </c>
      <c r="C124" s="17" t="n">
        <v>35000</v>
      </c>
      <c r="D124" s="17" t="n">
        <v>60000</v>
      </c>
      <c r="E124" s="17" t="n">
        <v>70000</v>
      </c>
      <c r="F124" s="13" t="s">
        <v>90</v>
      </c>
      <c r="G124" s="4" t="s">
        <v>410</v>
      </c>
      <c r="H124" s="13" t="s">
        <v>359</v>
      </c>
      <c r="I124" s="18" t="n">
        <f aca="false">INDEX(C124:E124,$C$4)</f>
        <v>60000</v>
      </c>
      <c r="J124" s="13" t="s">
        <v>96</v>
      </c>
    </row>
    <row r="125" customFormat="false" ht="28.35" hidden="false" customHeight="false" outlineLevel="0" collapsed="false">
      <c r="A125" s="3" t="s">
        <v>417</v>
      </c>
      <c r="B125" s="4" t="s">
        <v>418</v>
      </c>
      <c r="C125" s="17" t="n">
        <v>40000</v>
      </c>
      <c r="D125" s="17" t="n">
        <v>80000</v>
      </c>
      <c r="E125" s="17" t="n">
        <v>120000</v>
      </c>
      <c r="F125" s="13" t="s">
        <v>90</v>
      </c>
      <c r="G125" s="4" t="s">
        <v>410</v>
      </c>
      <c r="H125" s="13" t="s">
        <v>359</v>
      </c>
      <c r="I125" s="18" t="n">
        <f aca="false">INDEX(C125:E125,$C$4)</f>
        <v>80000</v>
      </c>
      <c r="J125" s="13" t="s">
        <v>96</v>
      </c>
    </row>
    <row r="126" customFormat="false" ht="28.35" hidden="false" customHeight="false" outlineLevel="0" collapsed="false">
      <c r="A126" s="3" t="s">
        <v>419</v>
      </c>
      <c r="B126" s="4" t="s">
        <v>420</v>
      </c>
      <c r="C126" s="17" t="n">
        <v>40000</v>
      </c>
      <c r="D126" s="17" t="n">
        <v>90000</v>
      </c>
      <c r="E126" s="17" t="n">
        <v>170000</v>
      </c>
      <c r="F126" s="13" t="s">
        <v>90</v>
      </c>
      <c r="G126" s="4" t="s">
        <v>410</v>
      </c>
      <c r="H126" s="13" t="s">
        <v>359</v>
      </c>
      <c r="I126" s="18" t="n">
        <f aca="false">INDEX(C126:E126,$C$4)</f>
        <v>90000</v>
      </c>
      <c r="J126" s="13" t="s">
        <v>96</v>
      </c>
    </row>
    <row r="127" customFormat="false" ht="28.35" hidden="false" customHeight="false" outlineLevel="0" collapsed="false">
      <c r="A127" s="3" t="s">
        <v>421</v>
      </c>
      <c r="B127" s="4" t="s">
        <v>422</v>
      </c>
      <c r="C127" s="17" t="n">
        <v>40000</v>
      </c>
      <c r="D127" s="17" t="n">
        <v>100000</v>
      </c>
      <c r="E127" s="17" t="n">
        <v>200000</v>
      </c>
      <c r="F127" s="13" t="s">
        <v>90</v>
      </c>
      <c r="G127" s="4" t="s">
        <v>410</v>
      </c>
      <c r="H127" s="13" t="s">
        <v>359</v>
      </c>
      <c r="I127" s="18" t="n">
        <f aca="false">INDEX(C127:E127,$C$4)</f>
        <v>100000</v>
      </c>
      <c r="J127" s="13" t="s">
        <v>96</v>
      </c>
    </row>
    <row r="128" customFormat="false" ht="28.35" hidden="false" customHeight="false" outlineLevel="0" collapsed="false">
      <c r="A128" s="3" t="s">
        <v>423</v>
      </c>
      <c r="B128" s="4" t="s">
        <v>424</v>
      </c>
      <c r="C128" s="17" t="n">
        <v>40000</v>
      </c>
      <c r="D128" s="17" t="n">
        <v>100000</v>
      </c>
      <c r="E128" s="17" t="n">
        <v>200000</v>
      </c>
      <c r="F128" s="13" t="s">
        <v>90</v>
      </c>
      <c r="G128" s="4" t="s">
        <v>410</v>
      </c>
      <c r="H128" s="13" t="s">
        <v>359</v>
      </c>
      <c r="I128" s="18" t="n">
        <f aca="false">INDEX(C128:E128,$C$4)</f>
        <v>100000</v>
      </c>
      <c r="J128" s="13" t="s">
        <v>96</v>
      </c>
    </row>
    <row r="129" customFormat="false" ht="28.35" hidden="false" customHeight="false" outlineLevel="0" collapsed="false">
      <c r="A129" s="3" t="s">
        <v>425</v>
      </c>
      <c r="B129" s="4" t="s">
        <v>426</v>
      </c>
      <c r="C129" s="17" t="n">
        <v>40000</v>
      </c>
      <c r="D129" s="17" t="n">
        <v>100000</v>
      </c>
      <c r="E129" s="17" t="n">
        <v>200000</v>
      </c>
      <c r="F129" s="13" t="s">
        <v>90</v>
      </c>
      <c r="G129" s="4" t="s">
        <v>410</v>
      </c>
      <c r="H129" s="13" t="s">
        <v>359</v>
      </c>
      <c r="I129" s="18" t="n">
        <f aca="false">INDEX(C129:E129,$C$4)</f>
        <v>100000</v>
      </c>
      <c r="J129" s="13" t="s">
        <v>96</v>
      </c>
    </row>
    <row r="130" customFormat="false" ht="28.35" hidden="false" customHeight="false" outlineLevel="0" collapsed="false">
      <c r="A130" s="3" t="s">
        <v>427</v>
      </c>
      <c r="B130" s="4" t="s">
        <v>428</v>
      </c>
      <c r="C130" s="17" t="n">
        <v>40000</v>
      </c>
      <c r="D130" s="17" t="n">
        <v>100000</v>
      </c>
      <c r="E130" s="17" t="n">
        <v>200000</v>
      </c>
      <c r="F130" s="13" t="s">
        <v>90</v>
      </c>
      <c r="G130" s="4" t="s">
        <v>410</v>
      </c>
      <c r="H130" s="13" t="s">
        <v>359</v>
      </c>
      <c r="I130" s="18" t="n">
        <f aca="false">INDEX(C130:E130,$C$4)</f>
        <v>100000</v>
      </c>
      <c r="J130" s="13" t="s">
        <v>96</v>
      </c>
    </row>
    <row r="131" customFormat="false" ht="28.35" hidden="false" customHeight="false" outlineLevel="0" collapsed="false">
      <c r="A131" s="3" t="s">
        <v>429</v>
      </c>
      <c r="B131" s="4" t="s">
        <v>430</v>
      </c>
      <c r="C131" s="17" t="n">
        <v>40000</v>
      </c>
      <c r="D131" s="17" t="n">
        <v>100000</v>
      </c>
      <c r="E131" s="17" t="n">
        <v>200000</v>
      </c>
      <c r="F131" s="13" t="s">
        <v>90</v>
      </c>
      <c r="G131" s="4" t="s">
        <v>410</v>
      </c>
      <c r="H131" s="13" t="s">
        <v>359</v>
      </c>
      <c r="I131" s="18" t="n">
        <f aca="false">INDEX(C131:E131,$C$4)</f>
        <v>100000</v>
      </c>
      <c r="J131" s="13" t="s">
        <v>96</v>
      </c>
    </row>
    <row r="132" customFormat="false" ht="28.35" hidden="false" customHeight="false" outlineLevel="0" collapsed="false">
      <c r="A132" s="3" t="s">
        <v>431</v>
      </c>
      <c r="B132" s="4" t="s">
        <v>432</v>
      </c>
      <c r="C132" s="17" t="n">
        <v>40000</v>
      </c>
      <c r="D132" s="17" t="n">
        <v>100000</v>
      </c>
      <c r="E132" s="17" t="n">
        <v>200000</v>
      </c>
      <c r="F132" s="13" t="s">
        <v>90</v>
      </c>
      <c r="G132" s="4" t="s">
        <v>410</v>
      </c>
      <c r="H132" s="13" t="s">
        <v>359</v>
      </c>
      <c r="I132" s="18" t="n">
        <f aca="false">INDEX(C132:E132,$C$4)</f>
        <v>100000</v>
      </c>
      <c r="J132" s="13" t="s">
        <v>96</v>
      </c>
    </row>
    <row r="133" customFormat="false" ht="15" hidden="false" customHeight="false" outlineLevel="0" collapsed="false">
      <c r="A133" s="3" t="s">
        <v>433</v>
      </c>
      <c r="B133" s="4" t="s">
        <v>434</v>
      </c>
      <c r="C133" s="25" t="n">
        <v>0.7</v>
      </c>
      <c r="D133" s="25" t="n">
        <v>0.7</v>
      </c>
      <c r="E133" s="25" t="n">
        <v>0.7</v>
      </c>
      <c r="F133" s="13" t="s">
        <v>435</v>
      </c>
      <c r="G133" s="4" t="s">
        <v>436</v>
      </c>
      <c r="H133" s="13" t="s">
        <v>92</v>
      </c>
      <c r="I133" s="26" t="n">
        <f aca="false">INDEX(C133:E133,$C$4)</f>
        <v>0.7</v>
      </c>
      <c r="J133" s="13" t="s">
        <v>87</v>
      </c>
    </row>
    <row r="134" customFormat="false" ht="15" hidden="false" customHeight="false" outlineLevel="0" collapsed="false">
      <c r="A134" s="3" t="s">
        <v>437</v>
      </c>
      <c r="B134" s="4" t="s">
        <v>438</v>
      </c>
      <c r="C134" s="25" t="n">
        <v>0.8</v>
      </c>
      <c r="D134" s="25" t="n">
        <v>0.8</v>
      </c>
      <c r="E134" s="25" t="n">
        <v>0.8</v>
      </c>
      <c r="F134" s="13" t="s">
        <v>435</v>
      </c>
      <c r="G134" s="4" t="s">
        <v>436</v>
      </c>
      <c r="H134" s="13" t="s">
        <v>92</v>
      </c>
      <c r="I134" s="26" t="n">
        <f aca="false">INDEX(C134:E134,$C$4)</f>
        <v>0.8</v>
      </c>
      <c r="J134" s="13" t="s">
        <v>87</v>
      </c>
    </row>
    <row r="135" customFormat="false" ht="15" hidden="false" customHeight="false" outlineLevel="0" collapsed="false">
      <c r="A135" s="3" t="s">
        <v>439</v>
      </c>
      <c r="B135" s="4" t="s">
        <v>440</v>
      </c>
      <c r="C135" s="25" t="n">
        <v>0.9</v>
      </c>
      <c r="D135" s="25" t="n">
        <v>0.9</v>
      </c>
      <c r="E135" s="25" t="n">
        <v>0.9</v>
      </c>
      <c r="F135" s="13" t="s">
        <v>435</v>
      </c>
      <c r="G135" s="4" t="s">
        <v>436</v>
      </c>
      <c r="H135" s="13" t="s">
        <v>92</v>
      </c>
      <c r="I135" s="26" t="n">
        <f aca="false">INDEX(C135:E135,$C$4)</f>
        <v>0.9</v>
      </c>
      <c r="J135" s="13" t="s">
        <v>87</v>
      </c>
    </row>
    <row r="136" customFormat="false" ht="15" hidden="false" customHeight="false" outlineLevel="0" collapsed="false">
      <c r="A136" s="3" t="s">
        <v>441</v>
      </c>
      <c r="B136" s="4" t="s">
        <v>442</v>
      </c>
      <c r="C136" s="25" t="n">
        <v>1</v>
      </c>
      <c r="D136" s="25" t="n">
        <v>1</v>
      </c>
      <c r="E136" s="25" t="n">
        <v>1</v>
      </c>
      <c r="F136" s="13" t="s">
        <v>435</v>
      </c>
      <c r="G136" s="4" t="s">
        <v>436</v>
      </c>
      <c r="H136" s="13" t="s">
        <v>92</v>
      </c>
      <c r="I136" s="26" t="n">
        <f aca="false">INDEX(C136:E136,$C$4)</f>
        <v>1</v>
      </c>
      <c r="J136" s="13" t="s">
        <v>87</v>
      </c>
    </row>
    <row r="137" customFormat="false" ht="15" hidden="false" customHeight="false" outlineLevel="0" collapsed="false">
      <c r="A137" s="3" t="s">
        <v>443</v>
      </c>
      <c r="B137" s="4" t="s">
        <v>444</v>
      </c>
      <c r="C137" s="25" t="n">
        <v>1.3</v>
      </c>
      <c r="D137" s="25" t="n">
        <v>1.3</v>
      </c>
      <c r="E137" s="25" t="n">
        <v>1.3</v>
      </c>
      <c r="F137" s="13" t="s">
        <v>435</v>
      </c>
      <c r="G137" s="4" t="s">
        <v>436</v>
      </c>
      <c r="H137" s="13" t="s">
        <v>92</v>
      </c>
      <c r="I137" s="26" t="n">
        <f aca="false">INDEX(C137:E137,$C$4)</f>
        <v>1.3</v>
      </c>
      <c r="J137" s="13" t="s">
        <v>87</v>
      </c>
    </row>
    <row r="138" customFormat="false" ht="15" hidden="false" customHeight="false" outlineLevel="0" collapsed="false">
      <c r="A138" s="3" t="s">
        <v>445</v>
      </c>
      <c r="B138" s="4" t="s">
        <v>446</v>
      </c>
      <c r="C138" s="25" t="n">
        <v>1.35</v>
      </c>
      <c r="D138" s="25" t="n">
        <v>1.35</v>
      </c>
      <c r="E138" s="25" t="n">
        <v>1.35</v>
      </c>
      <c r="F138" s="13" t="s">
        <v>435</v>
      </c>
      <c r="G138" s="4" t="s">
        <v>436</v>
      </c>
      <c r="H138" s="13" t="s">
        <v>92</v>
      </c>
      <c r="I138" s="26" t="n">
        <f aca="false">INDEX(C138:E138,$C$4)</f>
        <v>1.35</v>
      </c>
      <c r="J138" s="13" t="s">
        <v>87</v>
      </c>
    </row>
    <row r="139" customFormat="false" ht="15" hidden="false" customHeight="false" outlineLevel="0" collapsed="false">
      <c r="A139" s="3" t="s">
        <v>447</v>
      </c>
      <c r="B139" s="4" t="s">
        <v>448</v>
      </c>
      <c r="C139" s="25" t="n">
        <v>1.25</v>
      </c>
      <c r="D139" s="25" t="n">
        <v>1.25</v>
      </c>
      <c r="E139" s="25" t="n">
        <v>1.25</v>
      </c>
      <c r="F139" s="13" t="s">
        <v>435</v>
      </c>
      <c r="G139" s="4" t="s">
        <v>436</v>
      </c>
      <c r="H139" s="13" t="s">
        <v>92</v>
      </c>
      <c r="I139" s="26" t="n">
        <f aca="false">INDEX(C139:E139,$C$4)</f>
        <v>1.25</v>
      </c>
      <c r="J139" s="13" t="s">
        <v>87</v>
      </c>
    </row>
    <row r="140" customFormat="false" ht="15" hidden="false" customHeight="false" outlineLevel="0" collapsed="false">
      <c r="A140" s="3" t="s">
        <v>449</v>
      </c>
      <c r="B140" s="4" t="s">
        <v>450</v>
      </c>
      <c r="C140" s="25" t="n">
        <v>1.1</v>
      </c>
      <c r="D140" s="25" t="n">
        <v>1.1</v>
      </c>
      <c r="E140" s="25" t="n">
        <v>1.1</v>
      </c>
      <c r="F140" s="13" t="s">
        <v>435</v>
      </c>
      <c r="G140" s="4" t="s">
        <v>436</v>
      </c>
      <c r="H140" s="13" t="s">
        <v>92</v>
      </c>
      <c r="I140" s="26" t="n">
        <f aca="false">INDEX(C140:E140,$C$4)</f>
        <v>1.1</v>
      </c>
      <c r="J140" s="13" t="s">
        <v>87</v>
      </c>
    </row>
    <row r="141" customFormat="false" ht="15" hidden="false" customHeight="false" outlineLevel="0" collapsed="false">
      <c r="A141" s="3" t="s">
        <v>451</v>
      </c>
      <c r="B141" s="4" t="s">
        <v>452</v>
      </c>
      <c r="C141" s="25" t="n">
        <v>1.05</v>
      </c>
      <c r="D141" s="25" t="n">
        <v>1.05</v>
      </c>
      <c r="E141" s="25" t="n">
        <v>1.05</v>
      </c>
      <c r="F141" s="13" t="s">
        <v>435</v>
      </c>
      <c r="G141" s="4" t="s">
        <v>436</v>
      </c>
      <c r="H141" s="13" t="s">
        <v>92</v>
      </c>
      <c r="I141" s="26" t="n">
        <f aca="false">INDEX(C141:E141,$C$4)</f>
        <v>1.05</v>
      </c>
      <c r="J141" s="13" t="s">
        <v>87</v>
      </c>
    </row>
    <row r="142" customFormat="false" ht="15" hidden="false" customHeight="false" outlineLevel="0" collapsed="false">
      <c r="A142" s="3" t="s">
        <v>453</v>
      </c>
      <c r="B142" s="4" t="s">
        <v>454</v>
      </c>
      <c r="C142" s="25" t="n">
        <v>1</v>
      </c>
      <c r="D142" s="25" t="n">
        <v>1</v>
      </c>
      <c r="E142" s="25" t="n">
        <v>1</v>
      </c>
      <c r="F142" s="13" t="s">
        <v>435</v>
      </c>
      <c r="G142" s="4" t="s">
        <v>436</v>
      </c>
      <c r="H142" s="13" t="s">
        <v>92</v>
      </c>
      <c r="I142" s="26" t="n">
        <f aca="false">INDEX(C142:E142,$C$4)</f>
        <v>1</v>
      </c>
      <c r="J142" s="13" t="s">
        <v>87</v>
      </c>
    </row>
    <row r="143" customFormat="false" ht="15" hidden="false" customHeight="false" outlineLevel="0" collapsed="false">
      <c r="A143" s="3" t="s">
        <v>455</v>
      </c>
      <c r="B143" s="4" t="s">
        <v>456</v>
      </c>
      <c r="C143" s="25" t="n">
        <v>0.8</v>
      </c>
      <c r="D143" s="25" t="n">
        <v>0.8</v>
      </c>
      <c r="E143" s="25" t="n">
        <v>0.8</v>
      </c>
      <c r="F143" s="13" t="s">
        <v>435</v>
      </c>
      <c r="G143" s="4" t="s">
        <v>436</v>
      </c>
      <c r="H143" s="13" t="s">
        <v>92</v>
      </c>
      <c r="I143" s="26" t="n">
        <f aca="false">INDEX(C143:E143,$C$4)</f>
        <v>0.8</v>
      </c>
      <c r="J143" s="13" t="s">
        <v>87</v>
      </c>
    </row>
    <row r="144" customFormat="false" ht="15" hidden="false" customHeight="false" outlineLevel="0" collapsed="false">
      <c r="A144" s="3" t="s">
        <v>457</v>
      </c>
      <c r="B144" s="4" t="s">
        <v>458</v>
      </c>
      <c r="C144" s="25" t="n">
        <v>0.75</v>
      </c>
      <c r="D144" s="25" t="n">
        <v>0.75</v>
      </c>
      <c r="E144" s="25" t="n">
        <v>0.75</v>
      </c>
      <c r="F144" s="13" t="s">
        <v>435</v>
      </c>
      <c r="G144" s="4" t="s">
        <v>436</v>
      </c>
      <c r="H144" s="13" t="s">
        <v>92</v>
      </c>
      <c r="I144" s="26" t="n">
        <f aca="false">INDEX(C144:E144,$C$4)</f>
        <v>0.75</v>
      </c>
      <c r="J144" s="13" t="s">
        <v>87</v>
      </c>
    </row>
    <row r="145" customFormat="false" ht="15" hidden="false" customHeight="false" outlineLevel="0" collapsed="false">
      <c r="A145" s="3" t="s">
        <v>459</v>
      </c>
      <c r="B145" s="4" t="s">
        <v>460</v>
      </c>
      <c r="C145" s="25" t="n">
        <v>1.2</v>
      </c>
      <c r="D145" s="25" t="n">
        <v>1.2</v>
      </c>
      <c r="E145" s="25" t="n">
        <v>1.2</v>
      </c>
      <c r="F145" s="13" t="s">
        <v>435</v>
      </c>
      <c r="G145" s="4" t="s">
        <v>461</v>
      </c>
      <c r="H145" s="13" t="s">
        <v>92</v>
      </c>
      <c r="I145" s="26" t="n">
        <f aca="false">INDEX(C145:E145,$C$4)</f>
        <v>1.2</v>
      </c>
      <c r="J145" s="13" t="s">
        <v>87</v>
      </c>
    </row>
    <row r="146" customFormat="false" ht="15" hidden="false" customHeight="false" outlineLevel="0" collapsed="false">
      <c r="A146" s="3" t="s">
        <v>462</v>
      </c>
      <c r="B146" s="4" t="s">
        <v>463</v>
      </c>
      <c r="C146" s="25" t="n">
        <v>1.3</v>
      </c>
      <c r="D146" s="25" t="n">
        <v>1.3</v>
      </c>
      <c r="E146" s="25" t="n">
        <v>1.3</v>
      </c>
      <c r="F146" s="13" t="s">
        <v>435</v>
      </c>
      <c r="G146" s="4" t="s">
        <v>461</v>
      </c>
      <c r="H146" s="13" t="s">
        <v>92</v>
      </c>
      <c r="I146" s="26" t="n">
        <f aca="false">INDEX(C146:E146,$C$4)</f>
        <v>1.3</v>
      </c>
      <c r="J146" s="13" t="s">
        <v>87</v>
      </c>
    </row>
    <row r="147" customFormat="false" ht="15" hidden="false" customHeight="false" outlineLevel="0" collapsed="false">
      <c r="A147" s="3" t="s">
        <v>464</v>
      </c>
      <c r="B147" s="4" t="s">
        <v>465</v>
      </c>
      <c r="C147" s="25" t="n">
        <v>0.9</v>
      </c>
      <c r="D147" s="25" t="n">
        <v>0.9</v>
      </c>
      <c r="E147" s="25" t="n">
        <v>0.9</v>
      </c>
      <c r="F147" s="13" t="s">
        <v>435</v>
      </c>
      <c r="G147" s="4" t="s">
        <v>461</v>
      </c>
      <c r="H147" s="13" t="s">
        <v>92</v>
      </c>
      <c r="I147" s="26" t="n">
        <f aca="false">INDEX(C147:E147,$C$4)</f>
        <v>0.9</v>
      </c>
      <c r="J147" s="13" t="s">
        <v>87</v>
      </c>
    </row>
    <row r="148" customFormat="false" ht="15" hidden="false" customHeight="false" outlineLevel="0" collapsed="false">
      <c r="A148" s="3" t="s">
        <v>466</v>
      </c>
      <c r="B148" s="4" t="s">
        <v>467</v>
      </c>
      <c r="C148" s="25" t="n">
        <v>0.8</v>
      </c>
      <c r="D148" s="25" t="n">
        <v>0.8</v>
      </c>
      <c r="E148" s="25" t="n">
        <v>0.8</v>
      </c>
      <c r="F148" s="13" t="s">
        <v>435</v>
      </c>
      <c r="G148" s="4" t="s">
        <v>461</v>
      </c>
      <c r="H148" s="13" t="s">
        <v>92</v>
      </c>
      <c r="I148" s="26" t="n">
        <f aca="false">INDEX(C148:E148,$C$4)</f>
        <v>0.8</v>
      </c>
      <c r="J148" s="13" t="s">
        <v>87</v>
      </c>
    </row>
    <row r="149" customFormat="false" ht="15" hidden="false" customHeight="false" outlineLevel="0" collapsed="false">
      <c r="A149" s="3" t="s">
        <v>468</v>
      </c>
      <c r="B149" s="4" t="s">
        <v>469</v>
      </c>
      <c r="C149" s="25" t="n">
        <v>0.7</v>
      </c>
      <c r="D149" s="25" t="n">
        <v>0.7</v>
      </c>
      <c r="E149" s="25" t="n">
        <v>0.7</v>
      </c>
      <c r="F149" s="13" t="s">
        <v>435</v>
      </c>
      <c r="G149" s="4" t="s">
        <v>461</v>
      </c>
      <c r="H149" s="13" t="s">
        <v>92</v>
      </c>
      <c r="I149" s="26" t="n">
        <f aca="false">INDEX(C149:E149,$C$4)</f>
        <v>0.7</v>
      </c>
      <c r="J149" s="13" t="s">
        <v>87</v>
      </c>
    </row>
    <row r="150" customFormat="false" ht="15" hidden="false" customHeight="false" outlineLevel="0" collapsed="false">
      <c r="A150" s="3" t="s">
        <v>470</v>
      </c>
      <c r="B150" s="4" t="s">
        <v>471</v>
      </c>
      <c r="C150" s="25" t="n">
        <v>0.6</v>
      </c>
      <c r="D150" s="25" t="n">
        <v>0.6</v>
      </c>
      <c r="E150" s="25" t="n">
        <v>0.6</v>
      </c>
      <c r="F150" s="13" t="s">
        <v>435</v>
      </c>
      <c r="G150" s="4" t="s">
        <v>461</v>
      </c>
      <c r="H150" s="13" t="s">
        <v>92</v>
      </c>
      <c r="I150" s="26" t="n">
        <f aca="false">INDEX(C150:E150,$C$4)</f>
        <v>0.6</v>
      </c>
      <c r="J150" s="13" t="s">
        <v>87</v>
      </c>
    </row>
    <row r="151" customFormat="false" ht="15" hidden="false" customHeight="false" outlineLevel="0" collapsed="false">
      <c r="A151" s="3" t="s">
        <v>472</v>
      </c>
      <c r="B151" s="4" t="s">
        <v>473</v>
      </c>
      <c r="C151" s="25" t="n">
        <v>0.6</v>
      </c>
      <c r="D151" s="25" t="n">
        <v>0.6</v>
      </c>
      <c r="E151" s="25" t="n">
        <v>0.6</v>
      </c>
      <c r="F151" s="13" t="s">
        <v>435</v>
      </c>
      <c r="G151" s="4" t="s">
        <v>461</v>
      </c>
      <c r="H151" s="13" t="s">
        <v>92</v>
      </c>
      <c r="I151" s="26" t="n">
        <f aca="false">INDEX(C151:E151,$C$4)</f>
        <v>0.6</v>
      </c>
      <c r="J151" s="13" t="s">
        <v>87</v>
      </c>
    </row>
    <row r="152" customFormat="false" ht="15" hidden="false" customHeight="false" outlineLevel="0" collapsed="false">
      <c r="A152" s="3" t="s">
        <v>474</v>
      </c>
      <c r="B152" s="4" t="s">
        <v>475</v>
      </c>
      <c r="C152" s="25" t="n">
        <v>0.8</v>
      </c>
      <c r="D152" s="25" t="n">
        <v>0.8</v>
      </c>
      <c r="E152" s="25" t="n">
        <v>0.8</v>
      </c>
      <c r="F152" s="13" t="s">
        <v>435</v>
      </c>
      <c r="G152" s="4" t="s">
        <v>461</v>
      </c>
      <c r="H152" s="13" t="s">
        <v>92</v>
      </c>
      <c r="I152" s="26" t="n">
        <f aca="false">INDEX(C152:E152,$C$4)</f>
        <v>0.8</v>
      </c>
      <c r="J152" s="13" t="s">
        <v>87</v>
      </c>
    </row>
    <row r="153" customFormat="false" ht="15" hidden="false" customHeight="false" outlineLevel="0" collapsed="false">
      <c r="A153" s="3" t="s">
        <v>476</v>
      </c>
      <c r="B153" s="4" t="s">
        <v>477</v>
      </c>
      <c r="C153" s="25" t="n">
        <v>1.1</v>
      </c>
      <c r="D153" s="25" t="n">
        <v>1.1</v>
      </c>
      <c r="E153" s="25" t="n">
        <v>1.1</v>
      </c>
      <c r="F153" s="13" t="s">
        <v>435</v>
      </c>
      <c r="G153" s="4" t="s">
        <v>461</v>
      </c>
      <c r="H153" s="13" t="s">
        <v>92</v>
      </c>
      <c r="I153" s="26" t="n">
        <f aca="false">INDEX(C153:E153,$C$4)</f>
        <v>1.1</v>
      </c>
      <c r="J153" s="13" t="s">
        <v>87</v>
      </c>
    </row>
    <row r="154" customFormat="false" ht="15" hidden="false" customHeight="false" outlineLevel="0" collapsed="false">
      <c r="A154" s="3" t="s">
        <v>478</v>
      </c>
      <c r="B154" s="4" t="s">
        <v>479</v>
      </c>
      <c r="C154" s="25" t="n">
        <v>1.4</v>
      </c>
      <c r="D154" s="25" t="n">
        <v>1.4</v>
      </c>
      <c r="E154" s="25" t="n">
        <v>1.4</v>
      </c>
      <c r="F154" s="13" t="s">
        <v>435</v>
      </c>
      <c r="G154" s="4" t="s">
        <v>461</v>
      </c>
      <c r="H154" s="13" t="s">
        <v>92</v>
      </c>
      <c r="I154" s="26" t="n">
        <f aca="false">INDEX(C154:E154,$C$4)</f>
        <v>1.4</v>
      </c>
      <c r="J154" s="13" t="s">
        <v>87</v>
      </c>
    </row>
    <row r="155" customFormat="false" ht="15" hidden="false" customHeight="false" outlineLevel="0" collapsed="false">
      <c r="A155" s="3" t="s">
        <v>480</v>
      </c>
      <c r="B155" s="4" t="s">
        <v>481</v>
      </c>
      <c r="C155" s="25" t="n">
        <v>1.4</v>
      </c>
      <c r="D155" s="25" t="n">
        <v>1.4</v>
      </c>
      <c r="E155" s="25" t="n">
        <v>1.4</v>
      </c>
      <c r="F155" s="13" t="s">
        <v>435</v>
      </c>
      <c r="G155" s="4" t="s">
        <v>461</v>
      </c>
      <c r="H155" s="13" t="s">
        <v>92</v>
      </c>
      <c r="I155" s="26" t="n">
        <f aca="false">INDEX(C155:E155,$C$4)</f>
        <v>1.4</v>
      </c>
      <c r="J155" s="13" t="s">
        <v>87</v>
      </c>
    </row>
    <row r="156" customFormat="false" ht="15" hidden="false" customHeight="false" outlineLevel="0" collapsed="false">
      <c r="A156" s="3" t="s">
        <v>482</v>
      </c>
      <c r="B156" s="4" t="s">
        <v>483</v>
      </c>
      <c r="C156" s="25" t="n">
        <v>1.2</v>
      </c>
      <c r="D156" s="25" t="n">
        <v>1.2</v>
      </c>
      <c r="E156" s="25" t="n">
        <v>1.2</v>
      </c>
      <c r="F156" s="13" t="s">
        <v>435</v>
      </c>
      <c r="G156" s="4" t="s">
        <v>461</v>
      </c>
      <c r="H156" s="13" t="s">
        <v>92</v>
      </c>
      <c r="I156" s="26" t="n">
        <f aca="false">INDEX(C156:E156,$C$4)</f>
        <v>1.2</v>
      </c>
      <c r="J156" s="13" t="s">
        <v>87</v>
      </c>
    </row>
    <row r="157" customFormat="false" ht="15" hidden="false" customHeight="false" outlineLevel="0" collapsed="false">
      <c r="A157" s="3" t="s">
        <v>484</v>
      </c>
      <c r="B157" s="4" t="s">
        <v>485</v>
      </c>
      <c r="C157" s="19" t="n">
        <v>0.6</v>
      </c>
      <c r="D157" s="19" t="n">
        <v>0.5</v>
      </c>
      <c r="E157" s="19" t="n">
        <v>0.45</v>
      </c>
      <c r="F157" s="13" t="s">
        <v>99</v>
      </c>
      <c r="G157" s="4" t="s">
        <v>486</v>
      </c>
      <c r="H157" s="13" t="s">
        <v>92</v>
      </c>
      <c r="I157" s="20" t="n">
        <f aca="false">INDEX(C157:E157,$C$4)</f>
        <v>0.5</v>
      </c>
      <c r="J157" s="13" t="s">
        <v>96</v>
      </c>
    </row>
    <row r="158" customFormat="false" ht="15" hidden="false" customHeight="false" outlineLevel="0" collapsed="false">
      <c r="A158" s="3" t="s">
        <v>487</v>
      </c>
      <c r="B158" s="4" t="s">
        <v>488</v>
      </c>
      <c r="C158" s="19" t="n">
        <v>0.4</v>
      </c>
      <c r="D158" s="19" t="n">
        <v>0.3</v>
      </c>
      <c r="E158" s="19" t="n">
        <v>0.25</v>
      </c>
      <c r="F158" s="13" t="s">
        <v>99</v>
      </c>
      <c r="G158" s="4" t="s">
        <v>489</v>
      </c>
      <c r="H158" s="13" t="s">
        <v>92</v>
      </c>
      <c r="I158" s="20" t="n">
        <f aca="false">INDEX(C158:E158,$C$4)</f>
        <v>0.3</v>
      </c>
      <c r="J158" s="13" t="s">
        <v>96</v>
      </c>
    </row>
    <row r="159" customFormat="false" ht="15" hidden="false" customHeight="false" outlineLevel="0" collapsed="false">
      <c r="A159" s="3" t="s">
        <v>490</v>
      </c>
      <c r="B159" s="4" t="s">
        <v>491</v>
      </c>
      <c r="C159" s="19" t="n">
        <v>0.2</v>
      </c>
      <c r="D159" s="19" t="n">
        <v>0.15</v>
      </c>
      <c r="E159" s="19" t="n">
        <v>0.12</v>
      </c>
      <c r="F159" s="13" t="s">
        <v>99</v>
      </c>
      <c r="G159" s="4" t="s">
        <v>492</v>
      </c>
      <c r="H159" s="13" t="s">
        <v>92</v>
      </c>
      <c r="I159" s="20" t="n">
        <f aca="false">INDEX(C159:E159,$C$4)</f>
        <v>0.15</v>
      </c>
      <c r="J159" s="13" t="s">
        <v>96</v>
      </c>
    </row>
    <row r="160" customFormat="false" ht="15" hidden="false" customHeight="false" outlineLevel="0" collapsed="false">
      <c r="A160" s="3" t="s">
        <v>493</v>
      </c>
      <c r="B160" s="4" t="s">
        <v>494</v>
      </c>
      <c r="C160" s="19" t="n">
        <v>0.12</v>
      </c>
      <c r="D160" s="19" t="n">
        <v>0.1</v>
      </c>
      <c r="E160" s="19" t="n">
        <v>0.08</v>
      </c>
      <c r="F160" s="13" t="s">
        <v>99</v>
      </c>
      <c r="G160" s="4" t="s">
        <v>495</v>
      </c>
      <c r="H160" s="13" t="s">
        <v>92</v>
      </c>
      <c r="I160" s="20" t="n">
        <f aca="false">INDEX(C160:E160,$C$4)</f>
        <v>0.1</v>
      </c>
      <c r="J160" s="13" t="s">
        <v>96</v>
      </c>
    </row>
    <row r="161" customFormat="false" ht="15" hidden="false" customHeight="false" outlineLevel="0" collapsed="false">
      <c r="A161" s="3" t="s">
        <v>496</v>
      </c>
      <c r="B161" s="4" t="s">
        <v>497</v>
      </c>
      <c r="C161" s="15" t="n">
        <v>3</v>
      </c>
      <c r="D161" s="15" t="n">
        <v>2</v>
      </c>
      <c r="E161" s="15" t="n">
        <v>1</v>
      </c>
      <c r="F161" s="13" t="s">
        <v>365</v>
      </c>
      <c r="G161" s="4" t="s">
        <v>498</v>
      </c>
      <c r="H161" s="13" t="s">
        <v>92</v>
      </c>
      <c r="I161" s="16" t="n">
        <f aca="false">INDEX(C161:E161,$C$4)</f>
        <v>2</v>
      </c>
      <c r="J161" s="13" t="s">
        <v>96</v>
      </c>
    </row>
    <row r="162" customFormat="false" ht="28.35" hidden="false" customHeight="false" outlineLevel="0" collapsed="false">
      <c r="A162" s="3" t="s">
        <v>499</v>
      </c>
      <c r="B162" s="4" t="s">
        <v>500</v>
      </c>
      <c r="C162" s="23" t="n">
        <v>0.5</v>
      </c>
      <c r="D162" s="23" t="n">
        <v>1</v>
      </c>
      <c r="E162" s="23" t="n">
        <v>1</v>
      </c>
      <c r="F162" s="13" t="s">
        <v>501</v>
      </c>
      <c r="G162" s="4" t="s">
        <v>502</v>
      </c>
      <c r="H162" s="13" t="s">
        <v>92</v>
      </c>
      <c r="I162" s="24" t="n">
        <f aca="false">INDEX(C162:E162,$C$4)</f>
        <v>1</v>
      </c>
      <c r="J162" s="13" t="s">
        <v>96</v>
      </c>
    </row>
    <row r="163" customFormat="false" ht="28.35" hidden="false" customHeight="false" outlineLevel="0" collapsed="false">
      <c r="A163" s="3" t="s">
        <v>503</v>
      </c>
      <c r="B163" s="4" t="s">
        <v>504</v>
      </c>
      <c r="C163" s="17" t="n">
        <v>75000</v>
      </c>
      <c r="D163" s="17" t="n">
        <v>75000</v>
      </c>
      <c r="E163" s="17" t="n">
        <v>75000</v>
      </c>
      <c r="F163" s="13" t="s">
        <v>340</v>
      </c>
      <c r="G163" s="4" t="s">
        <v>505</v>
      </c>
      <c r="H163" s="13" t="s">
        <v>92</v>
      </c>
      <c r="I163" s="18" t="n">
        <f aca="false">INDEX(C163:E163,$C$4)</f>
        <v>75000</v>
      </c>
      <c r="J163" s="13" t="s">
        <v>87</v>
      </c>
    </row>
    <row r="164" customFormat="false" ht="15" hidden="false" customHeight="false" outlineLevel="0" collapsed="false">
      <c r="A164" s="3" t="s">
        <v>506</v>
      </c>
      <c r="B164" s="4" t="s">
        <v>507</v>
      </c>
      <c r="C164" s="15" t="n">
        <v>3</v>
      </c>
      <c r="D164" s="15" t="n">
        <v>1</v>
      </c>
      <c r="E164" s="15" t="n">
        <v>1</v>
      </c>
      <c r="F164" s="13" t="s">
        <v>365</v>
      </c>
      <c r="G164" s="4" t="s">
        <v>508</v>
      </c>
      <c r="H164" s="13" t="s">
        <v>359</v>
      </c>
      <c r="I164" s="16" t="n">
        <f aca="false">INDEX(C164:E164,$C$4)</f>
        <v>1</v>
      </c>
      <c r="J164" s="13" t="s">
        <v>96</v>
      </c>
    </row>
    <row r="165" customFormat="false" ht="15" hidden="false" customHeight="false" outlineLevel="0" collapsed="false">
      <c r="A165" s="3" t="s">
        <v>509</v>
      </c>
      <c r="B165" s="4" t="s">
        <v>510</v>
      </c>
      <c r="C165" s="23" t="n">
        <v>0</v>
      </c>
      <c r="D165" s="23" t="n">
        <v>0.5</v>
      </c>
      <c r="E165" s="23" t="n">
        <v>1</v>
      </c>
      <c r="F165" s="13" t="s">
        <v>501</v>
      </c>
      <c r="G165" s="4" t="s">
        <v>511</v>
      </c>
      <c r="H165" s="13" t="s">
        <v>359</v>
      </c>
      <c r="I165" s="24" t="n">
        <f aca="false">INDEX(C165:E165,$C$4)</f>
        <v>0.5</v>
      </c>
      <c r="J165" s="13" t="s">
        <v>96</v>
      </c>
    </row>
    <row r="166" customFormat="false" ht="15" hidden="false" customHeight="false" outlineLevel="0" collapsed="false">
      <c r="A166" s="3" t="s">
        <v>512</v>
      </c>
      <c r="B166" s="4" t="s">
        <v>513</v>
      </c>
      <c r="C166" s="15" t="n">
        <v>99</v>
      </c>
      <c r="D166" s="15" t="n">
        <v>6</v>
      </c>
      <c r="E166" s="15" t="n">
        <v>4</v>
      </c>
      <c r="F166" s="13" t="s">
        <v>365</v>
      </c>
      <c r="G166" s="4" t="s">
        <v>378</v>
      </c>
      <c r="H166" s="13" t="s">
        <v>359</v>
      </c>
      <c r="I166" s="16" t="n">
        <f aca="false">INDEX(C166:E166,$C$4)</f>
        <v>6</v>
      </c>
      <c r="J166" s="13" t="s">
        <v>96</v>
      </c>
    </row>
    <row r="167" customFormat="false" ht="15" hidden="false" customHeight="false" outlineLevel="0" collapsed="false">
      <c r="A167" s="3" t="s">
        <v>514</v>
      </c>
      <c r="B167" s="4" t="s">
        <v>515</v>
      </c>
      <c r="C167" s="15" t="n">
        <v>2</v>
      </c>
      <c r="D167" s="15" t="n">
        <v>2</v>
      </c>
      <c r="E167" s="15" t="n">
        <v>2</v>
      </c>
      <c r="F167" s="13" t="s">
        <v>365</v>
      </c>
      <c r="G167" s="4" t="s">
        <v>516</v>
      </c>
      <c r="H167" s="13" t="s">
        <v>359</v>
      </c>
      <c r="I167" s="16" t="n">
        <f aca="false">INDEX(C167:E167,$C$4)</f>
        <v>2</v>
      </c>
      <c r="J167" s="13" t="s">
        <v>96</v>
      </c>
    </row>
    <row r="168" customFormat="false" ht="15" hidden="false" customHeight="false" outlineLevel="0" collapsed="false">
      <c r="A168" s="3" t="s">
        <v>517</v>
      </c>
      <c r="B168" s="4" t="s">
        <v>518</v>
      </c>
      <c r="C168" s="15" t="n">
        <v>2</v>
      </c>
      <c r="D168" s="15" t="n">
        <v>2</v>
      </c>
      <c r="E168" s="15" t="n">
        <v>2</v>
      </c>
      <c r="F168" s="13" t="s">
        <v>365</v>
      </c>
      <c r="G168" s="4" t="s">
        <v>519</v>
      </c>
      <c r="H168" s="13" t="s">
        <v>359</v>
      </c>
      <c r="I168" s="16" t="n">
        <f aca="false">INDEX(C168:E168,$C$4)</f>
        <v>2</v>
      </c>
      <c r="J168" s="13" t="s">
        <v>96</v>
      </c>
    </row>
    <row r="169" customFormat="false" ht="15" hidden="false" customHeight="false" outlineLevel="0" collapsed="false">
      <c r="A169" s="3" t="s">
        <v>520</v>
      </c>
      <c r="B169" s="4" t="s">
        <v>521</v>
      </c>
      <c r="C169" s="15" t="n">
        <v>3</v>
      </c>
      <c r="D169" s="15" t="n">
        <v>3</v>
      </c>
      <c r="E169" s="15" t="n">
        <v>3</v>
      </c>
      <c r="F169" s="13" t="s">
        <v>365</v>
      </c>
      <c r="G169" s="4" t="s">
        <v>522</v>
      </c>
      <c r="H169" s="13" t="s">
        <v>359</v>
      </c>
      <c r="I169" s="16" t="n">
        <f aca="false">INDEX(C169:E169,$C$4)</f>
        <v>3</v>
      </c>
      <c r="J169" s="13" t="s">
        <v>96</v>
      </c>
    </row>
    <row r="170" customFormat="false" ht="28.35" hidden="false" customHeight="false" outlineLevel="0" collapsed="false">
      <c r="A170" s="3" t="s">
        <v>523</v>
      </c>
      <c r="B170" s="4" t="s">
        <v>524</v>
      </c>
      <c r="C170" s="17" t="n">
        <v>3333</v>
      </c>
      <c r="D170" s="17" t="n">
        <v>15833</v>
      </c>
      <c r="E170" s="17" t="n">
        <v>19167</v>
      </c>
      <c r="F170" s="13" t="s">
        <v>340</v>
      </c>
      <c r="G170" s="4" t="s">
        <v>525</v>
      </c>
      <c r="H170" s="13" t="s">
        <v>359</v>
      </c>
      <c r="I170" s="18" t="n">
        <f aca="false">INDEX(C170:E170,$C$4)</f>
        <v>15833</v>
      </c>
      <c r="J170" s="13" t="s">
        <v>96</v>
      </c>
    </row>
    <row r="171" customFormat="false" ht="15" hidden="false" customHeight="false" outlineLevel="0" collapsed="false">
      <c r="A171" s="3" t="s">
        <v>526</v>
      </c>
      <c r="B171" s="4" t="s">
        <v>527</v>
      </c>
      <c r="C171" s="15" t="n">
        <v>8</v>
      </c>
      <c r="D171" s="15" t="n">
        <v>8</v>
      </c>
      <c r="E171" s="15" t="n">
        <v>8</v>
      </c>
      <c r="F171" s="13" t="s">
        <v>528</v>
      </c>
      <c r="G171" s="4" t="s">
        <v>529</v>
      </c>
      <c r="H171" s="13" t="s">
        <v>92</v>
      </c>
      <c r="I171" s="16" t="n">
        <f aca="false">INDEX(C171:E171,$C$4)</f>
        <v>8</v>
      </c>
      <c r="J171" s="13" t="s">
        <v>87</v>
      </c>
    </row>
    <row r="172" customFormat="false" ht="15" hidden="false" customHeight="false" outlineLevel="0" collapsed="false">
      <c r="A172" s="3" t="s">
        <v>530</v>
      </c>
      <c r="B172" s="4" t="s">
        <v>531</v>
      </c>
      <c r="C172" s="23" t="n">
        <v>2</v>
      </c>
      <c r="D172" s="23" t="n">
        <v>2</v>
      </c>
      <c r="E172" s="23" t="n">
        <v>2</v>
      </c>
      <c r="F172" s="13" t="s">
        <v>350</v>
      </c>
      <c r="G172" s="4" t="s">
        <v>532</v>
      </c>
      <c r="H172" s="13" t="s">
        <v>92</v>
      </c>
      <c r="I172" s="24" t="n">
        <f aca="false">INDEX(C172:E172,$C$4)</f>
        <v>2</v>
      </c>
      <c r="J172" s="13" t="s">
        <v>96</v>
      </c>
    </row>
    <row r="173" customFormat="false" ht="28.35" hidden="false" customHeight="false" outlineLevel="0" collapsed="false">
      <c r="A173" s="3" t="s">
        <v>533</v>
      </c>
      <c r="B173" s="4" t="s">
        <v>534</v>
      </c>
      <c r="C173" s="15" t="n">
        <v>99</v>
      </c>
      <c r="D173" s="15" t="n">
        <v>7</v>
      </c>
      <c r="E173" s="15" t="n">
        <v>4</v>
      </c>
      <c r="F173" s="13" t="s">
        <v>365</v>
      </c>
      <c r="G173" s="4" t="s">
        <v>535</v>
      </c>
      <c r="H173" s="13" t="s">
        <v>92</v>
      </c>
      <c r="I173" s="16" t="n">
        <f aca="false">INDEX(C173:E173,$C$4)</f>
        <v>7</v>
      </c>
      <c r="J173" s="13" t="s">
        <v>96</v>
      </c>
    </row>
    <row r="174" customFormat="false" ht="15" hidden="false" customHeight="false" outlineLevel="0" collapsed="false">
      <c r="A174" s="3" t="s">
        <v>536</v>
      </c>
      <c r="B174" s="4" t="s">
        <v>537</v>
      </c>
      <c r="C174" s="15" t="n">
        <v>0</v>
      </c>
      <c r="D174" s="15" t="n">
        <v>1300</v>
      </c>
      <c r="E174" s="15" t="n">
        <v>1600</v>
      </c>
      <c r="F174" s="13" t="s">
        <v>538</v>
      </c>
      <c r="G174" s="4" t="s">
        <v>539</v>
      </c>
      <c r="H174" s="13" t="s">
        <v>92</v>
      </c>
      <c r="I174" s="16" t="n">
        <f aca="false">INDEX(C174:E174,$C$4)</f>
        <v>1300</v>
      </c>
      <c r="J174" s="13" t="s">
        <v>96</v>
      </c>
    </row>
    <row r="175" customFormat="false" ht="28.35" hidden="false" customHeight="false" outlineLevel="0" collapsed="false">
      <c r="A175" s="3" t="s">
        <v>540</v>
      </c>
      <c r="B175" s="4" t="s">
        <v>541</v>
      </c>
      <c r="C175" s="17" t="n">
        <v>113</v>
      </c>
      <c r="D175" s="17" t="n">
        <v>80</v>
      </c>
      <c r="E175" s="17" t="n">
        <v>80</v>
      </c>
      <c r="F175" s="13" t="s">
        <v>542</v>
      </c>
      <c r="G175" s="4" t="s">
        <v>543</v>
      </c>
      <c r="H175" s="13" t="s">
        <v>544</v>
      </c>
      <c r="I175" s="18" t="n">
        <f aca="false">INDEX(C175:E175,$C$4)</f>
        <v>80</v>
      </c>
      <c r="J175" s="13" t="s">
        <v>87</v>
      </c>
    </row>
    <row r="176" customFormat="false" ht="15" hidden="false" customHeight="false" outlineLevel="0" collapsed="false">
      <c r="A176" s="3" t="s">
        <v>545</v>
      </c>
      <c r="B176" s="4" t="s">
        <v>546</v>
      </c>
      <c r="C176" s="15" t="n">
        <v>8</v>
      </c>
      <c r="D176" s="15" t="n">
        <v>12</v>
      </c>
      <c r="E176" s="15" t="n">
        <v>16</v>
      </c>
      <c r="F176" s="13" t="s">
        <v>528</v>
      </c>
      <c r="G176" s="4" t="s">
        <v>547</v>
      </c>
      <c r="H176" s="13" t="s">
        <v>92</v>
      </c>
      <c r="I176" s="16" t="n">
        <f aca="false">INDEX(C176:E176,$C$4)</f>
        <v>12</v>
      </c>
      <c r="J176" s="13" t="s">
        <v>96</v>
      </c>
    </row>
    <row r="177" customFormat="false" ht="15" hidden="false" customHeight="false" outlineLevel="0" collapsed="false">
      <c r="A177" s="3" t="s">
        <v>548</v>
      </c>
      <c r="B177" s="4" t="s">
        <v>549</v>
      </c>
      <c r="C177" s="23" t="n">
        <v>2</v>
      </c>
      <c r="D177" s="23" t="n">
        <v>2.5</v>
      </c>
      <c r="E177" s="23" t="n">
        <v>2.5</v>
      </c>
      <c r="F177" s="13" t="s">
        <v>350</v>
      </c>
      <c r="G177" s="4" t="s">
        <v>550</v>
      </c>
      <c r="H177" s="13" t="s">
        <v>92</v>
      </c>
      <c r="I177" s="24" t="n">
        <f aca="false">INDEX(C177:E177,$C$4)</f>
        <v>2.5</v>
      </c>
      <c r="J177" s="13" t="s">
        <v>96</v>
      </c>
    </row>
    <row r="178" customFormat="false" ht="15" hidden="false" customHeight="false" outlineLevel="0" collapsed="false">
      <c r="A178" s="3" t="s">
        <v>551</v>
      </c>
      <c r="B178" s="4" t="s">
        <v>552</v>
      </c>
      <c r="C178" s="19" t="n">
        <v>0.9</v>
      </c>
      <c r="D178" s="19" t="n">
        <v>0.9</v>
      </c>
      <c r="E178" s="19" t="n">
        <v>0.9</v>
      </c>
      <c r="F178" s="13" t="s">
        <v>99</v>
      </c>
      <c r="G178" s="4" t="s">
        <v>553</v>
      </c>
      <c r="H178" s="13" t="s">
        <v>92</v>
      </c>
      <c r="I178" s="20" t="n">
        <f aca="false">INDEX(C178:E178,$C$4)</f>
        <v>0.9</v>
      </c>
      <c r="J178" s="13" t="s">
        <v>87</v>
      </c>
    </row>
    <row r="179" customFormat="false" ht="28.35" hidden="false" customHeight="false" outlineLevel="0" collapsed="false">
      <c r="A179" s="3" t="s">
        <v>554</v>
      </c>
      <c r="B179" s="4" t="s">
        <v>555</v>
      </c>
      <c r="C179" s="17" t="n">
        <v>45000</v>
      </c>
      <c r="D179" s="17" t="n">
        <v>35000</v>
      </c>
      <c r="E179" s="17" t="n">
        <v>35000</v>
      </c>
      <c r="F179" s="13" t="s">
        <v>340</v>
      </c>
      <c r="G179" s="4" t="s">
        <v>556</v>
      </c>
      <c r="H179" s="13" t="s">
        <v>92</v>
      </c>
      <c r="I179" s="18" t="n">
        <f aca="false">INDEX(C179:E179,$C$4)</f>
        <v>35000</v>
      </c>
      <c r="J179" s="13" t="s">
        <v>87</v>
      </c>
    </row>
    <row r="180" customFormat="false" ht="15" hidden="false" customHeight="false" outlineLevel="0" collapsed="false">
      <c r="A180" s="3" t="s">
        <v>557</v>
      </c>
      <c r="B180" s="4" t="s">
        <v>558</v>
      </c>
      <c r="C180" s="17" t="n">
        <v>12000</v>
      </c>
      <c r="D180" s="17" t="n">
        <v>10000</v>
      </c>
      <c r="E180" s="17" t="n">
        <v>10000</v>
      </c>
      <c r="F180" s="13" t="s">
        <v>340</v>
      </c>
      <c r="G180" s="4" t="s">
        <v>329</v>
      </c>
      <c r="H180" s="13" t="s">
        <v>92</v>
      </c>
      <c r="I180" s="18" t="n">
        <f aca="false">INDEX(C180:E180,$C$4)</f>
        <v>10000</v>
      </c>
      <c r="J180" s="13" t="s">
        <v>87</v>
      </c>
    </row>
    <row r="181" customFormat="false" ht="15" hidden="false" customHeight="false" outlineLevel="0" collapsed="false">
      <c r="A181" s="3" t="s">
        <v>559</v>
      </c>
      <c r="B181" s="4" t="s">
        <v>560</v>
      </c>
      <c r="C181" s="17" t="n">
        <v>14</v>
      </c>
      <c r="D181" s="17" t="n">
        <v>12</v>
      </c>
      <c r="E181" s="17" t="n">
        <v>12</v>
      </c>
      <c r="F181" s="13" t="s">
        <v>542</v>
      </c>
      <c r="G181" s="4" t="s">
        <v>561</v>
      </c>
      <c r="H181" s="13" t="s">
        <v>92</v>
      </c>
      <c r="I181" s="18" t="n">
        <f aca="false">INDEX(C181:E181,$C$4)</f>
        <v>12</v>
      </c>
      <c r="J181" s="13" t="s">
        <v>87</v>
      </c>
    </row>
    <row r="182" customFormat="false" ht="15" hidden="false" customHeight="false" outlineLevel="0" collapsed="false">
      <c r="A182" s="3" t="s">
        <v>562</v>
      </c>
      <c r="B182" s="4" t="s">
        <v>563</v>
      </c>
      <c r="C182" s="17" t="n">
        <v>900</v>
      </c>
      <c r="D182" s="17" t="n">
        <v>800</v>
      </c>
      <c r="E182" s="17" t="n">
        <v>800</v>
      </c>
      <c r="F182" s="13" t="s">
        <v>564</v>
      </c>
      <c r="G182" s="4" t="s">
        <v>565</v>
      </c>
      <c r="H182" s="13" t="s">
        <v>359</v>
      </c>
      <c r="I182" s="18" t="n">
        <f aca="false">INDEX(C182:E182,$C$4)</f>
        <v>800</v>
      </c>
      <c r="J182" s="13" t="s">
        <v>87</v>
      </c>
    </row>
    <row r="183" customFormat="false" ht="28.35" hidden="false" customHeight="false" outlineLevel="0" collapsed="false">
      <c r="A183" s="3" t="s">
        <v>566</v>
      </c>
      <c r="B183" s="4" t="s">
        <v>567</v>
      </c>
      <c r="C183" s="17" t="n">
        <v>35000</v>
      </c>
      <c r="D183" s="17" t="n">
        <v>30000</v>
      </c>
      <c r="E183" s="17" t="n">
        <v>30000</v>
      </c>
      <c r="F183" s="13" t="s">
        <v>568</v>
      </c>
      <c r="G183" s="4" t="s">
        <v>329</v>
      </c>
      <c r="H183" s="13" t="s">
        <v>92</v>
      </c>
      <c r="I183" s="18" t="n">
        <f aca="false">INDEX(C183:E183,$C$4)</f>
        <v>30000</v>
      </c>
      <c r="J183" s="13" t="s">
        <v>87</v>
      </c>
    </row>
    <row r="184" customFormat="false" ht="15" hidden="false" customHeight="false" outlineLevel="0" collapsed="false">
      <c r="A184" s="3" t="s">
        <v>569</v>
      </c>
      <c r="B184" s="4" t="s">
        <v>570</v>
      </c>
      <c r="C184" s="23" t="n">
        <v>3</v>
      </c>
      <c r="D184" s="23" t="n">
        <v>3</v>
      </c>
      <c r="E184" s="23" t="n">
        <v>3</v>
      </c>
      <c r="F184" s="13" t="s">
        <v>571</v>
      </c>
      <c r="G184" s="4" t="s">
        <v>572</v>
      </c>
      <c r="H184" s="13" t="s">
        <v>92</v>
      </c>
      <c r="I184" s="24" t="n">
        <f aca="false">INDEX(C184:E184,$C$4)</f>
        <v>3</v>
      </c>
      <c r="J184" s="13" t="s">
        <v>87</v>
      </c>
    </row>
    <row r="185" customFormat="false" ht="15" hidden="false" customHeight="false" outlineLevel="0" collapsed="false">
      <c r="A185" s="3" t="s">
        <v>573</v>
      </c>
      <c r="B185" s="4" t="s">
        <v>574</v>
      </c>
      <c r="C185" s="17" t="n">
        <v>0</v>
      </c>
      <c r="D185" s="17" t="n">
        <v>18000</v>
      </c>
      <c r="E185" s="17" t="n">
        <v>18000</v>
      </c>
      <c r="F185" s="13" t="s">
        <v>340</v>
      </c>
      <c r="G185" s="4" t="s">
        <v>329</v>
      </c>
      <c r="H185" s="13" t="s">
        <v>92</v>
      </c>
      <c r="I185" s="18" t="n">
        <f aca="false">INDEX(C185:E185,$C$4)</f>
        <v>18000</v>
      </c>
      <c r="J185" s="13" t="s">
        <v>96</v>
      </c>
    </row>
    <row r="186" customFormat="false" ht="15" hidden="false" customHeight="false" outlineLevel="0" collapsed="false">
      <c r="A186" s="3" t="s">
        <v>575</v>
      </c>
      <c r="B186" s="4" t="s">
        <v>576</v>
      </c>
      <c r="C186" s="17" t="n">
        <v>65000</v>
      </c>
      <c r="D186" s="17" t="n">
        <v>65000</v>
      </c>
      <c r="E186" s="17" t="n">
        <v>65000</v>
      </c>
      <c r="F186" s="13" t="s">
        <v>340</v>
      </c>
      <c r="G186" s="4" t="s">
        <v>577</v>
      </c>
      <c r="H186" s="13" t="s">
        <v>92</v>
      </c>
      <c r="I186" s="18" t="n">
        <f aca="false">INDEX(C186:E186,$C$4)</f>
        <v>65000</v>
      </c>
      <c r="J186" s="13" t="s">
        <v>87</v>
      </c>
    </row>
    <row r="187" customFormat="false" ht="15" hidden="false" customHeight="false" outlineLevel="0" collapsed="false">
      <c r="A187" s="3" t="s">
        <v>578</v>
      </c>
      <c r="B187" s="4" t="s">
        <v>579</v>
      </c>
      <c r="C187" s="15" t="n">
        <v>99</v>
      </c>
      <c r="D187" s="15" t="n">
        <v>13</v>
      </c>
      <c r="E187" s="15" t="n">
        <v>10</v>
      </c>
      <c r="F187" s="13" t="s">
        <v>365</v>
      </c>
      <c r="G187" s="4" t="s">
        <v>580</v>
      </c>
      <c r="H187" s="13" t="s">
        <v>92</v>
      </c>
      <c r="I187" s="16" t="n">
        <f aca="false">INDEX(C187:E187,$C$4)</f>
        <v>13</v>
      </c>
      <c r="J187" s="13" t="s">
        <v>96</v>
      </c>
    </row>
    <row r="188" customFormat="false" ht="15" hidden="false" customHeight="false" outlineLevel="0" collapsed="false">
      <c r="A188" s="3" t="s">
        <v>581</v>
      </c>
      <c r="B188" s="4" t="s">
        <v>582</v>
      </c>
      <c r="C188" s="17" t="n">
        <v>5000</v>
      </c>
      <c r="D188" s="17" t="n">
        <v>5000</v>
      </c>
      <c r="E188" s="17" t="n">
        <v>8000</v>
      </c>
      <c r="F188" s="13" t="s">
        <v>340</v>
      </c>
      <c r="G188" s="4" t="s">
        <v>583</v>
      </c>
      <c r="H188" s="13" t="s">
        <v>92</v>
      </c>
      <c r="I188" s="18" t="n">
        <f aca="false">INDEX(C188:E188,$C$4)</f>
        <v>5000</v>
      </c>
      <c r="J188" s="13" t="s">
        <v>96</v>
      </c>
    </row>
    <row r="189" customFormat="false" ht="28.35" hidden="false" customHeight="false" outlineLevel="0" collapsed="false">
      <c r="A189" s="3" t="s">
        <v>584</v>
      </c>
      <c r="B189" s="4" t="s">
        <v>585</v>
      </c>
      <c r="C189" s="15" t="n">
        <v>99</v>
      </c>
      <c r="D189" s="15" t="n">
        <v>10</v>
      </c>
      <c r="E189" s="15" t="n">
        <v>8</v>
      </c>
      <c r="F189" s="13" t="s">
        <v>365</v>
      </c>
      <c r="G189" s="4" t="s">
        <v>586</v>
      </c>
      <c r="H189" s="13" t="s">
        <v>92</v>
      </c>
      <c r="I189" s="16" t="n">
        <f aca="false">INDEX(C189:E189,$C$4)</f>
        <v>10</v>
      </c>
      <c r="J189" s="13" t="s">
        <v>96</v>
      </c>
    </row>
    <row r="190" customFormat="false" ht="28.35" hidden="false" customHeight="false" outlineLevel="0" collapsed="false">
      <c r="A190" s="3" t="s">
        <v>587</v>
      </c>
      <c r="B190" s="4" t="s">
        <v>588</v>
      </c>
      <c r="C190" s="17" t="n">
        <v>100000</v>
      </c>
      <c r="D190" s="17" t="n">
        <v>350000</v>
      </c>
      <c r="E190" s="17" t="n">
        <v>550000</v>
      </c>
      <c r="F190" s="13" t="s">
        <v>90</v>
      </c>
      <c r="G190" s="4" t="s">
        <v>589</v>
      </c>
      <c r="H190" s="13" t="s">
        <v>359</v>
      </c>
      <c r="I190" s="18" t="n">
        <f aca="false">INDEX(C190:E190,$C$4)</f>
        <v>350000</v>
      </c>
      <c r="J190" s="13" t="s">
        <v>96</v>
      </c>
    </row>
    <row r="191" customFormat="false" ht="15" hidden="false" customHeight="false" outlineLevel="0" collapsed="false">
      <c r="A191" s="3" t="s">
        <v>590</v>
      </c>
      <c r="B191" s="4" t="s">
        <v>591</v>
      </c>
      <c r="C191" s="15" t="n">
        <v>99</v>
      </c>
      <c r="D191" s="15" t="n">
        <v>9</v>
      </c>
      <c r="E191" s="15" t="n">
        <v>6</v>
      </c>
      <c r="F191" s="13" t="s">
        <v>365</v>
      </c>
      <c r="G191" s="4" t="s">
        <v>592</v>
      </c>
      <c r="H191" s="13" t="s">
        <v>92</v>
      </c>
      <c r="I191" s="16" t="n">
        <f aca="false">INDEX(C191:E191,$C$4)</f>
        <v>9</v>
      </c>
      <c r="J191" s="13" t="s">
        <v>96</v>
      </c>
    </row>
    <row r="192" customFormat="false" ht="15" hidden="false" customHeight="false" outlineLevel="0" collapsed="false">
      <c r="A192" s="3" t="s">
        <v>593</v>
      </c>
      <c r="B192" s="4" t="s">
        <v>594</v>
      </c>
      <c r="C192" s="15" t="n">
        <v>12</v>
      </c>
      <c r="D192" s="15" t="n">
        <v>24</v>
      </c>
      <c r="E192" s="15" t="n">
        <v>30</v>
      </c>
      <c r="F192" s="13" t="s">
        <v>595</v>
      </c>
      <c r="G192" s="4" t="s">
        <v>596</v>
      </c>
      <c r="H192" s="13" t="s">
        <v>92</v>
      </c>
      <c r="I192" s="16" t="n">
        <f aca="false">INDEX(C192:E192,$C$4)</f>
        <v>24</v>
      </c>
      <c r="J192" s="13" t="s">
        <v>96</v>
      </c>
    </row>
    <row r="193" customFormat="false" ht="15" hidden="false" customHeight="false" outlineLevel="0" collapsed="false">
      <c r="A193" s="3" t="s">
        <v>597</v>
      </c>
      <c r="B193" s="4" t="s">
        <v>598</v>
      </c>
      <c r="C193" s="19" t="n">
        <v>0.75</v>
      </c>
      <c r="D193" s="19" t="n">
        <v>0.85</v>
      </c>
      <c r="E193" s="19" t="n">
        <v>0.9</v>
      </c>
      <c r="F193" s="13" t="s">
        <v>99</v>
      </c>
      <c r="G193" s="4" t="s">
        <v>599</v>
      </c>
      <c r="H193" s="13" t="s">
        <v>92</v>
      </c>
      <c r="I193" s="20" t="n">
        <f aca="false">INDEX(C193:E193,$C$4)</f>
        <v>0.85</v>
      </c>
      <c r="J193" s="13" t="s">
        <v>87</v>
      </c>
    </row>
    <row r="194" customFormat="false" ht="15" hidden="false" customHeight="false" outlineLevel="0" collapsed="false">
      <c r="A194" s="3" t="s">
        <v>600</v>
      </c>
      <c r="B194" s="4" t="s">
        <v>601</v>
      </c>
      <c r="C194" s="15" t="n">
        <v>10</v>
      </c>
      <c r="D194" s="15" t="n">
        <v>15</v>
      </c>
      <c r="E194" s="15" t="n">
        <v>22</v>
      </c>
      <c r="F194" s="13" t="s">
        <v>595</v>
      </c>
      <c r="G194" s="4" t="s">
        <v>602</v>
      </c>
      <c r="H194" s="13" t="s">
        <v>92</v>
      </c>
      <c r="I194" s="16" t="n">
        <f aca="false">INDEX(C194:E194,$C$4)</f>
        <v>15</v>
      </c>
      <c r="J194" s="13" t="s">
        <v>96</v>
      </c>
    </row>
    <row r="195" customFormat="false" ht="15" hidden="false" customHeight="false" outlineLevel="0" collapsed="false">
      <c r="A195" s="3" t="s">
        <v>603</v>
      </c>
      <c r="B195" s="4" t="s">
        <v>604</v>
      </c>
      <c r="C195" s="17" t="n">
        <v>12000</v>
      </c>
      <c r="D195" s="17" t="n">
        <v>15000</v>
      </c>
      <c r="E195" s="17" t="n">
        <v>20000</v>
      </c>
      <c r="F195" s="13" t="s">
        <v>340</v>
      </c>
      <c r="G195" s="4" t="s">
        <v>329</v>
      </c>
      <c r="H195" s="13" t="s">
        <v>92</v>
      </c>
      <c r="I195" s="18" t="n">
        <f aca="false">INDEX(C195:E195,$C$4)</f>
        <v>15000</v>
      </c>
      <c r="J195" s="13" t="s">
        <v>96</v>
      </c>
    </row>
    <row r="196" customFormat="false" ht="28.35" hidden="false" customHeight="false" outlineLevel="0" collapsed="false">
      <c r="A196" s="3" t="s">
        <v>605</v>
      </c>
      <c r="B196" s="4" t="s">
        <v>606</v>
      </c>
      <c r="C196" s="17" t="n">
        <v>50000</v>
      </c>
      <c r="D196" s="17" t="n">
        <v>150000</v>
      </c>
      <c r="E196" s="17" t="n">
        <v>200000</v>
      </c>
      <c r="F196" s="13" t="s">
        <v>90</v>
      </c>
      <c r="G196" s="4" t="s">
        <v>607</v>
      </c>
      <c r="H196" s="13" t="s">
        <v>359</v>
      </c>
      <c r="I196" s="18" t="n">
        <f aca="false">INDEX(C196:E196,$C$4)</f>
        <v>150000</v>
      </c>
      <c r="J196" s="13" t="s">
        <v>96</v>
      </c>
    </row>
    <row r="197" customFormat="false" ht="28.35" hidden="false" customHeight="false" outlineLevel="0" collapsed="false">
      <c r="A197" s="3" t="s">
        <v>608</v>
      </c>
      <c r="B197" s="4" t="s">
        <v>609</v>
      </c>
      <c r="C197" s="17" t="n">
        <v>50000</v>
      </c>
      <c r="D197" s="17" t="n">
        <v>150000</v>
      </c>
      <c r="E197" s="17" t="n">
        <v>250000</v>
      </c>
      <c r="F197" s="13" t="s">
        <v>90</v>
      </c>
      <c r="G197" s="4" t="s">
        <v>610</v>
      </c>
      <c r="H197" s="13" t="s">
        <v>359</v>
      </c>
      <c r="I197" s="18" t="n">
        <f aca="false">INDEX(C197:E197,$C$4)</f>
        <v>150000</v>
      </c>
      <c r="J197" s="13" t="s">
        <v>96</v>
      </c>
    </row>
    <row r="198" customFormat="false" ht="15" hidden="false" customHeight="false" outlineLevel="0" collapsed="false">
      <c r="A198" s="3" t="s">
        <v>611</v>
      </c>
      <c r="B198" s="4" t="s">
        <v>612</v>
      </c>
      <c r="C198" s="19" t="n">
        <v>0.2</v>
      </c>
      <c r="D198" s="19" t="n">
        <v>0.2</v>
      </c>
      <c r="E198" s="19" t="n">
        <v>0.2</v>
      </c>
      <c r="F198" s="13" t="s">
        <v>99</v>
      </c>
      <c r="G198" s="4" t="s">
        <v>152</v>
      </c>
      <c r="H198" s="13" t="s">
        <v>92</v>
      </c>
      <c r="I198" s="20" t="n">
        <f aca="false">INDEX(C198:E198,$C$4)</f>
        <v>0.2</v>
      </c>
      <c r="J198" s="13" t="s">
        <v>87</v>
      </c>
    </row>
    <row r="199" customFormat="false" ht="15" hidden="false" customHeight="false" outlineLevel="0" collapsed="false">
      <c r="A199" s="3" t="s">
        <v>613</v>
      </c>
      <c r="B199" s="4" t="s">
        <v>614</v>
      </c>
      <c r="C199" s="19" t="n">
        <v>0.05</v>
      </c>
      <c r="D199" s="19" t="n">
        <v>0.1</v>
      </c>
      <c r="E199" s="19" t="n">
        <v>0.15</v>
      </c>
      <c r="F199" s="13" t="s">
        <v>99</v>
      </c>
      <c r="G199" s="4" t="s">
        <v>615</v>
      </c>
      <c r="H199" s="13" t="s">
        <v>92</v>
      </c>
      <c r="I199" s="20" t="n">
        <f aca="false">INDEX(C199:E199,$C$4)</f>
        <v>0.1</v>
      </c>
      <c r="J199" s="13" t="s">
        <v>96</v>
      </c>
    </row>
    <row r="200" customFormat="false" ht="15" hidden="false" customHeight="false" outlineLevel="0" collapsed="false">
      <c r="A200" s="3" t="s">
        <v>616</v>
      </c>
      <c r="B200" s="4" t="s">
        <v>617</v>
      </c>
      <c r="C200" s="19" t="n">
        <v>0.05</v>
      </c>
      <c r="D200" s="19" t="n">
        <v>0.1</v>
      </c>
      <c r="E200" s="19" t="n">
        <v>0.12</v>
      </c>
      <c r="F200" s="13" t="s">
        <v>99</v>
      </c>
      <c r="G200" s="4" t="s">
        <v>615</v>
      </c>
      <c r="H200" s="13" t="s">
        <v>92</v>
      </c>
      <c r="I200" s="20" t="n">
        <f aca="false">INDEX(C200:E200,$C$4)</f>
        <v>0.1</v>
      </c>
      <c r="J200" s="13" t="s">
        <v>96</v>
      </c>
    </row>
    <row r="201" customFormat="false" ht="15" hidden="false" customHeight="false" outlineLevel="0" collapsed="false">
      <c r="A201" s="3" t="s">
        <v>618</v>
      </c>
      <c r="B201" s="4" t="s">
        <v>619</v>
      </c>
      <c r="C201" s="19" t="n">
        <v>0.15</v>
      </c>
      <c r="D201" s="19" t="n">
        <v>0.25</v>
      </c>
      <c r="E201" s="19" t="n">
        <v>0.35</v>
      </c>
      <c r="F201" s="13" t="s">
        <v>99</v>
      </c>
      <c r="G201" s="4" t="s">
        <v>620</v>
      </c>
      <c r="H201" s="13" t="s">
        <v>92</v>
      </c>
      <c r="I201" s="20" t="n">
        <f aca="false">INDEX(C201:E201,$C$4)</f>
        <v>0.25</v>
      </c>
      <c r="J201" s="13" t="s">
        <v>96</v>
      </c>
    </row>
    <row r="202" customFormat="false" ht="15" hidden="false" customHeight="false" outlineLevel="0" collapsed="false">
      <c r="A202" s="3" t="s">
        <v>621</v>
      </c>
      <c r="B202" s="4" t="s">
        <v>622</v>
      </c>
      <c r="C202" s="19" t="n">
        <v>0.18</v>
      </c>
      <c r="D202" s="19" t="n">
        <v>0.3</v>
      </c>
      <c r="E202" s="19" t="n">
        <v>0.4</v>
      </c>
      <c r="F202" s="13" t="s">
        <v>99</v>
      </c>
      <c r="G202" s="4" t="s">
        <v>623</v>
      </c>
      <c r="H202" s="13" t="s">
        <v>92</v>
      </c>
      <c r="I202" s="20" t="n">
        <f aca="false">INDEX(C202:E202,$C$4)</f>
        <v>0.3</v>
      </c>
      <c r="J202" s="13" t="s">
        <v>96</v>
      </c>
    </row>
    <row r="203" customFormat="false" ht="28.35" hidden="false" customHeight="false" outlineLevel="0" collapsed="false">
      <c r="A203" s="3" t="s">
        <v>624</v>
      </c>
      <c r="B203" s="4" t="s">
        <v>625</v>
      </c>
      <c r="C203" s="15" t="n">
        <v>0</v>
      </c>
      <c r="D203" s="15" t="n">
        <v>15</v>
      </c>
      <c r="E203" s="15" t="n">
        <v>30</v>
      </c>
      <c r="F203" s="13" t="s">
        <v>353</v>
      </c>
      <c r="G203" s="4" t="s">
        <v>626</v>
      </c>
      <c r="H203" s="13" t="s">
        <v>92</v>
      </c>
      <c r="I203" s="16" t="n">
        <f aca="false">INDEX(C203:E203,$C$4)</f>
        <v>15</v>
      </c>
      <c r="J203" s="13" t="s">
        <v>96</v>
      </c>
    </row>
    <row r="204" customFormat="false" ht="15" hidden="false" customHeight="false" outlineLevel="0" collapsed="false">
      <c r="A204" s="3" t="s">
        <v>627</v>
      </c>
      <c r="B204" s="4" t="s">
        <v>628</v>
      </c>
      <c r="C204" s="15" t="n">
        <v>8</v>
      </c>
      <c r="D204" s="15" t="n">
        <v>35</v>
      </c>
      <c r="E204" s="15" t="n">
        <v>60</v>
      </c>
      <c r="F204" s="13" t="s">
        <v>353</v>
      </c>
      <c r="G204" s="4" t="s">
        <v>629</v>
      </c>
      <c r="H204" s="13" t="s">
        <v>92</v>
      </c>
      <c r="I204" s="16" t="n">
        <f aca="false">INDEX(C204:E204,$C$4)</f>
        <v>35</v>
      </c>
      <c r="J204" s="13" t="s">
        <v>96</v>
      </c>
    </row>
    <row r="205" customFormat="false" ht="15" hidden="false" customHeight="false" outlineLevel="0" collapsed="false">
      <c r="A205" s="3" t="s">
        <v>630</v>
      </c>
      <c r="B205" s="4" t="s">
        <v>631</v>
      </c>
      <c r="C205" s="15" t="n">
        <v>110</v>
      </c>
      <c r="D205" s="15" t="n">
        <v>220</v>
      </c>
      <c r="E205" s="15" t="n">
        <v>330</v>
      </c>
      <c r="F205" s="13" t="s">
        <v>632</v>
      </c>
      <c r="G205" s="4" t="s">
        <v>633</v>
      </c>
      <c r="H205" s="13" t="s">
        <v>92</v>
      </c>
      <c r="I205" s="16" t="n">
        <f aca="false">INDEX(C205:E205,$C$4)</f>
        <v>220</v>
      </c>
      <c r="J205" s="13" t="s">
        <v>96</v>
      </c>
    </row>
    <row r="206" customFormat="false" ht="15" hidden="false" customHeight="false" outlineLevel="0" collapsed="false">
      <c r="A206" s="3" t="s">
        <v>634</v>
      </c>
      <c r="B206" s="4" t="s">
        <v>635</v>
      </c>
      <c r="C206" s="15" t="n">
        <v>130</v>
      </c>
      <c r="D206" s="15" t="n">
        <v>280</v>
      </c>
      <c r="E206" s="15" t="n">
        <v>420</v>
      </c>
      <c r="F206" s="13" t="s">
        <v>632</v>
      </c>
      <c r="G206" s="4" t="s">
        <v>636</v>
      </c>
      <c r="H206" s="13" t="s">
        <v>92</v>
      </c>
      <c r="I206" s="16" t="n">
        <f aca="false">INDEX(C206:E206,$C$4)</f>
        <v>280</v>
      </c>
      <c r="J206" s="13" t="s">
        <v>96</v>
      </c>
    </row>
    <row r="207" customFormat="false" ht="15" hidden="false" customHeight="false" outlineLevel="0" collapsed="false">
      <c r="A207" s="3" t="s">
        <v>637</v>
      </c>
      <c r="B207" s="4" t="s">
        <v>638</v>
      </c>
      <c r="C207" s="15" t="n">
        <v>110</v>
      </c>
      <c r="D207" s="15" t="n">
        <v>170</v>
      </c>
      <c r="E207" s="15" t="n">
        <v>250</v>
      </c>
      <c r="F207" s="13" t="s">
        <v>632</v>
      </c>
      <c r="G207" s="4" t="s">
        <v>615</v>
      </c>
      <c r="H207" s="13" t="s">
        <v>92</v>
      </c>
      <c r="I207" s="16" t="n">
        <f aca="false">INDEX(C207:E207,$C$4)</f>
        <v>170</v>
      </c>
      <c r="J207" s="13" t="s">
        <v>96</v>
      </c>
    </row>
    <row r="208" customFormat="false" ht="15" hidden="false" customHeight="false" outlineLevel="0" collapsed="false">
      <c r="A208" s="3" t="s">
        <v>639</v>
      </c>
      <c r="B208" s="4" t="s">
        <v>640</v>
      </c>
      <c r="C208" s="15" t="n">
        <v>120</v>
      </c>
      <c r="D208" s="15" t="n">
        <v>190</v>
      </c>
      <c r="E208" s="15" t="n">
        <v>280</v>
      </c>
      <c r="F208" s="13" t="s">
        <v>632</v>
      </c>
      <c r="G208" s="4" t="s">
        <v>615</v>
      </c>
      <c r="H208" s="13" t="s">
        <v>92</v>
      </c>
      <c r="I208" s="16" t="n">
        <f aca="false">INDEX(C208:E208,$C$4)</f>
        <v>190</v>
      </c>
      <c r="J208" s="13" t="s">
        <v>96</v>
      </c>
    </row>
    <row r="209" customFormat="false" ht="15" hidden="false" customHeight="false" outlineLevel="0" collapsed="false">
      <c r="A209" s="3" t="s">
        <v>641</v>
      </c>
      <c r="B209" s="4" t="s">
        <v>642</v>
      </c>
      <c r="C209" s="15" t="n">
        <v>0</v>
      </c>
      <c r="D209" s="15" t="n">
        <v>6</v>
      </c>
      <c r="E209" s="15" t="n">
        <v>12</v>
      </c>
      <c r="F209" s="13" t="s">
        <v>643</v>
      </c>
      <c r="G209" s="4" t="s">
        <v>644</v>
      </c>
      <c r="H209" s="13" t="s">
        <v>92</v>
      </c>
      <c r="I209" s="16" t="n">
        <f aca="false">INDEX(C209:E209,$C$4)</f>
        <v>6</v>
      </c>
      <c r="J209" s="13" t="s">
        <v>96</v>
      </c>
    </row>
    <row r="210" customFormat="false" ht="15" hidden="false" customHeight="false" outlineLevel="0" collapsed="false">
      <c r="A210" s="3" t="s">
        <v>645</v>
      </c>
      <c r="B210" s="4" t="s">
        <v>646</v>
      </c>
      <c r="C210" s="15" t="n">
        <v>2</v>
      </c>
      <c r="D210" s="15" t="n">
        <v>12</v>
      </c>
      <c r="E210" s="15" t="n">
        <v>16</v>
      </c>
      <c r="F210" s="13" t="s">
        <v>643</v>
      </c>
      <c r="G210" s="4" t="s">
        <v>615</v>
      </c>
      <c r="H210" s="13" t="s">
        <v>92</v>
      </c>
      <c r="I210" s="16" t="n">
        <f aca="false">INDEX(C210:E210,$C$4)</f>
        <v>12</v>
      </c>
      <c r="J210" s="13" t="s">
        <v>96</v>
      </c>
    </row>
    <row r="211" customFormat="false" ht="15" hidden="false" customHeight="false" outlineLevel="0" collapsed="false">
      <c r="A211" s="3" t="s">
        <v>647</v>
      </c>
      <c r="B211" s="4" t="s">
        <v>648</v>
      </c>
      <c r="C211" s="15" t="n">
        <v>0</v>
      </c>
      <c r="D211" s="15" t="n">
        <v>300</v>
      </c>
      <c r="E211" s="15" t="n">
        <v>800</v>
      </c>
      <c r="F211" s="13" t="s">
        <v>649</v>
      </c>
      <c r="G211" s="4" t="s">
        <v>650</v>
      </c>
      <c r="H211" s="13" t="s">
        <v>92</v>
      </c>
      <c r="I211" s="16" t="n">
        <f aca="false">INDEX(C211:E211,$C$4)</f>
        <v>300</v>
      </c>
      <c r="J211" s="13" t="s">
        <v>96</v>
      </c>
    </row>
    <row r="212" customFormat="false" ht="15" hidden="false" customHeight="false" outlineLevel="0" collapsed="false">
      <c r="A212" s="3" t="s">
        <v>651</v>
      </c>
      <c r="B212" s="4" t="s">
        <v>652</v>
      </c>
      <c r="C212" s="15" t="n">
        <v>150</v>
      </c>
      <c r="D212" s="15" t="n">
        <v>900</v>
      </c>
      <c r="E212" s="15" t="n">
        <v>2000</v>
      </c>
      <c r="F212" s="13" t="s">
        <v>649</v>
      </c>
      <c r="G212" s="4" t="s">
        <v>615</v>
      </c>
      <c r="H212" s="13" t="s">
        <v>92</v>
      </c>
      <c r="I212" s="16" t="n">
        <f aca="false">INDEX(C212:E212,$C$4)</f>
        <v>900</v>
      </c>
      <c r="J212" s="13" t="s">
        <v>96</v>
      </c>
    </row>
    <row r="213" customFormat="false" ht="15" hidden="false" customHeight="false" outlineLevel="0" collapsed="false">
      <c r="A213" s="3" t="s">
        <v>653</v>
      </c>
      <c r="B213" s="4" t="s">
        <v>654</v>
      </c>
      <c r="C213" s="17" t="n">
        <v>999</v>
      </c>
      <c r="D213" s="17" t="n">
        <v>1499</v>
      </c>
      <c r="E213" s="17" t="n">
        <v>1999</v>
      </c>
      <c r="F213" s="13" t="s">
        <v>90</v>
      </c>
      <c r="G213" s="4" t="s">
        <v>655</v>
      </c>
      <c r="H213" s="13" t="s">
        <v>92</v>
      </c>
      <c r="I213" s="18" t="n">
        <f aca="false">INDEX(C213:E213,$C$4)</f>
        <v>1499</v>
      </c>
      <c r="J213" s="13" t="s">
        <v>87</v>
      </c>
    </row>
    <row r="214" customFormat="false" ht="15" hidden="false" customHeight="false" outlineLevel="0" collapsed="false">
      <c r="A214" s="3" t="s">
        <v>656</v>
      </c>
      <c r="B214" s="4" t="s">
        <v>657</v>
      </c>
      <c r="C214" s="17" t="n">
        <v>600</v>
      </c>
      <c r="D214" s="17" t="n">
        <v>400</v>
      </c>
      <c r="E214" s="17" t="n">
        <v>250</v>
      </c>
      <c r="F214" s="13" t="s">
        <v>658</v>
      </c>
      <c r="G214" s="4" t="s">
        <v>329</v>
      </c>
      <c r="H214" s="13" t="s">
        <v>92</v>
      </c>
      <c r="I214" s="18" t="n">
        <f aca="false">INDEX(C214:E214,$C$4)</f>
        <v>400</v>
      </c>
      <c r="J214" s="13" t="s">
        <v>87</v>
      </c>
    </row>
    <row r="215" customFormat="false" ht="15" hidden="false" customHeight="false" outlineLevel="0" collapsed="false">
      <c r="A215" s="3" t="s">
        <v>659</v>
      </c>
      <c r="B215" s="4" t="s">
        <v>660</v>
      </c>
      <c r="C215" s="17" t="n">
        <v>100000</v>
      </c>
      <c r="D215" s="17" t="n">
        <v>200000</v>
      </c>
      <c r="E215" s="17" t="n">
        <v>300000</v>
      </c>
      <c r="F215" s="13" t="s">
        <v>135</v>
      </c>
      <c r="G215" s="4" t="s">
        <v>329</v>
      </c>
      <c r="H215" s="13" t="s">
        <v>92</v>
      </c>
      <c r="I215" s="18" t="n">
        <f aca="false">INDEX(C215:E215,$C$4)</f>
        <v>200000</v>
      </c>
      <c r="J215" s="13" t="s">
        <v>96</v>
      </c>
    </row>
    <row r="216" customFormat="false" ht="15" hidden="false" customHeight="false" outlineLevel="0" collapsed="false">
      <c r="A216" s="3" t="s">
        <v>661</v>
      </c>
      <c r="B216" s="4" t="s">
        <v>662</v>
      </c>
      <c r="C216" s="19" t="n">
        <v>0.1</v>
      </c>
      <c r="D216" s="19" t="n">
        <v>0.08</v>
      </c>
      <c r="E216" s="19" t="n">
        <v>0.06</v>
      </c>
      <c r="F216" s="13" t="s">
        <v>99</v>
      </c>
      <c r="G216" s="4" t="s">
        <v>329</v>
      </c>
      <c r="H216" s="13" t="s">
        <v>92</v>
      </c>
      <c r="I216" s="20" t="n">
        <f aca="false">INDEX(C216:E216,$C$4)</f>
        <v>0.08</v>
      </c>
      <c r="J216" s="13" t="s">
        <v>87</v>
      </c>
    </row>
    <row r="217" customFormat="false" ht="15" hidden="false" customHeight="false" outlineLevel="0" collapsed="false">
      <c r="A217" s="3" t="s">
        <v>663</v>
      </c>
      <c r="B217" s="4" t="s">
        <v>664</v>
      </c>
      <c r="C217" s="15" t="n">
        <v>10</v>
      </c>
      <c r="D217" s="15" t="n">
        <v>40</v>
      </c>
      <c r="E217" s="15" t="n">
        <v>60</v>
      </c>
      <c r="F217" s="13" t="s">
        <v>665</v>
      </c>
      <c r="G217" s="4" t="s">
        <v>666</v>
      </c>
      <c r="H217" s="13" t="s">
        <v>92</v>
      </c>
      <c r="I217" s="16" t="n">
        <f aca="false">INDEX(C217:E217,$C$4)</f>
        <v>40</v>
      </c>
      <c r="J217" s="13" t="s">
        <v>96</v>
      </c>
    </row>
    <row r="218" customFormat="false" ht="15" hidden="false" customHeight="false" outlineLevel="0" collapsed="false">
      <c r="A218" s="3" t="s">
        <v>667</v>
      </c>
      <c r="B218" s="4" t="s">
        <v>668</v>
      </c>
      <c r="C218" s="15" t="n">
        <v>30</v>
      </c>
      <c r="D218" s="15" t="n">
        <v>120</v>
      </c>
      <c r="E218" s="15" t="n">
        <v>150</v>
      </c>
      <c r="F218" s="13" t="s">
        <v>665</v>
      </c>
      <c r="G218" s="4" t="s">
        <v>669</v>
      </c>
      <c r="H218" s="13" t="s">
        <v>92</v>
      </c>
      <c r="I218" s="16" t="n">
        <f aca="false">INDEX(C218:E218,$C$4)</f>
        <v>120</v>
      </c>
      <c r="J218" s="13" t="s">
        <v>96</v>
      </c>
    </row>
    <row r="219" customFormat="false" ht="15" hidden="false" customHeight="false" outlineLevel="0" collapsed="false">
      <c r="A219" s="3" t="s">
        <v>670</v>
      </c>
      <c r="B219" s="4" t="s">
        <v>671</v>
      </c>
      <c r="C219" s="17" t="n">
        <v>1500</v>
      </c>
      <c r="D219" s="17" t="n">
        <v>1750</v>
      </c>
      <c r="E219" s="17" t="n">
        <v>2000</v>
      </c>
      <c r="F219" s="13" t="s">
        <v>90</v>
      </c>
      <c r="G219" s="4" t="s">
        <v>669</v>
      </c>
      <c r="H219" s="13" t="s">
        <v>92</v>
      </c>
      <c r="I219" s="18" t="n">
        <f aca="false">INDEX(C219:E219,$C$4)</f>
        <v>1750</v>
      </c>
      <c r="J219" s="13" t="s">
        <v>87</v>
      </c>
    </row>
    <row r="220" customFormat="false" ht="15" hidden="false" customHeight="false" outlineLevel="0" collapsed="false">
      <c r="A220" s="3" t="s">
        <v>672</v>
      </c>
      <c r="B220" s="4" t="s">
        <v>673</v>
      </c>
      <c r="C220" s="17" t="n">
        <v>100000</v>
      </c>
      <c r="D220" s="17" t="n">
        <v>200000</v>
      </c>
      <c r="E220" s="17" t="n">
        <v>300000</v>
      </c>
      <c r="F220" s="13" t="s">
        <v>90</v>
      </c>
      <c r="G220" s="4" t="s">
        <v>674</v>
      </c>
      <c r="H220" s="13" t="s">
        <v>92</v>
      </c>
      <c r="I220" s="18" t="n">
        <f aca="false">INDEX(C220:E220,$C$4)</f>
        <v>200000</v>
      </c>
      <c r="J220" s="13" t="s">
        <v>96</v>
      </c>
    </row>
    <row r="221" customFormat="false" ht="15" hidden="false" customHeight="false" outlineLevel="0" collapsed="false">
      <c r="A221" s="3" t="s">
        <v>675</v>
      </c>
      <c r="B221" s="4" t="s">
        <v>676</v>
      </c>
      <c r="C221" s="17" t="n">
        <v>150000</v>
      </c>
      <c r="D221" s="17" t="n">
        <v>400000</v>
      </c>
      <c r="E221" s="17" t="n">
        <v>600000</v>
      </c>
      <c r="F221" s="13" t="s">
        <v>90</v>
      </c>
      <c r="G221" s="4" t="s">
        <v>677</v>
      </c>
      <c r="H221" s="13" t="s">
        <v>92</v>
      </c>
      <c r="I221" s="18" t="n">
        <f aca="false">INDEX(C221:E221,$C$4)</f>
        <v>400000</v>
      </c>
      <c r="J221" s="13" t="s">
        <v>96</v>
      </c>
    </row>
    <row r="222" customFormat="false" ht="28.35" hidden="false" customHeight="false" outlineLevel="0" collapsed="false">
      <c r="A222" s="3" t="s">
        <v>678</v>
      </c>
      <c r="B222" s="4" t="s">
        <v>679</v>
      </c>
      <c r="C222" s="15" t="n">
        <v>0</v>
      </c>
      <c r="D222" s="15" t="n">
        <v>0</v>
      </c>
      <c r="E222" s="15" t="n">
        <v>30</v>
      </c>
      <c r="F222" s="13" t="s">
        <v>353</v>
      </c>
      <c r="G222" s="4" t="s">
        <v>680</v>
      </c>
      <c r="H222" s="13" t="s">
        <v>92</v>
      </c>
      <c r="I222" s="16" t="n">
        <f aca="false">INDEX(C222:E222,$C$4)</f>
        <v>0</v>
      </c>
      <c r="J222" s="13" t="s">
        <v>96</v>
      </c>
    </row>
    <row r="223" customFormat="false" ht="15" hidden="false" customHeight="false" outlineLevel="0" collapsed="false">
      <c r="A223" s="3" t="s">
        <v>681</v>
      </c>
      <c r="B223" s="4" t="s">
        <v>682</v>
      </c>
      <c r="C223" s="19" t="n">
        <v>0.3</v>
      </c>
      <c r="D223" s="19" t="n">
        <v>0.25</v>
      </c>
      <c r="E223" s="19" t="n">
        <v>0.2</v>
      </c>
      <c r="F223" s="13" t="s">
        <v>99</v>
      </c>
      <c r="G223" s="4" t="s">
        <v>683</v>
      </c>
      <c r="H223" s="13" t="s">
        <v>92</v>
      </c>
      <c r="I223" s="20" t="n">
        <f aca="false">INDEX(C223:E223,$C$4)</f>
        <v>0.25</v>
      </c>
      <c r="J223" s="13" t="s">
        <v>87</v>
      </c>
    </row>
    <row r="224" customFormat="false" ht="15" hidden="false" customHeight="false" outlineLevel="0" collapsed="false">
      <c r="A224" s="3" t="s">
        <v>684</v>
      </c>
      <c r="B224" s="4" t="s">
        <v>685</v>
      </c>
      <c r="C224" s="17" t="n">
        <v>10000</v>
      </c>
      <c r="D224" s="17" t="n">
        <v>10000</v>
      </c>
      <c r="E224" s="17" t="n">
        <v>10000</v>
      </c>
      <c r="F224" s="13" t="s">
        <v>106</v>
      </c>
      <c r="G224" s="4" t="s">
        <v>686</v>
      </c>
      <c r="H224" s="13" t="s">
        <v>359</v>
      </c>
      <c r="I224" s="18" t="n">
        <f aca="false">INDEX(C224:E224,$C$4)</f>
        <v>10000</v>
      </c>
      <c r="J224" s="13" t="s">
        <v>87</v>
      </c>
    </row>
    <row r="225" customFormat="false" ht="15" hidden="false" customHeight="false" outlineLevel="0" collapsed="false">
      <c r="A225" s="3" t="s">
        <v>687</v>
      </c>
      <c r="B225" s="4" t="s">
        <v>688</v>
      </c>
      <c r="C225" s="17" t="n">
        <v>500000</v>
      </c>
      <c r="D225" s="17" t="n">
        <v>350000</v>
      </c>
      <c r="E225" s="17" t="n">
        <v>350000</v>
      </c>
      <c r="F225" s="13" t="s">
        <v>90</v>
      </c>
      <c r="G225" s="4" t="s">
        <v>689</v>
      </c>
      <c r="H225" s="13" t="s">
        <v>359</v>
      </c>
      <c r="I225" s="18" t="n">
        <f aca="false">INDEX(C225:E225,$C$4)</f>
        <v>350000</v>
      </c>
      <c r="J225" s="13" t="s">
        <v>87</v>
      </c>
    </row>
    <row r="226" customFormat="false" ht="15" hidden="false" customHeight="false" outlineLevel="0" collapsed="false">
      <c r="A226" s="3" t="s">
        <v>690</v>
      </c>
      <c r="B226" s="4" t="s">
        <v>691</v>
      </c>
      <c r="C226" s="19" t="n">
        <v>0.05</v>
      </c>
      <c r="D226" s="19" t="n">
        <v>0.06</v>
      </c>
      <c r="E226" s="19" t="n">
        <v>0.08</v>
      </c>
      <c r="F226" s="13" t="s">
        <v>99</v>
      </c>
      <c r="G226" s="4" t="s">
        <v>692</v>
      </c>
      <c r="H226" s="13" t="s">
        <v>92</v>
      </c>
      <c r="I226" s="20" t="n">
        <f aca="false">INDEX(C226:E226,$C$4)</f>
        <v>0.06</v>
      </c>
      <c r="J226" s="13" t="s">
        <v>87</v>
      </c>
    </row>
    <row r="227" customFormat="false" ht="15" hidden="false" customHeight="false" outlineLevel="0" collapsed="false">
      <c r="A227" s="3" t="s">
        <v>693</v>
      </c>
      <c r="B227" s="4" t="s">
        <v>694</v>
      </c>
      <c r="C227" s="19" t="n">
        <v>0.1</v>
      </c>
      <c r="D227" s="19" t="n">
        <v>0.08</v>
      </c>
      <c r="E227" s="19" t="n">
        <v>0.08</v>
      </c>
      <c r="F227" s="13" t="s">
        <v>99</v>
      </c>
      <c r="G227" s="4" t="s">
        <v>329</v>
      </c>
      <c r="H227" s="13" t="s">
        <v>92</v>
      </c>
      <c r="I227" s="20" t="n">
        <f aca="false">INDEX(C227:E227,$C$4)</f>
        <v>0.08</v>
      </c>
      <c r="J227" s="13" t="s">
        <v>87</v>
      </c>
    </row>
    <row r="228" customFormat="false" ht="15" hidden="false" customHeight="false" outlineLevel="0" collapsed="false">
      <c r="A228" s="3" t="s">
        <v>695</v>
      </c>
      <c r="B228" s="4" t="s">
        <v>696</v>
      </c>
      <c r="C228" s="19" t="n">
        <v>0.05</v>
      </c>
      <c r="D228" s="19" t="n">
        <v>0.05</v>
      </c>
      <c r="E228" s="19" t="n">
        <v>0.05</v>
      </c>
      <c r="F228" s="13" t="s">
        <v>99</v>
      </c>
      <c r="G228" s="4" t="s">
        <v>697</v>
      </c>
      <c r="H228" s="13" t="s">
        <v>92</v>
      </c>
      <c r="I228" s="20" t="n">
        <f aca="false">INDEX(C228:E228,$C$4)</f>
        <v>0.05</v>
      </c>
      <c r="J228" s="13" t="s">
        <v>87</v>
      </c>
    </row>
    <row r="229" customFormat="false" ht="15" hidden="false" customHeight="false" outlineLevel="0" collapsed="false">
      <c r="A229" s="3" t="s">
        <v>698</v>
      </c>
      <c r="B229" s="4" t="s">
        <v>699</v>
      </c>
      <c r="C229" s="23" t="n">
        <v>2.5</v>
      </c>
      <c r="D229" s="23" t="n">
        <v>3</v>
      </c>
      <c r="E229" s="23" t="n">
        <v>3</v>
      </c>
      <c r="F229" s="13" t="s">
        <v>350</v>
      </c>
      <c r="G229" s="4" t="s">
        <v>700</v>
      </c>
      <c r="H229" s="13" t="s">
        <v>92</v>
      </c>
      <c r="I229" s="24" t="n">
        <f aca="false">INDEX(C229:E229,$C$4)</f>
        <v>3</v>
      </c>
      <c r="J229" s="13" t="s">
        <v>96</v>
      </c>
    </row>
    <row r="230" customFormat="false" ht="15" hidden="false" customHeight="false" outlineLevel="0" collapsed="false">
      <c r="A230" s="3" t="s">
        <v>701</v>
      </c>
      <c r="B230" s="4" t="s">
        <v>702</v>
      </c>
      <c r="C230" s="23" t="n">
        <v>3</v>
      </c>
      <c r="D230" s="23" t="n">
        <v>3</v>
      </c>
      <c r="E230" s="23" t="n">
        <v>3</v>
      </c>
      <c r="F230" s="13" t="s">
        <v>350</v>
      </c>
      <c r="G230" s="4"/>
      <c r="H230" s="13" t="s">
        <v>92</v>
      </c>
      <c r="I230" s="24" t="n">
        <f aca="false">INDEX(C230:E230,$C$4)</f>
        <v>3</v>
      </c>
      <c r="J230" s="13" t="s">
        <v>96</v>
      </c>
    </row>
    <row r="231" customFormat="false" ht="15" hidden="false" customHeight="false" outlineLevel="0" collapsed="false">
      <c r="A231" s="3" t="s">
        <v>703</v>
      </c>
      <c r="B231" s="4" t="s">
        <v>704</v>
      </c>
      <c r="C231" s="15" t="n">
        <v>8</v>
      </c>
      <c r="D231" s="15" t="n">
        <v>12</v>
      </c>
      <c r="E231" s="15" t="n">
        <v>16</v>
      </c>
      <c r="F231" s="13" t="s">
        <v>528</v>
      </c>
      <c r="G231" s="4"/>
      <c r="H231" s="13" t="s">
        <v>92</v>
      </c>
      <c r="I231" s="16" t="n">
        <f aca="false">INDEX(C231:E231,$C$4)</f>
        <v>12</v>
      </c>
      <c r="J231" s="13" t="s">
        <v>96</v>
      </c>
    </row>
    <row r="232" customFormat="false" ht="15" hidden="false" customHeight="false" outlineLevel="0" collapsed="false">
      <c r="A232" s="3" t="s">
        <v>705</v>
      </c>
      <c r="B232" s="4" t="s">
        <v>706</v>
      </c>
      <c r="C232" s="15" t="n">
        <v>10</v>
      </c>
      <c r="D232" s="15" t="n">
        <v>14</v>
      </c>
      <c r="E232" s="15" t="n">
        <v>18</v>
      </c>
      <c r="F232" s="13" t="s">
        <v>528</v>
      </c>
      <c r="G232" s="4"/>
      <c r="H232" s="13" t="s">
        <v>92</v>
      </c>
      <c r="I232" s="16" t="n">
        <f aca="false">INDEX(C232:E232,$C$4)</f>
        <v>14</v>
      </c>
      <c r="J232" s="13" t="s">
        <v>96</v>
      </c>
    </row>
    <row r="233" customFormat="false" ht="15" hidden="false" customHeight="false" outlineLevel="0" collapsed="false">
      <c r="A233" s="3" t="s">
        <v>707</v>
      </c>
      <c r="B233" s="4" t="s">
        <v>708</v>
      </c>
      <c r="C233" s="23" t="n">
        <v>1</v>
      </c>
      <c r="D233" s="23" t="n">
        <v>1.5</v>
      </c>
      <c r="E233" s="23" t="n">
        <v>2</v>
      </c>
      <c r="F233" s="13" t="s">
        <v>501</v>
      </c>
      <c r="G233" s="4" t="s">
        <v>709</v>
      </c>
      <c r="H233" s="13" t="s">
        <v>92</v>
      </c>
      <c r="I233" s="24" t="n">
        <f aca="false">INDEX(C233:E233,$C$4)</f>
        <v>1.5</v>
      </c>
      <c r="J233" s="13" t="s">
        <v>96</v>
      </c>
    </row>
    <row r="234" customFormat="false" ht="15" hidden="false" customHeight="false" outlineLevel="0" collapsed="false">
      <c r="A234" s="3" t="s">
        <v>710</v>
      </c>
      <c r="B234" s="4" t="s">
        <v>711</v>
      </c>
      <c r="C234" s="23" t="n">
        <v>1</v>
      </c>
      <c r="D234" s="23" t="n">
        <v>2</v>
      </c>
      <c r="E234" s="23" t="n">
        <v>2.5</v>
      </c>
      <c r="F234" s="13" t="s">
        <v>501</v>
      </c>
      <c r="G234" s="4"/>
      <c r="H234" s="13" t="s">
        <v>92</v>
      </c>
      <c r="I234" s="24" t="n">
        <f aca="false">INDEX(C234:E234,$C$4)</f>
        <v>2</v>
      </c>
      <c r="J234" s="13" t="s">
        <v>96</v>
      </c>
    </row>
    <row r="235" customFormat="false" ht="15" hidden="false" customHeight="false" outlineLevel="0" collapsed="false">
      <c r="A235" s="3" t="s">
        <v>712</v>
      </c>
      <c r="B235" s="4" t="s">
        <v>713</v>
      </c>
      <c r="C235" s="23" t="n">
        <v>0</v>
      </c>
      <c r="D235" s="23" t="n">
        <v>1</v>
      </c>
      <c r="E235" s="23" t="n">
        <v>1</v>
      </c>
      <c r="F235" s="13" t="s">
        <v>501</v>
      </c>
      <c r="G235" s="4" t="s">
        <v>714</v>
      </c>
      <c r="H235" s="13" t="s">
        <v>92</v>
      </c>
      <c r="I235" s="24" t="n">
        <f aca="false">INDEX(C235:E235,$C$4)</f>
        <v>1</v>
      </c>
      <c r="J235" s="13" t="s">
        <v>96</v>
      </c>
    </row>
    <row r="236" customFormat="false" ht="28.35" hidden="false" customHeight="false" outlineLevel="0" collapsed="false">
      <c r="A236" s="3" t="s">
        <v>715</v>
      </c>
      <c r="B236" s="4" t="s">
        <v>716</v>
      </c>
      <c r="C236" s="23" t="n">
        <v>0.5</v>
      </c>
      <c r="D236" s="23" t="n">
        <v>1</v>
      </c>
      <c r="E236" s="23" t="n">
        <v>1</v>
      </c>
      <c r="F236" s="13" t="s">
        <v>501</v>
      </c>
      <c r="G236" s="4"/>
      <c r="H236" s="13" t="s">
        <v>92</v>
      </c>
      <c r="I236" s="24" t="n">
        <f aca="false">INDEX(C236:E236,$C$4)</f>
        <v>1</v>
      </c>
      <c r="J236" s="13" t="s">
        <v>96</v>
      </c>
    </row>
    <row r="237" customFormat="false" ht="28.35" hidden="false" customHeight="false" outlineLevel="0" collapsed="false">
      <c r="A237" s="3" t="s">
        <v>717</v>
      </c>
      <c r="B237" s="4" t="s">
        <v>718</v>
      </c>
      <c r="C237" s="17" t="n">
        <v>300000</v>
      </c>
      <c r="D237" s="17" t="n">
        <v>1200000</v>
      </c>
      <c r="E237" s="17" t="n">
        <v>2400000</v>
      </c>
      <c r="F237" s="13" t="s">
        <v>135</v>
      </c>
      <c r="G237" s="4" t="s">
        <v>719</v>
      </c>
      <c r="H237" s="13" t="s">
        <v>359</v>
      </c>
      <c r="I237" s="18" t="n">
        <f aca="false">INDEX(C237:E237,$C$4)</f>
        <v>1200000</v>
      </c>
      <c r="J237" s="13" t="s">
        <v>96</v>
      </c>
    </row>
    <row r="238" customFormat="false" ht="15" hidden="false" customHeight="false" outlineLevel="0" collapsed="false">
      <c r="A238" s="3" t="s">
        <v>720</v>
      </c>
      <c r="B238" s="4" t="s">
        <v>721</v>
      </c>
      <c r="C238" s="17" t="n">
        <v>300000</v>
      </c>
      <c r="D238" s="17" t="n">
        <v>1300000</v>
      </c>
      <c r="E238" s="17" t="n">
        <v>2600000</v>
      </c>
      <c r="F238" s="13" t="s">
        <v>135</v>
      </c>
      <c r="G238" s="4" t="s">
        <v>722</v>
      </c>
      <c r="H238" s="13" t="s">
        <v>359</v>
      </c>
      <c r="I238" s="18" t="n">
        <f aca="false">INDEX(C238:E238,$C$4)</f>
        <v>1300000</v>
      </c>
      <c r="J238" s="13" t="s">
        <v>96</v>
      </c>
    </row>
    <row r="239" customFormat="false" ht="28.35" hidden="false" customHeight="false" outlineLevel="0" collapsed="false">
      <c r="A239" s="3" t="s">
        <v>723</v>
      </c>
      <c r="B239" s="4" t="s">
        <v>724</v>
      </c>
      <c r="C239" s="17" t="n">
        <v>15000</v>
      </c>
      <c r="D239" s="17" t="n">
        <v>12500</v>
      </c>
      <c r="E239" s="17" t="n">
        <v>10000</v>
      </c>
      <c r="F239" s="13" t="s">
        <v>106</v>
      </c>
      <c r="G239" s="4" t="s">
        <v>725</v>
      </c>
      <c r="H239" s="13" t="s">
        <v>92</v>
      </c>
      <c r="I239" s="18" t="n">
        <f aca="false">INDEX(C239:E239,$C$4)</f>
        <v>12500</v>
      </c>
      <c r="J239" s="13" t="s">
        <v>87</v>
      </c>
    </row>
    <row r="240" customFormat="false" ht="28.35" hidden="false" customHeight="false" outlineLevel="0" collapsed="false">
      <c r="A240" s="3" t="s">
        <v>726</v>
      </c>
      <c r="B240" s="4" t="s">
        <v>727</v>
      </c>
      <c r="C240" s="17" t="n">
        <v>2500</v>
      </c>
      <c r="D240" s="17" t="n">
        <v>2000</v>
      </c>
      <c r="E240" s="17" t="n">
        <v>1500</v>
      </c>
      <c r="F240" s="13" t="s">
        <v>106</v>
      </c>
      <c r="G240" s="4" t="s">
        <v>728</v>
      </c>
      <c r="H240" s="13" t="s">
        <v>359</v>
      </c>
      <c r="I240" s="18" t="n">
        <f aca="false">INDEX(C240:E240,$C$4)</f>
        <v>2000</v>
      </c>
      <c r="J240" s="13" t="s">
        <v>87</v>
      </c>
    </row>
    <row r="241" customFormat="false" ht="28.35" hidden="false" customHeight="false" outlineLevel="0" collapsed="false">
      <c r="A241" s="3" t="s">
        <v>729</v>
      </c>
      <c r="B241" s="4" t="s">
        <v>730</v>
      </c>
      <c r="C241" s="17" t="n">
        <v>300000</v>
      </c>
      <c r="D241" s="17" t="n">
        <v>300000</v>
      </c>
      <c r="E241" s="17" t="n">
        <v>500000</v>
      </c>
      <c r="F241" s="13" t="s">
        <v>90</v>
      </c>
      <c r="G241" s="4" t="s">
        <v>615</v>
      </c>
      <c r="H241" s="13" t="s">
        <v>359</v>
      </c>
      <c r="I241" s="18" t="n">
        <f aca="false">INDEX(C241:E241,$C$4)</f>
        <v>300000</v>
      </c>
      <c r="J241" s="13" t="s">
        <v>96</v>
      </c>
    </row>
    <row r="242" customFormat="false" ht="15" hidden="false" customHeight="false" outlineLevel="0" collapsed="false">
      <c r="A242" s="3" t="s">
        <v>731</v>
      </c>
      <c r="B242" s="4" t="s">
        <v>732</v>
      </c>
      <c r="C242" s="17" t="n">
        <v>200000</v>
      </c>
      <c r="D242" s="17" t="n">
        <v>300000</v>
      </c>
      <c r="E242" s="17" t="n">
        <v>400000</v>
      </c>
      <c r="F242" s="13" t="s">
        <v>90</v>
      </c>
      <c r="G242" s="4" t="s">
        <v>615</v>
      </c>
      <c r="H242" s="13" t="s">
        <v>359</v>
      </c>
      <c r="I242" s="18" t="n">
        <f aca="false">INDEX(C242:E242,$C$4)</f>
        <v>300000</v>
      </c>
      <c r="J242" s="13" t="s">
        <v>96</v>
      </c>
    </row>
    <row r="243" customFormat="false" ht="28.35" hidden="false" customHeight="false" outlineLevel="0" collapsed="false">
      <c r="A243" s="3" t="s">
        <v>733</v>
      </c>
      <c r="B243" s="4" t="s">
        <v>734</v>
      </c>
      <c r="C243" s="17" t="n">
        <v>600</v>
      </c>
      <c r="D243" s="17" t="n">
        <v>960</v>
      </c>
      <c r="E243" s="17" t="n">
        <v>1400</v>
      </c>
      <c r="F243" s="13" t="s">
        <v>106</v>
      </c>
      <c r="G243" s="4" t="s">
        <v>735</v>
      </c>
      <c r="H243" s="13" t="s">
        <v>92</v>
      </c>
      <c r="I243" s="18" t="n">
        <f aca="false">INDEX(C243:E243,$C$4)</f>
        <v>960</v>
      </c>
      <c r="J243" s="13" t="s">
        <v>87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4" customFormat="false" ht="41.75" hidden="false" customHeight="false" outlineLevel="0" collapsed="false">
      <c r="A4" s="5" t="s">
        <v>53</v>
      </c>
      <c r="B4" s="5" t="s">
        <v>738</v>
      </c>
      <c r="C4" s="5" t="s">
        <v>739</v>
      </c>
      <c r="D4" s="5" t="s">
        <v>740</v>
      </c>
      <c r="E4" s="5" t="s">
        <v>741</v>
      </c>
      <c r="F4" s="5" t="s">
        <v>742</v>
      </c>
      <c r="G4" s="5" t="s">
        <v>743</v>
      </c>
      <c r="H4" s="5" t="s">
        <v>744</v>
      </c>
      <c r="I4" s="5" t="s">
        <v>745</v>
      </c>
      <c r="J4" s="5" t="s">
        <v>746</v>
      </c>
    </row>
    <row r="5" customFormat="false" ht="15" hidden="false" customHeight="false" outlineLevel="0" collapsed="false">
      <c r="A5" s="28" t="s">
        <v>747</v>
      </c>
      <c r="B5" s="27" t="n">
        <f aca="false">0.1</f>
        <v>0.1</v>
      </c>
      <c r="C5" s="27" t="n">
        <f aca="false">0.1</f>
        <v>0.1</v>
      </c>
      <c r="D5" s="27" t="n">
        <f aca="false">1</f>
        <v>1</v>
      </c>
      <c r="E5" s="27" t="n">
        <f aca="false">Assumptions!$I$103</f>
        <v>3</v>
      </c>
      <c r="F5" s="27" t="n">
        <f aca="false">Assumptions!$I$103</f>
        <v>3</v>
      </c>
      <c r="G5" s="27" t="n">
        <f aca="false">Assumptions!$I$104</f>
        <v>2.5</v>
      </c>
      <c r="H5" s="27" t="n">
        <f aca="false">0.07</f>
        <v>0.07</v>
      </c>
      <c r="I5" s="27" t="n">
        <f aca="false">0</f>
        <v>0</v>
      </c>
    </row>
    <row r="6" customFormat="false" ht="15" hidden="false" customHeight="false" outlineLevel="0" collapsed="false">
      <c r="A6" s="28" t="s">
        <v>748</v>
      </c>
      <c r="B6" s="8" t="n">
        <f aca="false">3</f>
        <v>3</v>
      </c>
      <c r="C6" s="8" t="n">
        <f aca="false">6</f>
        <v>6</v>
      </c>
      <c r="D6" s="8" t="n">
        <f aca="false">80</f>
        <v>80</v>
      </c>
      <c r="E6" s="8" t="n">
        <f aca="false">290</f>
        <v>290</v>
      </c>
      <c r="F6" s="8" t="n">
        <f aca="false">290</f>
        <v>290</v>
      </c>
      <c r="G6" s="8" t="n">
        <f aca="false">250</f>
        <v>250</v>
      </c>
      <c r="H6" s="8" t="n">
        <f aca="false">12</f>
        <v>12</v>
      </c>
      <c r="I6" s="8" t="n">
        <f aca="false">24</f>
        <v>24</v>
      </c>
    </row>
    <row r="7" customFormat="false" ht="15" hidden="false" customHeight="false" outlineLevel="0" collapsed="false">
      <c r="A7" s="28" t="s">
        <v>749</v>
      </c>
      <c r="B7" s="8" t="n">
        <f aca="false">12</f>
        <v>12</v>
      </c>
      <c r="C7" s="8" t="n">
        <f aca="false">12</f>
        <v>12</v>
      </c>
      <c r="D7" s="8" t="n">
        <f aca="false">12</f>
        <v>12</v>
      </c>
      <c r="E7" s="8" t="n">
        <f aca="false">12</f>
        <v>12</v>
      </c>
      <c r="F7" s="8" t="n">
        <f aca="false">12</f>
        <v>12</v>
      </c>
      <c r="G7" s="8" t="n">
        <f aca="false">12</f>
        <v>12</v>
      </c>
      <c r="H7" s="8" t="n">
        <f aca="false">14</f>
        <v>14</v>
      </c>
      <c r="I7" s="8" t="n">
        <f aca="false">0</f>
        <v>0</v>
      </c>
    </row>
    <row r="8" customFormat="false" ht="15" hidden="false" customHeight="false" outlineLevel="0" collapsed="false">
      <c r="A8" s="28" t="s">
        <v>750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14*Assumptions!$I$193</f>
        <v>11.9</v>
      </c>
      <c r="I8" s="6" t="n">
        <f aca="false">0</f>
        <v>0</v>
      </c>
    </row>
    <row r="9" customFormat="false" ht="15" hidden="false" customHeight="false" outlineLevel="0" collapsed="false">
      <c r="A9" s="28" t="s">
        <v>751</v>
      </c>
      <c r="B9" s="9" t="n">
        <f aca="false">Assumptions!$I$17</f>
        <v>999</v>
      </c>
      <c r="C9" s="9" t="n">
        <f aca="false">Assumptions!$I$22</f>
        <v>4999</v>
      </c>
      <c r="D9" s="9" t="n">
        <f aca="false">Assumptions!$I$18</f>
        <v>39900</v>
      </c>
      <c r="E9" s="9" t="n">
        <f aca="false">Assumptions!$I$10</f>
        <v>60000</v>
      </c>
      <c r="F9" s="9" t="n">
        <f aca="false">Assumptions!$I$20</f>
        <v>80000</v>
      </c>
      <c r="G9" s="9" t="n">
        <f aca="false">Assumptions!$I$20</f>
        <v>80000</v>
      </c>
      <c r="H9" s="9" t="n">
        <f aca="false">Assumptions!$I$21</f>
        <v>10000</v>
      </c>
      <c r="I9" s="9" t="n">
        <f aca="false">Assumptions!$I$23</f>
        <v>9999</v>
      </c>
    </row>
    <row r="10" customFormat="false" ht="15" hidden="false" customHeight="false" outlineLevel="0" collapsed="false">
      <c r="A10" s="28" t="s">
        <v>752</v>
      </c>
      <c r="B10" s="9" t="n">
        <f aca="false">B9/(1+Assumptions!$I$15*Assumptions!$I$16)</f>
        <v>846.610169491525</v>
      </c>
      <c r="C10" s="9" t="n">
        <f aca="false">C9/(1+Assumptions!$I$15*Assumptions!$I$16)</f>
        <v>4236.4406779661</v>
      </c>
      <c r="D10" s="9" t="n">
        <f aca="false">D9/(1+Assumptions!$I$15*Assumptions!$I$16)</f>
        <v>33813.5593220339</v>
      </c>
      <c r="E10" s="9" t="n">
        <f aca="false">E9/(1+Assumptions!$I$15*Assumptions!$I$16)</f>
        <v>50847.4576271186</v>
      </c>
      <c r="F10" s="9" t="n">
        <f aca="false">F9/(1+Assumptions!$I$15*Assumptions!$I$16)</f>
        <v>67796.6101694915</v>
      </c>
      <c r="G10" s="9" t="n">
        <f aca="false">G9/(1+Assumptions!$I$15*Assumptions!$I$16)</f>
        <v>67796.6101694915</v>
      </c>
      <c r="H10" s="9" t="n">
        <f aca="false">H9/(1+Assumptions!$I$15*Assumptions!$I$16)</f>
        <v>8474.57627118644</v>
      </c>
      <c r="I10" s="9" t="n">
        <f aca="false">I9/(1+Assumptions!$I$15*Assumptions!$I$16)</f>
        <v>8473.72881355932</v>
      </c>
    </row>
    <row r="11" customFormat="false" ht="15" hidden="false" customHeight="false" outlineLevel="0" collapsed="false">
      <c r="A11" s="28" t="s">
        <v>753</v>
      </c>
      <c r="B11" s="9" t="n">
        <f aca="false">0</f>
        <v>0</v>
      </c>
      <c r="C11" s="9" t="n">
        <f aca="false">0</f>
        <v>0</v>
      </c>
      <c r="D11" s="9" t="n">
        <f aca="false">0</f>
        <v>0</v>
      </c>
      <c r="E11" s="9" t="n">
        <f aca="false">Assumptions!$I$14</f>
        <v>12000</v>
      </c>
      <c r="F11" s="9" t="n">
        <f aca="false">0</f>
        <v>0</v>
      </c>
      <c r="G11" s="9" t="n">
        <f aca="false">0</f>
        <v>0</v>
      </c>
      <c r="H11" s="9" t="n">
        <f aca="false">0</f>
        <v>0</v>
      </c>
      <c r="I11" s="9" t="n">
        <f aca="false">0</f>
        <v>0</v>
      </c>
    </row>
    <row r="12" customFormat="false" ht="15" hidden="false" customHeight="false" outlineLevel="0" collapsed="false">
      <c r="A12" s="28" t="s">
        <v>754</v>
      </c>
      <c r="B12" s="9" t="n">
        <f aca="false">Assumptions!$I$96</f>
        <v>250</v>
      </c>
      <c r="C12" s="9" t="n">
        <f aca="false">Assumptions!$I$95</f>
        <v>400</v>
      </c>
      <c r="D12" s="9" t="n">
        <f aca="false">Assumptions!$I$92</f>
        <v>2000</v>
      </c>
      <c r="E12" s="9" t="n">
        <f aca="false">Assumptions!$I$91</f>
        <v>6000</v>
      </c>
      <c r="F12" s="9" t="n">
        <f aca="false">Assumptions!$I$91</f>
        <v>6000</v>
      </c>
      <c r="G12" s="9" t="n">
        <f aca="false">Assumptions!$I$93</f>
        <v>7500</v>
      </c>
      <c r="H12" s="9" t="n">
        <f aca="false">Assumptions!$I$94</f>
        <v>1000</v>
      </c>
      <c r="I12" s="9" t="n">
        <f aca="false">Assumptions!$I$97</f>
        <v>2000</v>
      </c>
    </row>
    <row r="13" customFormat="false" ht="15" hidden="false" customHeight="false" outlineLevel="0" collapsed="false">
      <c r="A13" s="28" t="s">
        <v>755</v>
      </c>
      <c r="B13" s="9" t="n">
        <f aca="false">0</f>
        <v>0</v>
      </c>
      <c r="C13" s="9" t="n">
        <f aca="false">0</f>
        <v>0</v>
      </c>
      <c r="D13" s="9" t="n">
        <f aca="false">(Assumptions!$I$99+Assumptions!$I$100)/Assumptions!$I$101*D5</f>
        <v>28000</v>
      </c>
      <c r="E13" s="9" t="n">
        <f aca="false">(Assumptions!$I$99+Assumptions!$I$100)/Assumptions!$I$101*E5</f>
        <v>84000</v>
      </c>
      <c r="F13" s="9" t="n">
        <f aca="false">(Assumptions!$I$99+Assumptions!$I$100)/Assumptions!$I$101*F5</f>
        <v>84000</v>
      </c>
      <c r="G13" s="9" t="n">
        <f aca="false">(Assumptions!$I$99+Assumptions!$I$100)/Assumptions!$I$101*G5</f>
        <v>70000</v>
      </c>
      <c r="H13" s="9" t="n">
        <f aca="false">0</f>
        <v>0</v>
      </c>
      <c r="I13" s="9" t="n">
        <f aca="false">0</f>
        <v>0</v>
      </c>
    </row>
    <row r="14" customFormat="false" ht="15" hidden="false" customHeight="false" outlineLevel="0" collapsed="false">
      <c r="A14" s="28" t="s">
        <v>756</v>
      </c>
      <c r="B14" s="9" t="n">
        <f aca="false">IFERROR(B13/B8,0)</f>
        <v>0</v>
      </c>
      <c r="C14" s="9" t="n">
        <f aca="false">IFERROR(C13/C8,0)</f>
        <v>0</v>
      </c>
      <c r="D14" s="9" t="n">
        <f aca="false">IFERROR(D13/D8,0)</f>
        <v>2800</v>
      </c>
      <c r="E14" s="9" t="n">
        <f aca="false">IFERROR(E13/E8,0)</f>
        <v>8400</v>
      </c>
      <c r="F14" s="9" t="n">
        <f aca="false">IFERROR(F13/F8,0)</f>
        <v>8400</v>
      </c>
      <c r="G14" s="9" t="n">
        <f aca="false">IFERROR(G13/G8,0)</f>
        <v>7000</v>
      </c>
      <c r="H14" s="9" t="n">
        <f aca="false">IFERROR(H13/H8,0)</f>
        <v>0</v>
      </c>
      <c r="I14" s="9" t="n">
        <f aca="false">IFERROR(I13/I8,0)</f>
        <v>0</v>
      </c>
    </row>
    <row r="15" customFormat="false" ht="15" hidden="false" customHeight="false" outlineLevel="0" collapsed="false">
      <c r="A15" s="28" t="s">
        <v>757</v>
      </c>
      <c r="B15" s="9" t="n">
        <f aca="false">B9*Assumptions!$I$76</f>
        <v>19.98</v>
      </c>
      <c r="C15" s="9" t="n">
        <f aca="false">C9*Assumptions!$I$76</f>
        <v>99.98</v>
      </c>
      <c r="D15" s="9" t="n">
        <f aca="false">D9*Assumptions!$I$76</f>
        <v>798</v>
      </c>
      <c r="E15" s="9" t="n">
        <f aca="false">E9*(Assumptions!$I$76+Assumptions!$I$70*Assumptions!$I$71)</f>
        <v>2250</v>
      </c>
      <c r="F15" s="9" t="n">
        <f aca="false">F9*(Assumptions!$I$76+Assumptions!$I$70*Assumptions!$I$71)</f>
        <v>3000</v>
      </c>
      <c r="G15" s="9" t="n">
        <f aca="false">G9*(Assumptions!$I$76+Assumptions!$I$70*Assumptions!$I$71)</f>
        <v>3000</v>
      </c>
      <c r="H15" s="9" t="n">
        <f aca="false">H9*Assumptions!$I$76</f>
        <v>200</v>
      </c>
      <c r="I15" s="9" t="n">
        <f aca="false">I9*Assumptions!$I$76</f>
        <v>199.98</v>
      </c>
    </row>
    <row r="16" customFormat="false" ht="15" hidden="false" customHeight="false" outlineLevel="0" collapsed="false">
      <c r="A16" s="3" t="s">
        <v>758</v>
      </c>
      <c r="B16" s="29" t="n">
        <f aca="false">B10-B11-B12-B14-B15</f>
        <v>576.630169491525</v>
      </c>
      <c r="C16" s="29" t="n">
        <f aca="false">C10-C11-C12-C14-C15</f>
        <v>3736.4606779661</v>
      </c>
      <c r="D16" s="29" t="n">
        <f aca="false">D10-D11-D12-D14-D15</f>
        <v>28215.5593220339</v>
      </c>
      <c r="E16" s="29" t="n">
        <f aca="false">E10-E11-E12-E14-E15</f>
        <v>22197.4576271186</v>
      </c>
      <c r="F16" s="29" t="n">
        <f aca="false">F10-F11-F12-F14-F15</f>
        <v>50396.6101694915</v>
      </c>
      <c r="G16" s="29" t="n">
        <f aca="false">G10-G11-G12-G14-G15</f>
        <v>50296.6101694915</v>
      </c>
      <c r="H16" s="29" t="n">
        <f aca="false">H10-H11-H12-H14-H15</f>
        <v>7274.57627118644</v>
      </c>
      <c r="I16" s="29" t="n">
        <f aca="false">I10-I11-I12-I14-I15</f>
        <v>6273.74881355932</v>
      </c>
    </row>
    <row r="17" customFormat="false" ht="15" hidden="false" customHeight="false" outlineLevel="0" collapsed="false">
      <c r="A17" s="28" t="s">
        <v>759</v>
      </c>
      <c r="B17" s="7" t="n">
        <f aca="false">IFERROR(B16/B10,0)</f>
        <v>0.681104704704705</v>
      </c>
      <c r="C17" s="7" t="n">
        <f aca="false">IFERROR(C16/C10,0)</f>
        <v>0.881981116223245</v>
      </c>
      <c r="D17" s="7" t="n">
        <f aca="false">IFERROR(D16/D10,0)</f>
        <v>0.834445112781955</v>
      </c>
      <c r="E17" s="7" t="n">
        <f aca="false">IFERROR(E16/E10,0)</f>
        <v>0.43655</v>
      </c>
      <c r="F17" s="7" t="n">
        <f aca="false">IFERROR(F16/F10,0)</f>
        <v>0.74335</v>
      </c>
      <c r="G17" s="7" t="n">
        <f aca="false">IFERROR(G16/G10,0)</f>
        <v>0.741875</v>
      </c>
      <c r="H17" s="7" t="n">
        <f aca="false">IFERROR(H16/H10,0)</f>
        <v>0.8584</v>
      </c>
      <c r="I17" s="7" t="n">
        <f aca="false">IFERROR(I16/I10,0)</f>
        <v>0.740376397639764</v>
      </c>
    </row>
    <row r="18" customFormat="false" ht="15" hidden="false" customHeight="false" outlineLevel="0" collapsed="false">
      <c r="A18" s="28" t="s">
        <v>760</v>
      </c>
      <c r="B18" s="9" t="n">
        <f aca="false">Assumptions!$I$35</f>
        <v>400</v>
      </c>
      <c r="C18" s="9" t="n">
        <f aca="false">Assumptions!$I$118</f>
        <v>706</v>
      </c>
      <c r="D18" s="9" t="n">
        <f aca="false">Assumptions!$I$115*Assumptions!$I$120*(Assumptions!$I$27+Assumptions!$I$28+Assumptions!$I$31)+Assumptions!$I$198*Assumptions!$I$69</f>
        <v>7600</v>
      </c>
      <c r="E18" s="9" t="n">
        <f aca="false">Assumptions!$I$115*Assumptions!$I$120*(Assumptions!$I$27+Assumptions!$I$28+Assumptions!$I$31)+Assumptions!$I$198*Assumptions!$I$69</f>
        <v>7600</v>
      </c>
      <c r="F18" s="9" t="n">
        <f aca="false">Assumptions!$I$115*Assumptions!$I$120*(Assumptions!$I$27+Assumptions!$I$28+Assumptions!$I$31)+Assumptions!$I$198*Assumptions!$I$69</f>
        <v>7600</v>
      </c>
      <c r="G18" s="9" t="n">
        <f aca="false">Assumptions!$I$115*Assumptions!$I$120*(Assumptions!$I$27+Assumptions!$I$28+Assumptions!$I$31)+Assumptions!$I$198*Assumptions!$I$69</f>
        <v>7600</v>
      </c>
      <c r="H18" s="9" t="n">
        <f aca="false">Assumptions!$I$117</f>
        <v>300</v>
      </c>
      <c r="I18" s="9" t="n">
        <f aca="false">0</f>
        <v>0</v>
      </c>
    </row>
    <row r="19" customFormat="false" ht="15" hidden="false" customHeight="false" outlineLevel="0" collapsed="false">
      <c r="A19" s="3" t="s">
        <v>761</v>
      </c>
      <c r="B19" s="29" t="n">
        <f aca="false">B16-B18</f>
        <v>176.630169491525</v>
      </c>
      <c r="C19" s="29" t="n">
        <f aca="false">C16-C18</f>
        <v>3030.4606779661</v>
      </c>
      <c r="D19" s="29" t="n">
        <f aca="false">D16-D18</f>
        <v>20615.5593220339</v>
      </c>
      <c r="E19" s="29" t="n">
        <f aca="false">E16-E18</f>
        <v>14597.4576271186</v>
      </c>
      <c r="F19" s="29" t="n">
        <f aca="false">F16-F18</f>
        <v>42796.6101694915</v>
      </c>
      <c r="G19" s="29" t="n">
        <f aca="false">G16-G18</f>
        <v>42696.6101694915</v>
      </c>
      <c r="H19" s="29" t="n">
        <f aca="false">H16-H18</f>
        <v>6974.57627118644</v>
      </c>
      <c r="I19" s="29" t="n">
        <f aca="false">I16-I18</f>
        <v>6273.74881355932</v>
      </c>
    </row>
    <row r="20" customFormat="false" ht="15" hidden="false" customHeight="false" outlineLevel="0" collapsed="false">
      <c r="A20" s="28" t="s">
        <v>762</v>
      </c>
      <c r="B20" s="9" t="n">
        <f aca="false">(Assumptions!$I$179+Assumptions!$I$180)/(Assumptions!$I$171*Assumptions!$I$172)*B5</f>
        <v>281.25</v>
      </c>
      <c r="C20" s="9" t="n">
        <f aca="false">(Assumptions!$I$179+Assumptions!$I$180)/(Assumptions!$I$171*Assumptions!$I$172)*C5</f>
        <v>281.25</v>
      </c>
      <c r="D20" s="9" t="n">
        <f aca="false">(Assumptions!$I$179+Assumptions!$I$180)/(Assumptions!$I$171*Assumptions!$I$172)*D5</f>
        <v>2812.5</v>
      </c>
      <c r="E20" s="9" t="n">
        <f aca="false">(Assumptions!$I$179+Assumptions!$I$180)/(Assumptions!$I$171*Assumptions!$I$172)*E5</f>
        <v>8437.5</v>
      </c>
      <c r="F20" s="9" t="n">
        <f aca="false">(Assumptions!$I$179+Assumptions!$I$180)/(Assumptions!$I$171*Assumptions!$I$172)*F5</f>
        <v>8437.5</v>
      </c>
      <c r="G20" s="9" t="n">
        <f aca="false">(Assumptions!$I$179+Assumptions!$I$180)/(Assumptions!$I$171*Assumptions!$I$172)*G5</f>
        <v>7031.25</v>
      </c>
      <c r="H20" s="9" t="n">
        <f aca="false">(Assumptions!$I$179+Assumptions!$I$180)/(Assumptions!$I$171*Assumptions!$I$172)*H5</f>
        <v>196.875</v>
      </c>
      <c r="I20" s="9" t="n">
        <f aca="false">(Assumptions!$I$179+Assumptions!$I$180)/(Assumptions!$I$171*Assumptions!$I$172)*I5</f>
        <v>0</v>
      </c>
    </row>
    <row r="21" customFormat="false" ht="15" hidden="false" customHeight="false" outlineLevel="0" collapsed="false">
      <c r="A21" s="28" t="s">
        <v>763</v>
      </c>
      <c r="B21" s="9" t="n">
        <f aca="false">B13+B20*B7</f>
        <v>3375</v>
      </c>
      <c r="C21" s="9" t="n">
        <f aca="false">C13+C20*C7</f>
        <v>3375</v>
      </c>
      <c r="D21" s="9" t="n">
        <f aca="false">D13+D20*D7</f>
        <v>61750</v>
      </c>
      <c r="E21" s="9" t="n">
        <f aca="false">E13+E20*E7</f>
        <v>185250</v>
      </c>
      <c r="F21" s="9" t="n">
        <f aca="false">F13+F20*F7</f>
        <v>185250</v>
      </c>
      <c r="G21" s="9" t="n">
        <f aca="false">G13+G20*G7</f>
        <v>154375</v>
      </c>
      <c r="H21" s="9" t="n">
        <f aca="false">H13+H20*H7</f>
        <v>2756.25</v>
      </c>
      <c r="I21" s="9" t="n">
        <f aca="false">I13+I20*I7</f>
        <v>0</v>
      </c>
    </row>
    <row r="22" customFormat="false" ht="15" hidden="false" customHeight="false" outlineLevel="0" collapsed="false">
      <c r="A22" s="28" t="s">
        <v>764</v>
      </c>
      <c r="B22" s="9" t="n">
        <f aca="false">B11+B12+B15+B18</f>
        <v>669.98</v>
      </c>
      <c r="C22" s="9" t="n">
        <f aca="false">C11+C12+C15+C18</f>
        <v>1205.98</v>
      </c>
      <c r="D22" s="9" t="n">
        <f aca="false">D11+D12+D15+D18</f>
        <v>10398</v>
      </c>
      <c r="E22" s="9" t="n">
        <f aca="false">E11+E12+E15+E18</f>
        <v>27850</v>
      </c>
      <c r="F22" s="9" t="n">
        <f aca="false">F11+F12+F15+F18</f>
        <v>16600</v>
      </c>
      <c r="G22" s="9" t="n">
        <f aca="false">G11+G12+G15+G18</f>
        <v>18100</v>
      </c>
      <c r="H22" s="9" t="n">
        <f aca="false">H11+H12+H15+H18</f>
        <v>1500</v>
      </c>
      <c r="I22" s="9" t="n">
        <f aca="false">I11+I12+I15+I18</f>
        <v>2199.98</v>
      </c>
    </row>
    <row r="23" customFormat="false" ht="15" hidden="false" customHeight="false" outlineLevel="0" collapsed="false">
      <c r="A23" s="28" t="s">
        <v>765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</row>
    <row r="24" customFormat="false" ht="15" hidden="false" customHeight="false" outlineLevel="0" collapsed="false">
      <c r="A24" s="3" t="s">
        <v>766</v>
      </c>
      <c r="B24" s="30" t="n">
        <f aca="false">IFERROR(B23/B7,0)</f>
        <v>1.59231008388685</v>
      </c>
      <c r="C24" s="30" t="n">
        <f aca="false">IFERROR(C23/C7,0)</f>
        <v>0.0928076717988505</v>
      </c>
      <c r="D24" s="30" t="n">
        <f aca="false">IFERROR(D23/D7,0)</f>
        <v>0.219761281913567</v>
      </c>
      <c r="E24" s="30" t="n">
        <f aca="false">IFERROR(E23/E7,0)</f>
        <v>0.671269852968272</v>
      </c>
      <c r="F24" s="30" t="n">
        <f aca="false">IFERROR(F23/F7,0)</f>
        <v>0.301533635701516</v>
      </c>
      <c r="G24" s="30" t="n">
        <f aca="false">IFERROR(G23/G7,0)</f>
        <v>0.258862391005309</v>
      </c>
      <c r="H24" s="30" t="n">
        <f aca="false">IFERROR(H23/H7,0)</f>
        <v>0.0282275212636695</v>
      </c>
      <c r="I24" s="30" t="n">
        <f aca="false">IFERROR(I23/I7,0)</f>
        <v>0</v>
      </c>
    </row>
    <row r="25" customFormat="false" ht="15" hidden="false" customHeight="false" outlineLevel="0" collapsed="false">
      <c r="A25" s="28" t="s">
        <v>767</v>
      </c>
      <c r="B25" s="8" t="n">
        <f aca="false">10*(B10-B22)-B21</f>
        <v>-1608.69830508475</v>
      </c>
      <c r="C25" s="8" t="n">
        <f aca="false">10*(C10-C22)-C21</f>
        <v>26929.606779661</v>
      </c>
      <c r="D25" s="8" t="n">
        <f aca="false">10*(D10-D22)-D21</f>
        <v>172405.593220339</v>
      </c>
      <c r="E25" s="8" t="n">
        <f aca="false">10*(E10-E22)-E21</f>
        <v>44724.5762711865</v>
      </c>
      <c r="F25" s="8" t="n">
        <f aca="false">10*(F10-F22)-F21</f>
        <v>326716.101694915</v>
      </c>
      <c r="G25" s="8" t="n">
        <f aca="false">10*(G10-G22)-G21</f>
        <v>342591.101694915</v>
      </c>
      <c r="H25" s="8" t="n">
        <f aca="false">10*(H10-H22)-H21</f>
        <v>66989.5127118644</v>
      </c>
      <c r="I25" s="8" t="n">
        <f aca="false">10*(I10-I22)-I21</f>
        <v>62737.4881355932</v>
      </c>
    </row>
    <row r="26" customFormat="false" ht="15" hidden="false" customHeight="false" outlineLevel="0" collapsed="false">
      <c r="A26" s="28" t="s">
        <v>768</v>
      </c>
      <c r="B26" s="8" t="n">
        <f aca="false">12*(B10-B22)-B21</f>
        <v>-1255.4379661017</v>
      </c>
      <c r="C26" s="8" t="n">
        <f aca="false">12*(C10-C22)-C21</f>
        <v>32990.5281355932</v>
      </c>
      <c r="D26" s="8" t="n">
        <f aca="false">12*(D10-D22)-D21</f>
        <v>219236.711864407</v>
      </c>
      <c r="E26" s="8" t="n">
        <f aca="false">12*(E10-E22)-E21</f>
        <v>90719.4915254237</v>
      </c>
      <c r="F26" s="8" t="n">
        <f aca="false">12*(F10-F22)-F21</f>
        <v>429109.322033898</v>
      </c>
      <c r="G26" s="8" t="n">
        <f aca="false">12*(G10-G22)-G21</f>
        <v>441984.322033898</v>
      </c>
      <c r="H26" s="8" t="n">
        <f aca="false">12*(H10-H22)-H21</f>
        <v>80938.6652542373</v>
      </c>
      <c r="I26" s="8" t="n">
        <f aca="false">12*(I10-I22)-I21</f>
        <v>75284.9857627119</v>
      </c>
    </row>
    <row r="27" customFormat="false" ht="15" hidden="false" customHeight="false" outlineLevel="0" collapsed="false">
      <c r="A27" s="28" t="s">
        <v>769</v>
      </c>
      <c r="B27" s="8" t="n">
        <f aca="false">14*(B10-B22)-B21</f>
        <v>-902.177627118645</v>
      </c>
      <c r="C27" s="8" t="n">
        <f aca="false">14*(C10-C22)-C21</f>
        <v>39051.4494915254</v>
      </c>
      <c r="D27" s="8" t="n">
        <f aca="false">14*(D10-D22)-D21</f>
        <v>266067.830508475</v>
      </c>
      <c r="E27" s="8" t="n">
        <f aca="false">14*(E10-E22)-E21</f>
        <v>136714.406779661</v>
      </c>
      <c r="F27" s="8" t="n">
        <f aca="false">14*(F10-F22)-F21</f>
        <v>531502.542372881</v>
      </c>
      <c r="G27" s="8" t="n">
        <f aca="false">14*(G10-G22)-G21</f>
        <v>541377.542372881</v>
      </c>
      <c r="H27" s="8" t="n">
        <f aca="false">14*(H10-H22)-H21</f>
        <v>94887.8177966102</v>
      </c>
      <c r="I27" s="8" t="n">
        <f aca="false">14*(I10-I22)-I21</f>
        <v>87832.4833898305</v>
      </c>
    </row>
    <row r="28" customFormat="false" ht="15" hidden="false" customHeight="false" outlineLevel="0" collapsed="false">
      <c r="A28" s="28" t="s">
        <v>770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</row>
    <row r="30" customFormat="false" ht="15" hidden="false" customHeight="false" outlineLevel="0" collapsed="false">
      <c r="A30" s="10" t="s">
        <v>771</v>
      </c>
      <c r="B30" s="11"/>
      <c r="C30" s="11"/>
      <c r="D30" s="11"/>
      <c r="E30" s="11"/>
      <c r="F30" s="11"/>
      <c r="G30" s="11"/>
      <c r="H30" s="11"/>
      <c r="I30" s="11"/>
      <c r="J30" s="11"/>
    </row>
    <row r="31" customFormat="false" ht="15" hidden="false" customHeight="false" outlineLevel="0" collapsed="false">
      <c r="A31" s="0" t="s">
        <v>772</v>
      </c>
      <c r="B31" s="8" t="n">
        <f aca="false">Assumptions!$I$9</f>
        <v>50</v>
      </c>
    </row>
    <row r="32" customFormat="false" ht="15" hidden="false" customHeight="false" outlineLevel="0" collapsed="false">
      <c r="A32" s="0" t="s">
        <v>773</v>
      </c>
      <c r="B32" s="7" t="n">
        <f aca="false">Assumptions!$I$12</f>
        <v>0.6</v>
      </c>
    </row>
    <row r="33" customFormat="false" ht="15" hidden="false" customHeight="false" outlineLevel="0" collapsed="false">
      <c r="A33" s="0" t="s">
        <v>774</v>
      </c>
      <c r="B33" s="8" t="n">
        <f aca="false">B31*B32</f>
        <v>30</v>
      </c>
    </row>
    <row r="34" customFormat="false" ht="15" hidden="false" customHeight="false" outlineLevel="0" collapsed="false">
      <c r="A34" s="0" t="s">
        <v>775</v>
      </c>
      <c r="B34" s="8" t="n">
        <f aca="false">B31-B33</f>
        <v>20</v>
      </c>
    </row>
    <row r="35" customFormat="false" ht="15" hidden="false" customHeight="false" outlineLevel="0" collapsed="false">
      <c r="A35" s="0" t="s">
        <v>776</v>
      </c>
      <c r="B35" s="8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777</v>
      </c>
      <c r="B36" s="8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778</v>
      </c>
      <c r="B37" s="8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779</v>
      </c>
      <c r="B38" s="8" t="n">
        <f aca="false">-12*(Assumptions!$I$179+Assumptions!$I$180)</f>
        <v>-540000</v>
      </c>
    </row>
    <row r="39" customFormat="false" ht="15" hidden="false" customHeight="false" outlineLevel="0" collapsed="false">
      <c r="A39" s="0" t="s">
        <v>780</v>
      </c>
      <c r="B39" s="8" t="n">
        <f aca="false">B37+B38</f>
        <v>521816.949152543</v>
      </c>
    </row>
    <row r="41" customFormat="false" ht="15" hidden="false" customHeight="false" outlineLevel="0" collapsed="false">
      <c r="A41" s="2" t="s">
        <v>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1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782</v>
      </c>
    </row>
    <row r="2" customFormat="false" ht="15" hidden="false" customHeight="false" outlineLevel="0" collapsed="false">
      <c r="A2" s="2" t="s">
        <v>783</v>
      </c>
    </row>
    <row r="4" customFormat="false" ht="28.35" hidden="false" customHeight="false" outlineLevel="0" collapsed="false">
      <c r="A4" s="5" t="s">
        <v>784</v>
      </c>
      <c r="B4" s="5" t="s">
        <v>785</v>
      </c>
      <c r="C4" s="5" t="s">
        <v>786</v>
      </c>
      <c r="D4" s="5" t="s">
        <v>787</v>
      </c>
      <c r="E4" s="5" t="s">
        <v>57</v>
      </c>
      <c r="F4" s="5" t="s">
        <v>58</v>
      </c>
      <c r="G4" s="5" t="s">
        <v>59</v>
      </c>
      <c r="H4" s="5" t="s">
        <v>788</v>
      </c>
      <c r="I4" s="5" t="s">
        <v>789</v>
      </c>
      <c r="J4" s="5" t="s">
        <v>790</v>
      </c>
      <c r="K4" s="5" t="s">
        <v>791</v>
      </c>
    </row>
    <row r="5" customFormat="false" ht="15" hidden="false" customHeight="false" outlineLevel="0" collapsed="false">
      <c r="A5" s="10" t="s">
        <v>792</v>
      </c>
      <c r="B5" s="11"/>
      <c r="C5" s="11"/>
      <c r="D5" s="11"/>
      <c r="E5" s="11"/>
      <c r="F5" s="11"/>
      <c r="G5" s="11"/>
      <c r="H5" s="11"/>
      <c r="I5" s="11"/>
      <c r="J5" s="11"/>
      <c r="K5" s="11"/>
    </row>
    <row r="6" customFormat="false" ht="15" hidden="false" customHeight="false" outlineLevel="0" collapsed="false">
      <c r="A6" s="28" t="s">
        <v>793</v>
      </c>
      <c r="B6" s="8" t="n">
        <f aca="false">Outlook_Conservative!O33</f>
        <v>33.2021232014389</v>
      </c>
      <c r="C6" s="8" t="n">
        <f aca="false">2*SUM(Outlook_Conservative!I33:N33)/(SUM(Outlook_Conservative!I9:N9)/6)*(1+INDEX(Assumptions!$C$199:$E$199,1))</f>
        <v>38.9892949640288</v>
      </c>
      <c r="D6" s="8" t="n">
        <f aca="false">C6*(1+INDEX(Assumptions!$C$200:$E$200,1))</f>
        <v>40.9387597122302</v>
      </c>
      <c r="E6" s="8" t="n">
        <f aca="false">Outlook_Base!O33</f>
        <v>90.918784379973</v>
      </c>
      <c r="F6" s="8" t="n">
        <f aca="false">2*SUM(Outlook_Base!I33:N33)/(SUM(Outlook_Base!I9:N9)/6)*(1+INDEX(Assumptions!$C$199:$E$199,2))</f>
        <v>121.935211259645</v>
      </c>
      <c r="G6" s="8" t="n">
        <f aca="false">F6*(1+INDEX(Assumptions!$C$200:$E$200,2))</f>
        <v>134.128732385609</v>
      </c>
      <c r="H6" s="8" t="n">
        <f aca="false">Outlook_Aggressive!O33</f>
        <v>123.616323104723</v>
      </c>
      <c r="I6" s="8" t="n">
        <f aca="false">2*SUM(Outlook_Aggressive!I33:N33)/(SUM(Outlook_Aggressive!I9:N9)/6)*(1+INDEX(Assumptions!$C$199:$E$199,3))</f>
        <v>161.423440970946</v>
      </c>
      <c r="J6" s="8" t="n">
        <f aca="false">I6*(1+INDEX(Assumptions!$C$200:$E$200,3))</f>
        <v>180.79425388746</v>
      </c>
      <c r="K6" s="2" t="s">
        <v>794</v>
      </c>
    </row>
    <row r="7" customFormat="false" ht="15" hidden="false" customHeight="false" outlineLevel="0" collapsed="false">
      <c r="A7" s="28" t="s">
        <v>795</v>
      </c>
      <c r="B7" s="7" t="n">
        <f aca="false">INDEX(Assumptions!$C$26:$E$26,1)</f>
        <v>0.5</v>
      </c>
      <c r="C7" s="7" t="n">
        <f aca="false">INDEX(Assumptions!$C$26:$E$26,1)</f>
        <v>0.5</v>
      </c>
      <c r="D7" s="7" t="n">
        <f aca="false">INDEX(Assumptions!$C$26:$E$26,1)</f>
        <v>0.5</v>
      </c>
      <c r="E7" s="7" t="n">
        <f aca="false">INDEX(Assumptions!$C$26:$E$26,2)</f>
        <v>0.6</v>
      </c>
      <c r="F7" s="7" t="n">
        <f aca="false">INDEX(Assumptions!$C$26:$E$26,2)</f>
        <v>0.6</v>
      </c>
      <c r="G7" s="7" t="n">
        <f aca="false">INDEX(Assumptions!$C$26:$E$26,2)</f>
        <v>0.6</v>
      </c>
      <c r="H7" s="7" t="n">
        <f aca="false">INDEX(Assumptions!$C$26:$E$26,3)</f>
        <v>0.7</v>
      </c>
      <c r="I7" s="7" t="n">
        <f aca="false">INDEX(Assumptions!$C$26:$E$26,3)</f>
        <v>0.7</v>
      </c>
      <c r="J7" s="7" t="n">
        <f aca="false">INDEX(Assumptions!$C$26:$E$26,3)</f>
        <v>0.7</v>
      </c>
      <c r="K7" s="2"/>
    </row>
    <row r="8" customFormat="false" ht="15" hidden="false" customHeight="false" outlineLevel="0" collapsed="false">
      <c r="A8" s="28" t="s">
        <v>257</v>
      </c>
      <c r="B8" s="7" t="n">
        <f aca="false">INDEX(Assumptions!$C$74:$E$74,1)</f>
        <v>0.15</v>
      </c>
      <c r="C8" s="7" t="n">
        <f aca="false">INDEX(Assumptions!$C$201:$E$201,1)</f>
        <v>0.15</v>
      </c>
      <c r="D8" s="7" t="n">
        <f aca="false">INDEX(Assumptions!$C$202:$E$202,1)</f>
        <v>0.18</v>
      </c>
      <c r="E8" s="7" t="n">
        <f aca="false">INDEX(Assumptions!$C$74:$E$74,2)</f>
        <v>0.25</v>
      </c>
      <c r="F8" s="7" t="n">
        <f aca="false">INDEX(Assumptions!$C$201:$E$201,2)</f>
        <v>0.25</v>
      </c>
      <c r="G8" s="7" t="n">
        <f aca="false">INDEX(Assumptions!$C$202:$E$202,2)</f>
        <v>0.3</v>
      </c>
      <c r="H8" s="7" t="n">
        <f aca="false">INDEX(Assumptions!$C$74:$E$74,3)</f>
        <v>0.35</v>
      </c>
      <c r="I8" s="7" t="n">
        <f aca="false">INDEX(Assumptions!$C$201:$E$201,3)</f>
        <v>0.35</v>
      </c>
      <c r="J8" s="7" t="n">
        <f aca="false">INDEX(Assumptions!$C$202:$E$202,3)</f>
        <v>0.4</v>
      </c>
      <c r="K8" s="2"/>
    </row>
    <row r="9" customFormat="false" ht="15" hidden="false" customHeight="false" outlineLevel="0" collapsed="false">
      <c r="A9" s="28" t="s">
        <v>796</v>
      </c>
      <c r="B9" s="8" t="n">
        <f aca="false">Outlook_Conservative!O30*0</f>
        <v>0</v>
      </c>
      <c r="C9" s="8" t="n">
        <f aca="false">INDEX(Assumptions!$C$203:$E$203,1)</f>
        <v>0</v>
      </c>
      <c r="D9" s="8" t="n">
        <f aca="false">INDEX(Assumptions!$C$204:$E$204,1)</f>
        <v>8</v>
      </c>
      <c r="E9" s="8" t="n">
        <f aca="false">Outlook_Base!O30*0</f>
        <v>0</v>
      </c>
      <c r="F9" s="8" t="n">
        <f aca="false">INDEX(Assumptions!$C$203:$E$203,2)</f>
        <v>15</v>
      </c>
      <c r="G9" s="8" t="n">
        <f aca="false">INDEX(Assumptions!$C$204:$E$204,2)</f>
        <v>35</v>
      </c>
      <c r="H9" s="8" t="n">
        <f aca="false">Outlook_Aggressive!O30*0</f>
        <v>0</v>
      </c>
      <c r="I9" s="8" t="n">
        <f aca="false">INDEX(Assumptions!$C$203:$E$203,3)</f>
        <v>30</v>
      </c>
      <c r="J9" s="8" t="n">
        <f aca="false">INDEX(Assumptions!$C$204:$E$204,3)</f>
        <v>60</v>
      </c>
      <c r="K9" s="2" t="s">
        <v>797</v>
      </c>
    </row>
    <row r="10" customFormat="false" ht="15" hidden="false" customHeight="false" outlineLevel="0" collapsed="false">
      <c r="A10" s="28" t="s">
        <v>798</v>
      </c>
      <c r="B10" s="8" t="n">
        <f aca="false">Outlook_Conservative!O32</f>
        <v>3.76346683902878</v>
      </c>
      <c r="C10" s="8" t="n">
        <f aca="false">C6*(1-INDEX(Assumptions!$C$26:$E$26,1))*INDEX(Assumptions!$C$89:$E$89,1)</f>
        <v>4.8736618705036</v>
      </c>
      <c r="D10" s="8" t="n">
        <f aca="false">D6*(1-INDEX(Assumptions!$C$26:$E$26,1))*INDEX(Assumptions!$C$89:$E$89,1)</f>
        <v>5.11734496402878</v>
      </c>
      <c r="E10" s="8" t="n">
        <f aca="false">Outlook_Base!O32</f>
        <v>8.79046260198706</v>
      </c>
      <c r="F10" s="8" t="n">
        <f aca="false">F6*(1-INDEX(Assumptions!$C$26:$E$26,2))*INDEX(Assumptions!$C$89:$E$89,2)</f>
        <v>14.6322253511574</v>
      </c>
      <c r="G10" s="8" t="n">
        <f aca="false">G6*(1-INDEX(Assumptions!$C$26:$E$26,2))*INDEX(Assumptions!$C$89:$E$89,2)</f>
        <v>16.0954478862731</v>
      </c>
      <c r="H10" s="8" t="n">
        <f aca="false">Outlook_Aggressive!O32</f>
        <v>11.1261254559534</v>
      </c>
      <c r="I10" s="8" t="n">
        <f aca="false">I6*(1-INDEX(Assumptions!$C$26:$E$26,3))*INDEX(Assumptions!$C$89:$E$89,3)</f>
        <v>19.3708129165136</v>
      </c>
      <c r="J10" s="8" t="n">
        <f aca="false">J6*(1-INDEX(Assumptions!$C$26:$E$26,3))*INDEX(Assumptions!$C$89:$E$89,3)</f>
        <v>21.6953104664952</v>
      </c>
      <c r="K10" s="2"/>
    </row>
    <row r="11" customFormat="false" ht="15" hidden="false" customHeight="false" outlineLevel="0" collapsed="false">
      <c r="A11" s="28" t="s">
        <v>799</v>
      </c>
      <c r="B11" s="8" t="n">
        <f aca="false">Outlook_Conservative!N22</f>
        <v>8</v>
      </c>
      <c r="C11" s="8" t="n">
        <f aca="false">INDEX(Assumptions!$C$231:$E$231,1)</f>
        <v>8</v>
      </c>
      <c r="D11" s="8" t="n">
        <f aca="false">INDEX(Assumptions!$C$232:$E$232,1)</f>
        <v>10</v>
      </c>
      <c r="E11" s="8" t="n">
        <f aca="false">Outlook_Base!N22</f>
        <v>12</v>
      </c>
      <c r="F11" s="8" t="n">
        <f aca="false">INDEX(Assumptions!$C$231:$E$231,2)</f>
        <v>12</v>
      </c>
      <c r="G11" s="8" t="n">
        <f aca="false">INDEX(Assumptions!$C$232:$E$232,2)</f>
        <v>14</v>
      </c>
      <c r="H11" s="8" t="n">
        <f aca="false">Outlook_Aggressive!N22</f>
        <v>16</v>
      </c>
      <c r="I11" s="8" t="n">
        <f aca="false">INDEX(Assumptions!$C$231:$E$231,3)</f>
        <v>16</v>
      </c>
      <c r="J11" s="8" t="n">
        <f aca="false">INDEX(Assumptions!$C$232:$E$232,3)</f>
        <v>18</v>
      </c>
      <c r="K11" s="2"/>
    </row>
    <row r="12" customFormat="false" ht="15" hidden="false" customHeight="false" outlineLevel="0" collapsed="false">
      <c r="A12" s="28" t="s">
        <v>800</v>
      </c>
      <c r="B12" s="6" t="n">
        <f aca="false">Outlook_Conservative!N23</f>
        <v>2</v>
      </c>
      <c r="C12" s="6" t="n">
        <f aca="false">INDEX(Assumptions!$C$229:$E$229,1)</f>
        <v>2.5</v>
      </c>
      <c r="D12" s="6" t="n">
        <f aca="false">INDEX(Assumptions!$C$230:$E$230,1)</f>
        <v>3</v>
      </c>
      <c r="E12" s="6" t="n">
        <f aca="false">Outlook_Base!N23</f>
        <v>2.5</v>
      </c>
      <c r="F12" s="6" t="n">
        <f aca="false">INDEX(Assumptions!$C$229:$E$229,2)</f>
        <v>3</v>
      </c>
      <c r="G12" s="6" t="n">
        <f aca="false">INDEX(Assumptions!$C$230:$E$230,2)</f>
        <v>3</v>
      </c>
      <c r="H12" s="6" t="n">
        <f aca="false">Outlook_Aggressive!N23</f>
        <v>2.5</v>
      </c>
      <c r="I12" s="6" t="n">
        <f aca="false">INDEX(Assumptions!$C$229:$E$229,3)</f>
        <v>3</v>
      </c>
      <c r="J12" s="6" t="n">
        <f aca="false">INDEX(Assumptions!$C$230:$E$230,3)</f>
        <v>3</v>
      </c>
      <c r="K12" s="2"/>
    </row>
    <row r="13" customFormat="false" ht="15" hidden="false" customHeight="false" outlineLevel="0" collapsed="false">
      <c r="A13" s="28" t="s">
        <v>801</v>
      </c>
      <c r="B13" s="8" t="n">
        <f aca="false">B11*B12*12*INDEX(Assumptions!$C$178:$E$178,1)</f>
        <v>172.8</v>
      </c>
      <c r="C13" s="8" t="n">
        <f aca="false">C11*C12*12*INDEX(Assumptions!$C$178:$E$178,1)</f>
        <v>216</v>
      </c>
      <c r="D13" s="8" t="n">
        <f aca="false">D11*D12*12*INDEX(Assumptions!$C$178:$E$178,1)</f>
        <v>324</v>
      </c>
      <c r="E13" s="8" t="n">
        <f aca="false">E11*E12*12*INDEX(Assumptions!$C$178:$E$178,2)</f>
        <v>324</v>
      </c>
      <c r="F13" s="8" t="n">
        <f aca="false">F11*F12*12*INDEX(Assumptions!$C$178:$E$178,2)</f>
        <v>388.8</v>
      </c>
      <c r="G13" s="8" t="n">
        <f aca="false">G11*G12*12*INDEX(Assumptions!$C$178:$E$178,2)</f>
        <v>453.6</v>
      </c>
      <c r="H13" s="8" t="n">
        <f aca="false">H11*H12*12*INDEX(Assumptions!$C$178:$E$178,3)</f>
        <v>432</v>
      </c>
      <c r="I13" s="8" t="n">
        <f aca="false">I11*I12*12*INDEX(Assumptions!$C$178:$E$178,3)</f>
        <v>518.4</v>
      </c>
      <c r="J13" s="8" t="n">
        <f aca="false">J11*J12*12*INDEX(Assumptions!$C$178:$E$178,3)</f>
        <v>583.2</v>
      </c>
      <c r="K13" s="2"/>
    </row>
    <row r="14" customFormat="false" ht="15" hidden="false" customHeight="false" outlineLevel="0" collapsed="false">
      <c r="A14" s="28" t="s">
        <v>802</v>
      </c>
      <c r="B14" s="8" t="n">
        <f aca="false">Outlook_Conservative!O35*12</f>
        <v>71.7379490782374</v>
      </c>
      <c r="C14" s="8" t="n">
        <f aca="false">C6*(C7*INDEX(Assumptions!$C$103:$E$103,1)+(1-C7))+C10*INDEX(Assumptions!$C$103:$E$103,1)+C9*INDEX(Assumptions!$C$104:$E$104,1)</f>
        <v>92.5995755395684</v>
      </c>
      <c r="D14" s="8" t="n">
        <f aca="false">D6*(D7*INDEX(Assumptions!$C$103:$E$103,1)+(1-D7))+D10*INDEX(Assumptions!$C$103:$E$103,1)+D9*INDEX(Assumptions!$C$104:$E$104,1)</f>
        <v>117.229554316547</v>
      </c>
      <c r="E14" s="8" t="n">
        <f aca="false">Outlook_Base!O35*12</f>
        <v>204.698314847796</v>
      </c>
      <c r="F14" s="8" t="n">
        <f aca="false">F6*(F7*INDEX(Assumptions!$C$103:$E$103,2)+(1-F7))+F10*INDEX(Assumptions!$C$103:$E$103,2)+F9*INDEX(Assumptions!$C$104:$E$104,2)</f>
        <v>349.654140824691</v>
      </c>
      <c r="G14" s="8" t="n">
        <f aca="false">G6*(G7*INDEX(Assumptions!$C$103:$E$103,2)+(1-G7))+G10*INDEX(Assumptions!$C$103:$E$103,2)+G9*INDEX(Assumptions!$C$104:$E$104,2)</f>
        <v>430.86955490716</v>
      </c>
      <c r="H14" s="8" t="n">
        <f aca="false">Outlook_Aggressive!O35*12</f>
        <v>295.559076977715</v>
      </c>
      <c r="I14" s="8" t="n">
        <f aca="false">I6*(I7*INDEX(Assumptions!$C$103:$E$103,3)+(1-I7))+I10*INDEX(Assumptions!$C$103:$E$103,3)+I9*INDEX(Assumptions!$C$104:$E$104,3)</f>
        <v>520.528697079812</v>
      </c>
      <c r="J14" s="8" t="n">
        <f aca="false">J6*(J7*INDEX(Assumptions!$C$103:$E$103,3)+(1-J7))+J10*INDEX(Assumptions!$C$103:$E$103,3)+J9*INDEX(Assumptions!$C$104:$E$104,3)</f>
        <v>648.992140729389</v>
      </c>
      <c r="K14" s="2"/>
    </row>
    <row r="15" customFormat="false" ht="15" hidden="false" customHeight="false" outlineLevel="0" collapsed="false">
      <c r="A15" s="28" t="s">
        <v>803</v>
      </c>
      <c r="B15" s="7" t="n">
        <f aca="false">1</f>
        <v>1</v>
      </c>
      <c r="C15" s="7" t="n">
        <f aca="false">MIN(1,C13/C14)</f>
        <v>1</v>
      </c>
      <c r="D15" s="7" t="n">
        <f aca="false">MIN(1,D13/D14)</f>
        <v>1</v>
      </c>
      <c r="E15" s="7" t="n">
        <f aca="false">1</f>
        <v>1</v>
      </c>
      <c r="F15" s="7" t="n">
        <f aca="false">MIN(1,F13/F14)</f>
        <v>1</v>
      </c>
      <c r="G15" s="7" t="n">
        <f aca="false">MIN(1,G13/G14)</f>
        <v>1</v>
      </c>
      <c r="H15" s="7" t="n">
        <f aca="false">1</f>
        <v>1</v>
      </c>
      <c r="I15" s="7" t="n">
        <f aca="false">MIN(1,I13/I14)</f>
        <v>0.995910509657289</v>
      </c>
      <c r="J15" s="7" t="n">
        <f aca="false">MIN(1,J13/J14)</f>
        <v>0.898624133328569</v>
      </c>
      <c r="K15" s="2"/>
    </row>
    <row r="16" customFormat="false" ht="15" hidden="false" customHeight="false" outlineLevel="0" collapsed="false">
      <c r="A16" s="28" t="s">
        <v>804</v>
      </c>
      <c r="B16" s="7" t="n">
        <f aca="false">Outlook_Conservative!N36</f>
        <v>0.483498201438849</v>
      </c>
      <c r="C16" s="7" t="n">
        <f aca="false">MIN(1,C14/(C11*C12*12))</f>
        <v>0.385831564748202</v>
      </c>
      <c r="D16" s="7" t="n">
        <f aca="false">MIN(1,D14/(D11*D12*12))</f>
        <v>0.325637650879297</v>
      </c>
      <c r="E16" s="7" t="n">
        <f aca="false">Outlook_Base!N36</f>
        <v>0.840526065228539</v>
      </c>
      <c r="F16" s="7" t="n">
        <f aca="false">MIN(1,F14/(F11*F12*12))</f>
        <v>0.80938458524234</v>
      </c>
      <c r="G16" s="7" t="n">
        <f aca="false">MIN(1,G14/(G11*G12*12))</f>
        <v>0.85489991053008</v>
      </c>
      <c r="H16" s="7" t="n">
        <f aca="false">Outlook_Aggressive!N36</f>
        <v>0.9</v>
      </c>
      <c r="I16" s="7" t="n">
        <f aca="false">MIN(1,I14/(I11*I12*12))</f>
        <v>0.903695654652451</v>
      </c>
      <c r="J16" s="7" t="n">
        <f aca="false">MIN(1,J14/(J11*J12*12))</f>
        <v>1</v>
      </c>
      <c r="K16" s="2"/>
    </row>
    <row r="17" customFormat="false" ht="15" hidden="false" customHeight="false" outlineLevel="0" collapsed="false">
      <c r="A17" s="3" t="s">
        <v>805</v>
      </c>
      <c r="B17" s="31" t="n">
        <f aca="false">B6*B15</f>
        <v>33.2021232014389</v>
      </c>
      <c r="C17" s="31" t="n">
        <f aca="false">C6*C15</f>
        <v>38.9892949640288</v>
      </c>
      <c r="D17" s="31" t="n">
        <f aca="false">D6*D15</f>
        <v>40.9387597122302</v>
      </c>
      <c r="E17" s="31" t="n">
        <f aca="false">E6*E15</f>
        <v>90.918784379973</v>
      </c>
      <c r="F17" s="31" t="n">
        <f aca="false">F6*F15</f>
        <v>121.935211259645</v>
      </c>
      <c r="G17" s="31" t="n">
        <f aca="false">G6*G15</f>
        <v>134.128732385609</v>
      </c>
      <c r="H17" s="31" t="n">
        <f aca="false">H6*H15</f>
        <v>123.616323104723</v>
      </c>
      <c r="I17" s="31" t="n">
        <f aca="false">I6*I15</f>
        <v>160.763301368008</v>
      </c>
      <c r="J17" s="31" t="n">
        <f aca="false">J6*J15</f>
        <v>162.466079710404</v>
      </c>
      <c r="K17" s="2"/>
    </row>
    <row r="18" customFormat="false" ht="15" hidden="false" customHeight="false" outlineLevel="0" collapsed="false">
      <c r="A18" s="28" t="s">
        <v>806</v>
      </c>
      <c r="B18" s="8" t="n">
        <f aca="false">B9*B15</f>
        <v>0</v>
      </c>
      <c r="C18" s="8" t="n">
        <f aca="false">C9*C15</f>
        <v>0</v>
      </c>
      <c r="D18" s="8" t="n">
        <f aca="false">D9*D15</f>
        <v>8</v>
      </c>
      <c r="E18" s="8" t="n">
        <f aca="false">E9*E15</f>
        <v>0</v>
      </c>
      <c r="F18" s="8" t="n">
        <f aca="false">F9*F15</f>
        <v>15</v>
      </c>
      <c r="G18" s="8" t="n">
        <f aca="false">G9*G15</f>
        <v>35</v>
      </c>
      <c r="H18" s="8" t="n">
        <f aca="false">H9*H15</f>
        <v>0</v>
      </c>
      <c r="I18" s="8" t="n">
        <f aca="false">I9*I15</f>
        <v>29.8773152897187</v>
      </c>
      <c r="J18" s="8" t="n">
        <f aca="false">J9*J15</f>
        <v>53.9174479997141</v>
      </c>
      <c r="K18" s="2"/>
    </row>
    <row r="19" customFormat="false" ht="15" hidden="false" customHeight="false" outlineLevel="0" collapsed="false">
      <c r="A19" s="28" t="s">
        <v>807</v>
      </c>
      <c r="B19" s="8" t="n">
        <f aca="false">Outlook_Conservative!O39</f>
        <v>67.5</v>
      </c>
      <c r="C19" s="8" t="n">
        <f aca="false">INDEX(Assumptions!$C$205:$E$205,1)</f>
        <v>110</v>
      </c>
      <c r="D19" s="8" t="n">
        <f aca="false">INDEX(Assumptions!$C$206:$E$206,1)</f>
        <v>130</v>
      </c>
      <c r="E19" s="8" t="n">
        <f aca="false">Outlook_Base!O39</f>
        <v>153</v>
      </c>
      <c r="F19" s="8" t="n">
        <f aca="false">INDEX(Assumptions!$C$205:$E$205,2)</f>
        <v>220</v>
      </c>
      <c r="G19" s="8" t="n">
        <f aca="false">INDEX(Assumptions!$C$206:$E$206,2)</f>
        <v>280</v>
      </c>
      <c r="H19" s="8" t="n">
        <f aca="false">Outlook_Aggressive!O39</f>
        <v>202.5</v>
      </c>
      <c r="I19" s="8" t="n">
        <f aca="false">INDEX(Assumptions!$C$205:$E$205,3)</f>
        <v>330</v>
      </c>
      <c r="J19" s="8" t="n">
        <f aca="false">INDEX(Assumptions!$C$206:$E$206,3)</f>
        <v>420</v>
      </c>
      <c r="K19" s="2"/>
    </row>
    <row r="20" customFormat="false" ht="15" hidden="false" customHeight="false" outlineLevel="0" collapsed="false">
      <c r="A20" s="28" t="s">
        <v>808</v>
      </c>
      <c r="B20" s="8" t="n">
        <f aca="false">Outlook_Conservative!O40</f>
        <v>106.666666666667</v>
      </c>
      <c r="C20" s="8" t="n">
        <f aca="false">INDEX(Assumptions!$C$207:$E$207,1)</f>
        <v>110</v>
      </c>
      <c r="D20" s="8" t="n">
        <f aca="false">INDEX(Assumptions!$C$208:$E$208,1)</f>
        <v>120</v>
      </c>
      <c r="E20" s="8" t="n">
        <f aca="false">Outlook_Base!O40</f>
        <v>160</v>
      </c>
      <c r="F20" s="8" t="n">
        <f aca="false">INDEX(Assumptions!$C$207:$E$207,2)</f>
        <v>170</v>
      </c>
      <c r="G20" s="8" t="n">
        <f aca="false">INDEX(Assumptions!$C$208:$E$208,2)</f>
        <v>190</v>
      </c>
      <c r="H20" s="8" t="n">
        <f aca="false">Outlook_Aggressive!O40</f>
        <v>234.666666666667</v>
      </c>
      <c r="I20" s="8" t="n">
        <f aca="false">INDEX(Assumptions!$C$207:$E$207,3)</f>
        <v>250</v>
      </c>
      <c r="J20" s="8" t="n">
        <f aca="false">INDEX(Assumptions!$C$208:$E$208,3)</f>
        <v>280</v>
      </c>
      <c r="K20" s="2"/>
    </row>
    <row r="21" customFormat="false" ht="15" hidden="false" customHeight="false" outlineLevel="0" collapsed="false">
      <c r="A21" s="28" t="s">
        <v>809</v>
      </c>
      <c r="B21" s="6" t="n">
        <f aca="false">Outlook_Conservative!O42</f>
        <v>0</v>
      </c>
      <c r="C21" s="6" t="n">
        <f aca="false">INDEX(Assumptions!$C$209:$E$209,1)</f>
        <v>0</v>
      </c>
      <c r="D21" s="6" t="n">
        <f aca="false">INDEX(Assumptions!$C$210:$E$210,1)</f>
        <v>2</v>
      </c>
      <c r="E21" s="6" t="n">
        <f aca="false">Outlook_Base!O42</f>
        <v>2</v>
      </c>
      <c r="F21" s="6" t="n">
        <f aca="false">INDEX(Assumptions!$C$209:$E$209,2)</f>
        <v>6</v>
      </c>
      <c r="G21" s="6" t="n">
        <f aca="false">INDEX(Assumptions!$C$210:$E$210,2)</f>
        <v>12</v>
      </c>
      <c r="H21" s="6" t="n">
        <f aca="false">Outlook_Aggressive!O42</f>
        <v>7</v>
      </c>
      <c r="I21" s="6" t="n">
        <f aca="false">INDEX(Assumptions!$C$209:$E$209,3)</f>
        <v>12</v>
      </c>
      <c r="J21" s="6" t="n">
        <f aca="false">INDEX(Assumptions!$C$210:$E$210,3)</f>
        <v>16</v>
      </c>
      <c r="K21" s="2"/>
    </row>
    <row r="22" customFormat="false" ht="15" hidden="false" customHeight="false" outlineLevel="0" collapsed="false">
      <c r="A22" s="28" t="s">
        <v>810</v>
      </c>
      <c r="B22" s="8" t="n">
        <f aca="false">0</f>
        <v>0</v>
      </c>
      <c r="C22" s="8" t="n">
        <f aca="false">INDEX(Assumptions!$C$211:$E$211,1)</f>
        <v>0</v>
      </c>
      <c r="D22" s="8" t="n">
        <f aca="false">INDEX(Assumptions!$C$212:$E$212,1)</f>
        <v>150</v>
      </c>
      <c r="E22" s="8" t="n">
        <f aca="false">0</f>
        <v>0</v>
      </c>
      <c r="F22" s="8" t="n">
        <f aca="false">INDEX(Assumptions!$C$211:$E$211,2)</f>
        <v>300</v>
      </c>
      <c r="G22" s="8" t="n">
        <f aca="false">INDEX(Assumptions!$C$212:$E$212,2)</f>
        <v>900</v>
      </c>
      <c r="H22" s="8" t="n">
        <f aca="false">0</f>
        <v>0</v>
      </c>
      <c r="I22" s="8" t="n">
        <f aca="false">INDEX(Assumptions!$C$211:$E$211,3)</f>
        <v>800</v>
      </c>
      <c r="J22" s="8" t="n">
        <f aca="false">INDEX(Assumptions!$C$212:$E$212,3)</f>
        <v>2000</v>
      </c>
      <c r="K22" s="2"/>
    </row>
    <row r="23" customFormat="false" ht="15" hidden="false" customHeight="false" outlineLevel="0" collapsed="false">
      <c r="A23" s="28" t="s">
        <v>811</v>
      </c>
      <c r="B23" s="8" t="n">
        <f aca="false">Outlook_Conservative!O44</f>
        <v>2.3625</v>
      </c>
      <c r="C23" s="8" t="n">
        <f aca="false">B17*B7*INDEX(Assumptions!$C$67:$E$67,1)*INDEX(Assumptions!$C$72:$E$72,1)+C19*0.7*INDEX(Assumptions!$C$73:$E$73,1)</f>
        <v>6.6721804721223</v>
      </c>
      <c r="D23" s="8" t="n">
        <f aca="false">C17*C7*INDEX(Assumptions!$C$67:$E$67,1)*INDEX(Assumptions!$C$72:$E$72,1)+D19*0.7*INDEX(Assumptions!$C$73:$E$73,1)</f>
        <v>7.86409007194245</v>
      </c>
      <c r="E23" s="8" t="n">
        <f aca="false">Outlook_Base!O44</f>
        <v>10.71</v>
      </c>
      <c r="F23" s="8" t="n">
        <f aca="false">E17*E7*INDEX(Assumptions!$C$67:$E$67,2)*INDEX(Assumptions!$C$72:$E$72,2)+F19*0.7*INDEX(Assumptions!$C$73:$E$73,2)</f>
        <v>30.1288430695556</v>
      </c>
      <c r="G23" s="8" t="n">
        <f aca="false">F17*F7*INDEX(Assumptions!$C$67:$E$67,2)*INDEX(Assumptions!$C$72:$E$72,2)+G19*0.7*INDEX(Assumptions!$C$73:$E$73,2)</f>
        <v>39.3535042240625</v>
      </c>
      <c r="H23" s="8" t="n">
        <f aca="false">Outlook_Aggressive!O44</f>
        <v>28.35</v>
      </c>
      <c r="I23" s="8" t="n">
        <f aca="false">H17*H7*INDEX(Assumptions!$C$67:$E$67,3)*INDEX(Assumptions!$C$72:$E$72,3)+I19*0.7*INDEX(Assumptions!$C$73:$E$73,3)</f>
        <v>83.1921846890882</v>
      </c>
      <c r="J23" s="8" t="n">
        <f aca="false">I17*I7*INDEX(Assumptions!$C$67:$E$67,3)*INDEX(Assumptions!$C$72:$E$72,3)+J19*0.7*INDEX(Assumptions!$C$73:$E$73,3)</f>
        <v>106.908417934377</v>
      </c>
      <c r="K23" s="2"/>
    </row>
    <row r="24" customFormat="false" ht="15" hidden="false" customHeight="false" outlineLevel="0" collapsed="false">
      <c r="A24" s="28" t="s">
        <v>812</v>
      </c>
      <c r="B24" s="8" t="n">
        <f aca="false">0</f>
        <v>0</v>
      </c>
      <c r="C24" s="8" t="n">
        <f aca="false">0</f>
        <v>0</v>
      </c>
      <c r="D24" s="8" t="n">
        <f aca="false">INDEX(Assumptions!$C$222:$E$222,1)</f>
        <v>0</v>
      </c>
      <c r="E24" s="8" t="n">
        <f aca="false">0</f>
        <v>0</v>
      </c>
      <c r="F24" s="8" t="n">
        <f aca="false">0</f>
        <v>0</v>
      </c>
      <c r="G24" s="8" t="n">
        <f aca="false">INDEX(Assumptions!$C$222:$E$222,2)</f>
        <v>0</v>
      </c>
      <c r="H24" s="8" t="n">
        <f aca="false">0</f>
        <v>0</v>
      </c>
      <c r="I24" s="8" t="n">
        <f aca="false">0</f>
        <v>0</v>
      </c>
      <c r="J24" s="8" t="n">
        <f aca="false">INDEX(Assumptions!$C$222:$E$222,3)</f>
        <v>30</v>
      </c>
      <c r="K24" s="2"/>
    </row>
    <row r="25" customFormat="false" ht="15" hidden="false" customHeight="false" outlineLevel="0" collapsed="false">
      <c r="A25" s="28" t="s">
        <v>813</v>
      </c>
      <c r="B25" s="7" t="n">
        <f aca="false">Outlook_Conservative!N11</f>
        <v>0.4</v>
      </c>
      <c r="C25" s="7" t="n">
        <f aca="false">INDEX(Assumptions!$C$159:$E$159,1)</f>
        <v>0.2</v>
      </c>
      <c r="D25" s="7" t="n">
        <f aca="false">INDEX(Assumptions!$C$160:$E$160,1)</f>
        <v>0.12</v>
      </c>
      <c r="E25" s="7" t="n">
        <f aca="false">Outlook_Base!N11</f>
        <v>0.3</v>
      </c>
      <c r="F25" s="7" t="n">
        <f aca="false">INDEX(Assumptions!$C$159:$E$159,2)</f>
        <v>0.15</v>
      </c>
      <c r="G25" s="7" t="n">
        <f aca="false">INDEX(Assumptions!$C$160:$E$160,2)</f>
        <v>0.1</v>
      </c>
      <c r="H25" s="7" t="n">
        <f aca="false">Outlook_Aggressive!N11</f>
        <v>0.25</v>
      </c>
      <c r="I25" s="7" t="n">
        <f aca="false">INDEX(Assumptions!$C$159:$E$159,3)</f>
        <v>0.12</v>
      </c>
      <c r="J25" s="7" t="n">
        <f aca="false">INDEX(Assumptions!$C$160:$E$160,3)</f>
        <v>0.08</v>
      </c>
      <c r="K25" s="2"/>
    </row>
    <row r="26" customFormat="false" ht="15" hidden="false" customHeight="false" outlineLevel="0" collapsed="false">
      <c r="A26" s="10" t="s">
        <v>814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customFormat="false" ht="15" hidden="false" customHeight="false" outlineLevel="0" collapsed="false">
      <c r="A27" s="28" t="s">
        <v>815</v>
      </c>
      <c r="B27" s="8" t="n">
        <f aca="false">Outlook_Conservative!N46</f>
        <v>65000</v>
      </c>
      <c r="C27" s="8" t="n">
        <f aca="false">INDEX(Assumptions!$C$20:$E$20,1)</f>
        <v>65000</v>
      </c>
      <c r="D27" s="8" t="n">
        <f aca="false">C27*(1+INDEX(Assumptions!$C$226:$E$226,1))</f>
        <v>68250</v>
      </c>
      <c r="E27" s="8" t="n">
        <f aca="false">Outlook_Base!N46</f>
        <v>80000</v>
      </c>
      <c r="F27" s="8" t="n">
        <f aca="false">INDEX(Assumptions!$C$20:$E$20,2)</f>
        <v>80000</v>
      </c>
      <c r="G27" s="8" t="n">
        <f aca="false">F27*(1+INDEX(Assumptions!$C$226:$E$226,2))</f>
        <v>84800</v>
      </c>
      <c r="H27" s="8" t="n">
        <f aca="false">Outlook_Aggressive!N46</f>
        <v>100000</v>
      </c>
      <c r="I27" s="8" t="n">
        <f aca="false">INDEX(Assumptions!$C$20:$E$20,3)</f>
        <v>100000</v>
      </c>
      <c r="J27" s="8" t="n">
        <f aca="false">I27*(1+INDEX(Assumptions!$C$226:$E$226,3))</f>
        <v>108000</v>
      </c>
      <c r="K27" s="2"/>
    </row>
    <row r="28" customFormat="false" ht="15" hidden="false" customHeight="false" outlineLevel="0" collapsed="false">
      <c r="A28" s="28" t="s">
        <v>816</v>
      </c>
      <c r="B28" s="8" t="n">
        <f aca="false">INDEX(Assumptions!$C$18:$E$18,1)</f>
        <v>30000</v>
      </c>
      <c r="C28" s="8" t="n">
        <f aca="false">INDEX(Assumptions!$C$18:$E$18,1)</f>
        <v>30000</v>
      </c>
      <c r="D28" s="8" t="n">
        <f aca="false">INDEX(Assumptions!$C$18:$E$18,1)*(1+INDEX(Assumptions!$C$226:$E$226,1))</f>
        <v>31500</v>
      </c>
      <c r="E28" s="8" t="n">
        <f aca="false">INDEX(Assumptions!$C$18:$E$18,2)</f>
        <v>39900</v>
      </c>
      <c r="F28" s="8" t="n">
        <f aca="false">INDEX(Assumptions!$C$18:$E$18,2)</f>
        <v>39900</v>
      </c>
      <c r="G28" s="8" t="n">
        <f aca="false">INDEX(Assumptions!$C$18:$E$18,2)*(1+INDEX(Assumptions!$C$226:$E$226,2))</f>
        <v>42294</v>
      </c>
      <c r="H28" s="8" t="n">
        <f aca="false">INDEX(Assumptions!$C$18:$E$18,3)</f>
        <v>45000</v>
      </c>
      <c r="I28" s="8" t="n">
        <f aca="false">INDEX(Assumptions!$C$18:$E$18,3)</f>
        <v>45000</v>
      </c>
      <c r="J28" s="8" t="n">
        <f aca="false">INDEX(Assumptions!$C$18:$E$18,3)*(1+INDEX(Assumptions!$C$226:$E$226,3))</f>
        <v>48600</v>
      </c>
      <c r="K28" s="2"/>
    </row>
    <row r="29" customFormat="false" ht="15" hidden="false" customHeight="false" outlineLevel="0" collapsed="false">
      <c r="A29" s="10" t="s">
        <v>817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customFormat="false" ht="15" hidden="false" customHeight="false" outlineLevel="0" collapsed="false">
      <c r="A30" s="28" t="s">
        <v>818</v>
      </c>
      <c r="B30" s="6" t="n">
        <f aca="false">(Outlook_Conservative!O60)*(1-INDEX(Assumptions!$C$74:$E$74,1))/100000</f>
        <v>9.75647579801625</v>
      </c>
      <c r="C30" s="6" t="n">
        <f aca="false">(C17*(C7*C27+(1-C7)*C28)+C10*C15*(C27-C28))/(1+INDEX(Assumptions!$C$15:$E$15,1)*INDEX(Assumptions!$C$16:$E$16,1))*(1-C8)/100000</f>
        <v>14.5693578374589</v>
      </c>
      <c r="D30" s="6" t="n">
        <f aca="false">(D17*(D7*D27+(1-D7)*D28)+D10*D15*(D27-D28))/(1+INDEX(Assumptions!$C$15:$E$15,1)*INDEX(Assumptions!$C$16:$E$16,1))*(1-D8)/100000</f>
        <v>15.4957975917114</v>
      </c>
      <c r="E30" s="6" t="n">
        <f aca="false">(Outlook_Base!O60)*(1-INDEX(Assumptions!$C$74:$E$74,2))/100000</f>
        <v>36.9635807521251</v>
      </c>
      <c r="F30" s="6" t="n">
        <f aca="false">(F17*(F7*F27+(1-F7)*F28)+F10*F15*(F27-F28))/(1+INDEX(Assumptions!$C$15:$E$15,2)*INDEX(Assumptions!$C$16:$E$16,2))*(1-F8)/100000</f>
        <v>53.2991208606884</v>
      </c>
      <c r="G30" s="6" t="n">
        <f aca="false">(G17*(G7*G27+(1-G7)*G28)+G10*G15*(G27-G28))/(1+INDEX(Assumptions!$C$15:$E$15,2)*INDEX(Assumptions!$C$16:$E$16,2))*(1-G8)/100000</f>
        <v>58.0036565953251</v>
      </c>
      <c r="H30" s="6" t="n">
        <f aca="false">(Outlook_Aggressive!O60)*(1-INDEX(Assumptions!$C$74:$E$74,3))/100000</f>
        <v>58.2872345047386</v>
      </c>
      <c r="I30" s="6" t="n">
        <f aca="false">(I17*(I7*I27+(1-I7)*I28)+I10*I15*(I27-I28))/(1+INDEX(Assumptions!$C$15:$E$15,3)*INDEX(Assumptions!$C$16:$E$16,3))*(1-I8)/100000</f>
        <v>79.7890063103171</v>
      </c>
      <c r="J30" s="6" t="n">
        <f aca="false">(J17*(J7*J27+(1-J7)*J28)+J10*J15*(J27-J28))/(1+INDEX(Assumptions!$C$15:$E$15,3)*INDEX(Assumptions!$C$16:$E$16,3))*(1-J8)/100000</f>
        <v>80.3860133108135</v>
      </c>
      <c r="K30" s="2" t="s">
        <v>819</v>
      </c>
    </row>
    <row r="31" customFormat="false" ht="15" hidden="false" customHeight="false" outlineLevel="0" collapsed="false">
      <c r="A31" s="28" t="s">
        <v>820</v>
      </c>
      <c r="B31" s="6" t="n">
        <f aca="false">(Outlook_Conservative!O60)*INDEX(Assumptions!$C$74:$E$74,1)/100000</f>
        <v>1.72173102317934</v>
      </c>
      <c r="C31" s="6" t="n">
        <f aca="false">(C17*(C7*C27+(1-C7)*C28)+C10*C15*(C27-C28))/(1+INDEX(Assumptions!$C$15:$E$15,1)*INDEX(Assumptions!$C$16:$E$16,1))*C8/100000</f>
        <v>2.57106314778686</v>
      </c>
      <c r="D31" s="6" t="n">
        <f aca="false">(D17*(D7*D27+(1-D7)*D28)+D10*D15*(D27-D28))/(1+INDEX(Assumptions!$C$15:$E$15,1)*INDEX(Assumptions!$C$16:$E$16,1))*D8/100000</f>
        <v>3.40151654452201</v>
      </c>
      <c r="E31" s="6" t="n">
        <f aca="false">(Outlook_Base!O60)*INDEX(Assumptions!$C$74:$E$74,2)/100000</f>
        <v>12.3211935840417</v>
      </c>
      <c r="F31" s="6" t="n">
        <f aca="false">(F17*(F7*F27+(1-F7)*F28)+F10*F15*(F27-F28))/(1+INDEX(Assumptions!$C$15:$E$15,2)*INDEX(Assumptions!$C$16:$E$16,2))*F8/100000</f>
        <v>17.7663736202295</v>
      </c>
      <c r="G31" s="6" t="n">
        <f aca="false">(G17*(G7*G27+(1-G7)*G28)+G10*G15*(G27-G28))/(1+INDEX(Assumptions!$C$15:$E$15,2)*INDEX(Assumptions!$C$16:$E$16,2))*G8/100000</f>
        <v>24.858709969425</v>
      </c>
      <c r="H31" s="6" t="n">
        <f aca="false">(Outlook_Aggressive!O60)*INDEX(Assumptions!$C$74:$E$74,3)/100000</f>
        <v>31.38543396409</v>
      </c>
      <c r="I31" s="6" t="n">
        <f aca="false">(I17*(I7*I27+(1-I7)*I28)+I10*I15*(I27-I28))/(1+INDEX(Assumptions!$C$15:$E$15,3)*INDEX(Assumptions!$C$16:$E$16,3))*I8/100000</f>
        <v>42.9633110901707</v>
      </c>
      <c r="J31" s="6" t="n">
        <f aca="false">(J17*(J7*J27+(1-J7)*J28)+J10*J15*(J27-J28))/(1+INDEX(Assumptions!$C$15:$E$15,3)*INDEX(Assumptions!$C$16:$E$16,3))*J8/100000</f>
        <v>53.5906755405423</v>
      </c>
      <c r="K31" s="2"/>
    </row>
    <row r="32" customFormat="false" ht="15" hidden="false" customHeight="false" outlineLevel="0" collapsed="false">
      <c r="A32" s="28" t="s">
        <v>821</v>
      </c>
      <c r="B32" s="6" t="n">
        <f aca="false">0</f>
        <v>0</v>
      </c>
      <c r="C32" s="6" t="n">
        <f aca="false">C18*C27/(1+INDEX(Assumptions!$C$15:$E$15,1)*INDEX(Assumptions!$C$16:$E$16,1))/100000</f>
        <v>0</v>
      </c>
      <c r="D32" s="6" t="n">
        <f aca="false">D18*D27/(1+INDEX(Assumptions!$C$15:$E$15,1)*INDEX(Assumptions!$C$16:$E$16,1))/100000</f>
        <v>4.6271186440678</v>
      </c>
      <c r="E32" s="6" t="n">
        <f aca="false">0</f>
        <v>0</v>
      </c>
      <c r="F32" s="6" t="n">
        <f aca="false">F18*F27/(1+INDEX(Assumptions!$C$15:$E$15,2)*INDEX(Assumptions!$C$16:$E$16,2))/100000</f>
        <v>10.1694915254237</v>
      </c>
      <c r="G32" s="6" t="n">
        <f aca="false">G18*G27/(1+INDEX(Assumptions!$C$15:$E$15,2)*INDEX(Assumptions!$C$16:$E$16,2))/100000</f>
        <v>25.1525423728814</v>
      </c>
      <c r="H32" s="6" t="n">
        <f aca="false">0</f>
        <v>0</v>
      </c>
      <c r="I32" s="6" t="n">
        <f aca="false">I18*I27/(1+INDEX(Assumptions!$C$15:$E$15,3)*INDEX(Assumptions!$C$16:$E$16,3))/100000</f>
        <v>25.3197587201006</v>
      </c>
      <c r="J32" s="6" t="n">
        <f aca="false">J18*J27/(1+INDEX(Assumptions!$C$15:$E$15,3)*INDEX(Assumptions!$C$16:$E$16,3))/100000</f>
        <v>49.3481727455011</v>
      </c>
      <c r="K32" s="2"/>
    </row>
    <row r="33" customFormat="false" ht="15" hidden="false" customHeight="false" outlineLevel="0" collapsed="false">
      <c r="A33" s="28" t="s">
        <v>822</v>
      </c>
      <c r="B33" s="6" t="n">
        <f aca="false">(Outlook_Conservative!O53+Outlook_Conservative!O55+Outlook_Conservative!O56)/100000</f>
        <v>3.15224273747942</v>
      </c>
      <c r="C33" s="6" t="n">
        <f aca="false">(C20*INDEX(Assumptions!$C$22:$E$22,1)+C21*INDEX(Assumptions!$C$82:$E$82,1)*INDEX(Assumptions!$C$83:$E$83,1)+C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3" s="6" t="n">
        <f aca="false">(D20*INDEX(Assumptions!$C$22:$E$22,1)+D21*INDEX(Assumptions!$C$82:$E$82,1)*INDEX(Assumptions!$C$83:$E$83,1)+D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3" s="6" t="n">
        <f aca="false">(Outlook_Base!O53+Outlook_Base!O55+Outlook_Base!O56)/100000</f>
        <v>8.29553736339416</v>
      </c>
      <c r="F33" s="6" t="n">
        <f aca="false">(F20*INDEX(Assumptions!$C$22:$E$22,2)+F21*INDEX(Assumptions!$C$82:$E$82,2)*INDEX(Assumptions!$C$83:$E$83,2)+F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10.5061698160526</v>
      </c>
      <c r="G33" s="6" t="n">
        <f aca="false">(G20*INDEX(Assumptions!$C$22:$E$22,2)+G21*INDEX(Assumptions!$C$82:$E$82,2)*INDEX(Assumptions!$C$83:$E$83,2)+G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13.8790257807087</v>
      </c>
      <c r="H33" s="6" t="n">
        <f aca="false">(Outlook_Aggressive!O53+Outlook_Aggressive!O55+Outlook_Aggressive!O56)/100000</f>
        <v>17.0500637570621</v>
      </c>
      <c r="I33" s="6" t="n">
        <f aca="false">(I20*INDEX(Assumptions!$C$22:$E$22,3)+I21*INDEX(Assumptions!$C$82:$E$82,3)*INDEX(Assumptions!$C$83:$E$83,3)+I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3" s="6" t="n">
        <f aca="false">(J20*INDEX(Assumptions!$C$22:$E$22,3)+J21*INDEX(Assumptions!$C$82:$E$82,3)*INDEX(Assumptions!$C$83:$E$83,3)+J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3" s="2"/>
    </row>
    <row r="34" customFormat="false" ht="15" hidden="false" customHeight="false" outlineLevel="0" collapsed="false">
      <c r="A34" s="28" t="s">
        <v>823</v>
      </c>
      <c r="B34" s="6" t="n">
        <f aca="false">(Outlook_Conservative!O54+Outlook_Conservative!O57)/100000</f>
        <v>2.96025540254237</v>
      </c>
      <c r="C34" s="6" t="n">
        <f aca="false">(C19*INDEX(Assumptions!$C$21:$E$21,1)+C23*INDEX(Assumptions!$C$23:$E$23,1))/(1+INDEX(Assumptions!$C$15:$E$15,1)*INDEX(Assumptions!$C$16:$E$16,1))/100000</f>
        <v>4.94367991678084</v>
      </c>
      <c r="D34" s="6" t="n">
        <f aca="false">(D19*INDEX(Assumptions!$C$21:$E$21,1)+D23*INDEX(Assumptions!$C$23:$E$23,1))/(1+INDEX(Assumptions!$C$15:$E$15,1)*INDEX(Assumptions!$C$16:$E$16,1))/100000</f>
        <v>5.84163208703085</v>
      </c>
      <c r="E34" s="6" t="n">
        <f aca="false">(Outlook_Base!O54+Outlook_Base!O57)/100000</f>
        <v>13.8736380508475</v>
      </c>
      <c r="F34" s="6" t="n">
        <f aca="false">(F19*INDEX(Assumptions!$C$21:$E$21,2)+F23*INDEX(Assumptions!$C$23:$E$23,2))/(1+INDEX(Assumptions!$C$15:$E$15,2)*INDEX(Assumptions!$C$16:$E$16,2))/100000</f>
        <v>21.1971042529872</v>
      </c>
      <c r="G34" s="6" t="n">
        <f aca="false">(G19*INDEX(Assumptions!$C$21:$E$21,2)+G23*INDEX(Assumptions!$C$23:$E$23,2))/(1+INDEX(Assumptions!$C$15:$E$15,2)*INDEX(Assumptions!$C$16:$E$16,2))/100000</f>
        <v>27.0635227859017</v>
      </c>
      <c r="H34" s="6" t="n">
        <f aca="false">(Outlook_Aggressive!O54+Outlook_Aggressive!O57)/100000</f>
        <v>27.028361440678</v>
      </c>
      <c r="I34" s="6" t="n">
        <f aca="false">(I19*INDEX(Assumptions!$C$21:$E$21,3)+I23*INDEX(Assumptions!$C$23:$E$23,3))/(1+INDEX(Assumptions!$C$15:$E$15,3)*INDEX(Assumptions!$C$16:$E$16,3))/100000</f>
        <v>47.9645687832959</v>
      </c>
      <c r="J34" s="6" t="n">
        <f aca="false">(J19*INDEX(Assumptions!$C$21:$E$21,3)+J23*INDEX(Assumptions!$C$23:$E$23,3))/(1+INDEX(Assumptions!$C$15:$E$15,3)*INDEX(Assumptions!$C$16:$E$16,3))/100000</f>
        <v>61.1546467437438</v>
      </c>
      <c r="K34" s="2"/>
    </row>
    <row r="35" customFormat="false" ht="15" hidden="false" customHeight="false" outlineLevel="0" collapsed="false">
      <c r="A35" s="28" t="s">
        <v>824</v>
      </c>
      <c r="B35" s="6" t="n">
        <f aca="false">0</f>
        <v>0</v>
      </c>
      <c r="C35" s="6" t="n">
        <f aca="false">C22*INDEX(Assumptions!$C$213:$E$213,1)/(1+INDEX(Assumptions!$C$15:$E$15,1)*INDEX(Assumptions!$C$16:$E$16,1))/100000</f>
        <v>0</v>
      </c>
      <c r="D35" s="6" t="n">
        <f aca="false">D22*INDEX(Assumptions!$C$213:$E$213,1)/(1+INDEX(Assumptions!$C$15:$E$15,1)*INDEX(Assumptions!$C$16:$E$16,1))/100000</f>
        <v>1.26991525423729</v>
      </c>
      <c r="E35" s="6" t="n">
        <f aca="false">0</f>
        <v>0</v>
      </c>
      <c r="F35" s="6" t="n">
        <f aca="false">F22*INDEX(Assumptions!$C$213:$E$213,2)/(1+INDEX(Assumptions!$C$15:$E$15,2)*INDEX(Assumptions!$C$16:$E$16,2))/100000</f>
        <v>3.81101694915254</v>
      </c>
      <c r="G35" s="6" t="n">
        <f aca="false">G22*INDEX(Assumptions!$C$213:$E$213,2)/(1+INDEX(Assumptions!$C$15:$E$15,2)*INDEX(Assumptions!$C$16:$E$16,2))/100000</f>
        <v>11.4330508474576</v>
      </c>
      <c r="H35" s="6" t="n">
        <f aca="false">0</f>
        <v>0</v>
      </c>
      <c r="I35" s="6" t="n">
        <f aca="false">I22*INDEX(Assumptions!$C$213:$E$213,3)/(1+INDEX(Assumptions!$C$15:$E$15,3)*INDEX(Assumptions!$C$16:$E$16,3))/100000</f>
        <v>13.5525423728814</v>
      </c>
      <c r="J35" s="6" t="n">
        <f aca="false">J22*INDEX(Assumptions!$C$213:$E$213,3)/(1+INDEX(Assumptions!$C$15:$E$15,3)*INDEX(Assumptions!$C$16:$E$16,3))/100000</f>
        <v>33.8813559322034</v>
      </c>
      <c r="K35" s="2"/>
    </row>
    <row r="36" customFormat="false" ht="15" hidden="false" customHeight="false" outlineLevel="0" collapsed="false">
      <c r="A36" s="28" t="s">
        <v>825</v>
      </c>
      <c r="B36" s="6" t="n">
        <f aca="false">Outlook_Conservative!O58/100000</f>
        <v>0.0292419712230216</v>
      </c>
      <c r="C36" s="6" t="n">
        <f aca="false">(C17*C7*INDEX(Assumptions!$C$243:$E$243,1)+INDEX(Assumptions!$C$217:$E$217,1)*INDEX(Assumptions!$C$219:$E$219,1)/(1+INDEX(Assumptions!$C$15:$E$15,1)*INDEX(Assumptions!$C$16:$E$16,1))+INDEX(Assumptions!$C$220:$E$220,1))/100000</f>
        <v>1.24408652895988</v>
      </c>
      <c r="D36" s="6" t="n">
        <f aca="false">(D17*D7*INDEX(Assumptions!$C$243:$E$243,1)+INDEX(Assumptions!$C$218:$E$218,1)*INDEX(Assumptions!$C$219:$E$219,1)/(1+INDEX(Assumptions!$C$15:$E$15,1)*INDEX(Assumptions!$C$16:$E$16,1))+INDEX(Assumptions!$C$221:$E$221,1))/100000</f>
        <v>2.00417221134008</v>
      </c>
      <c r="E36" s="6" t="n">
        <f aca="false">Outlook_Base!O58/100000</f>
        <v>0.37511704991149</v>
      </c>
      <c r="F36" s="6" t="n">
        <f aca="false">(F17*F7*INDEX(Assumptions!$C$243:$E$243,2)+INDEX(Assumptions!$C$217:$E$217,2)*INDEX(Assumptions!$C$219:$E$219,2)/(1+INDEX(Assumptions!$C$15:$E$15,2)*INDEX(Assumptions!$C$16:$E$16,2))+INDEX(Assumptions!$C$220:$E$220,2))/100000</f>
        <v>3.29556715583861</v>
      </c>
      <c r="G36" s="6" t="n">
        <f aca="false">(G17*G7*INDEX(Assumptions!$C$243:$E$243,2)+INDEX(Assumptions!$C$218:$E$218,2)*INDEX(Assumptions!$C$219:$E$219,2)/(1+INDEX(Assumptions!$C$15:$E$15,2)*INDEX(Assumptions!$C$16:$E$16,2))+INDEX(Assumptions!$C$221:$E$221,2))/100000</f>
        <v>6.55224251549026</v>
      </c>
      <c r="H36" s="6" t="n">
        <f aca="false">Outlook_Aggressive!O58/100000</f>
        <v>1.03258996642628</v>
      </c>
      <c r="I36" s="6" t="n">
        <f aca="false">(I17*I7*INDEX(Assumptions!$C$243:$E$243,3)+INDEX(Assumptions!$C$217:$E$217,3)*INDEX(Assumptions!$C$219:$E$219,3)/(1+INDEX(Assumptions!$C$15:$E$15,3)*INDEX(Assumptions!$C$16:$E$16,3))+INDEX(Assumptions!$C$220:$E$220,3))/100000</f>
        <v>5.59242950594886</v>
      </c>
      <c r="J36" s="6" t="n">
        <f aca="false">(J17*J7*INDEX(Assumptions!$C$243:$E$243,3)+INDEX(Assumptions!$C$218:$E$218,3)*INDEX(Assumptions!$C$219:$E$219,3)/(1+INDEX(Assumptions!$C$15:$E$15,3)*INDEX(Assumptions!$C$16:$E$16,3))+INDEX(Assumptions!$C$221:$E$221,3))/100000</f>
        <v>10.1345404625179</v>
      </c>
      <c r="K36" s="2"/>
    </row>
    <row r="37" customFormat="false" ht="15" hidden="false" customHeight="false" outlineLevel="0" collapsed="false">
      <c r="A37" s="28" t="s">
        <v>826</v>
      </c>
      <c r="B37" s="6" t="n">
        <f aca="false">0</f>
        <v>0</v>
      </c>
      <c r="C37" s="6" t="n">
        <f aca="false">0</f>
        <v>0</v>
      </c>
      <c r="D37" s="6" t="n">
        <f aca="false">D24*D27/(1+INDEX(Assumptions!$C$15:$E$15,1)*INDEX(Assumptions!$C$16:$E$16,1))*(1-INDEX(Assumptions!$C$223:$E$223,1))/100000</f>
        <v>0</v>
      </c>
      <c r="E37" s="6" t="n">
        <f aca="false">0</f>
        <v>0</v>
      </c>
      <c r="F37" s="6" t="n">
        <f aca="false">0</f>
        <v>0</v>
      </c>
      <c r="G37" s="6" t="n">
        <f aca="false">G24*G27/(1+INDEX(Assumptions!$C$15:$E$15,2)*INDEX(Assumptions!$C$16:$E$16,2))*(1-INDEX(Assumptions!$C$223:$E$223,2))/100000</f>
        <v>0</v>
      </c>
      <c r="H37" s="6" t="n">
        <f aca="false">0</f>
        <v>0</v>
      </c>
      <c r="I37" s="6" t="n">
        <f aca="false">0</f>
        <v>0</v>
      </c>
      <c r="J37" s="6" t="n">
        <f aca="false">J24*J27/(1+INDEX(Assumptions!$C$15:$E$15,3)*INDEX(Assumptions!$C$16:$E$16,3))*(1-INDEX(Assumptions!$C$223:$E$223,3))/100000</f>
        <v>21.9661016949153</v>
      </c>
      <c r="K37" s="2"/>
    </row>
    <row r="38" customFormat="false" ht="15" hidden="false" customHeight="false" outlineLevel="0" collapsed="false">
      <c r="A38" s="3" t="s">
        <v>63</v>
      </c>
      <c r="B38" s="32" t="n">
        <f aca="false">SUM(B30:B37)</f>
        <v>17.6199469324404</v>
      </c>
      <c r="C38" s="32" t="n">
        <f aca="false">SUM(C30:C37)</f>
        <v>26.6419344271576</v>
      </c>
      <c r="D38" s="32" t="n">
        <f aca="false">SUM(D30:D37)</f>
        <v>36.6572985432959</v>
      </c>
      <c r="E38" s="32" t="n">
        <f aca="false">SUM(E30:E37)</f>
        <v>71.82906680032</v>
      </c>
      <c r="F38" s="32" t="n">
        <f aca="false">SUM(F30:F37)</f>
        <v>120.044844180373</v>
      </c>
      <c r="G38" s="32" t="n">
        <f aca="false">SUM(G30:G37)</f>
        <v>166.94275086719</v>
      </c>
      <c r="H38" s="32" t="n">
        <f aca="false">SUM(H30:H37)</f>
        <v>134.783683632995</v>
      </c>
      <c r="I38" s="32" t="n">
        <f aca="false">SUM(I30:I37)</f>
        <v>235.670458972991</v>
      </c>
      <c r="J38" s="32" t="n">
        <f aca="false">SUM(J30:J37)</f>
        <v>334.642000607154</v>
      </c>
      <c r="K38" s="2"/>
    </row>
    <row r="39" customFormat="false" ht="15" hidden="false" customHeight="false" outlineLevel="0" collapsed="false">
      <c r="A39" s="28" t="s">
        <v>827</v>
      </c>
      <c r="B39" s="7" t="n">
        <f aca="false">0</f>
        <v>0</v>
      </c>
      <c r="C39" s="7" t="n">
        <f aca="false">C38/B38-1</f>
        <v>0.512032614474376</v>
      </c>
      <c r="D39" s="7" t="n">
        <f aca="false">D38/C38-1</f>
        <v>0.375924809195877</v>
      </c>
      <c r="E39" s="7" t="n">
        <f aca="false">0</f>
        <v>0</v>
      </c>
      <c r="F39" s="7" t="n">
        <f aca="false">F38/E38-1</f>
        <v>0.671257187763405</v>
      </c>
      <c r="G39" s="7" t="n">
        <f aca="false">G38/F38-1</f>
        <v>0.390669895129784</v>
      </c>
      <c r="H39" s="7" t="n">
        <f aca="false">0</f>
        <v>0</v>
      </c>
      <c r="I39" s="7" t="n">
        <f aca="false">I38/H38-1</f>
        <v>0.748508815167139</v>
      </c>
      <c r="J39" s="7" t="n">
        <f aca="false">J38/I38-1</f>
        <v>0.419957350893548</v>
      </c>
      <c r="K39" s="2"/>
    </row>
    <row r="40" customFormat="false" ht="15" hidden="false" customHeight="false" outlineLevel="0" collapsed="false">
      <c r="A40" s="10" t="s">
        <v>828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customFormat="false" ht="15" hidden="false" customHeight="false" outlineLevel="0" collapsed="false">
      <c r="A41" s="28" t="s">
        <v>829</v>
      </c>
      <c r="B41" s="6" t="n">
        <f aca="false">Outlook_Conservative!O70/100000</f>
        <v>6.29881686372219</v>
      </c>
      <c r="C41" s="6" t="n">
        <f aca="false">((C17*C7+C10*C15)*INDEX(Assumptions!$C$91:$E$91,1)+C18*(INDEX(Assumptions!$C$93:$E$93,1)+INDEX(Assumptions!$C$240:$E$240,1))+C17*(1-C7)*INDEX(Assumptions!$C$92:$E$92,1)+C19*INDEX(Assumptions!$C$94:$E$94,1)+C20*INDEX(Assumptions!$C$95:$E$95,1)+C21*INDEX(Assumptions!$C$84:$E$84,1)+C23*INDEX(Assumptions!$C$97:$E$97,1)+C17*INDEX(Assumptions!$C$198:$E$198,1)*INDEX(Assumptions!$C$69:$E$69,1)+C24*INDEX(Assumptions!$C$224:$E$224,1)+(C30+C31+C32)*100000*(1+INDEX(Assumptions!$C$15:$E$15,1)*INDEX(Assumptions!$C$16:$E$16,1))*INDEX(Assumptions!$C$70:$E$70,1)*INDEX(Assumptions!$C$71:$E$71,1)+C38*100000*(1+INDEX(Assumptions!$C$15:$E$15,1)*INDEX(Assumptions!$C$16:$E$16,1))*INDEX(Assumptions!$C$76:$E$76,1)+C35*100000*INDEX(Assumptions!$C$216:$E$216,1))/100000</f>
        <v>6.08224427283772</v>
      </c>
      <c r="D41" s="6" t="n">
        <f aca="false">((D17*D7+D10*D15)*INDEX(Assumptions!$C$91:$E$91,1)+D18*(INDEX(Assumptions!$C$93:$E$93,1)+INDEX(Assumptions!$C$240:$E$240,1))+D17*(1-D7)*INDEX(Assumptions!$C$92:$E$92,1)+D19*INDEX(Assumptions!$C$94:$E$94,1)+D20*INDEX(Assumptions!$C$95:$E$95,1)+D21*INDEX(Assumptions!$C$84:$E$84,1)+D23*INDEX(Assumptions!$C$97:$E$97,1)+D17*INDEX(Assumptions!$C$198:$E$198,1)*INDEX(Assumptions!$C$69:$E$69,1)+D24*INDEX(Assumptions!$C$224:$E$224,1)+(D30+D31+D32)*100000*(1+INDEX(Assumptions!$C$15:$E$15,1)*INDEX(Assumptions!$C$16:$E$16,1))*INDEX(Assumptions!$C$70:$E$70,1)*INDEX(Assumptions!$C$71:$E$71,1)+D38*100000*(1+INDEX(Assumptions!$C$15:$E$15,1)*INDEX(Assumptions!$C$16:$E$16,1))*INDEX(Assumptions!$C$76:$E$76,1)+D35*100000*INDEX(Assumptions!$C$216:$E$216,1))/100000</f>
        <v>9.32548037673012</v>
      </c>
      <c r="E41" s="6" t="n">
        <f aca="false">Outlook_Base!O70/100000</f>
        <v>13.1161085343492</v>
      </c>
      <c r="F41" s="6" t="n">
        <f aca="false">((F17*F7+F10*F15)*INDEX(Assumptions!$C$91:$E$91,2)+F18*(INDEX(Assumptions!$C$93:$E$93,2)+INDEX(Assumptions!$C$240:$E$240,2))+F17*(1-F7)*INDEX(Assumptions!$C$92:$E$92,2)+F19*INDEX(Assumptions!$C$94:$E$94,2)+F20*INDEX(Assumptions!$C$95:$E$95,2)+F21*INDEX(Assumptions!$C$84:$E$84,2)+F23*INDEX(Assumptions!$C$97:$E$97,2)+F17*INDEX(Assumptions!$C$198:$E$198,2)*INDEX(Assumptions!$C$69:$E$69,2)+F24*INDEX(Assumptions!$C$224:$E$224,2)+(F30+F31+F32)*100000*(1+INDEX(Assumptions!$C$15:$E$15,2)*INDEX(Assumptions!$C$16:$E$16,2))*INDEX(Assumptions!$C$70:$E$70,2)*INDEX(Assumptions!$C$71:$E$71,2)+F38*100000*(1+INDEX(Assumptions!$C$15:$E$15,2)*INDEX(Assumptions!$C$16:$E$16,2))*INDEX(Assumptions!$C$76:$E$76,2)+F35*100000*INDEX(Assumptions!$C$216:$E$216,2))/100000</f>
        <v>19.8177130850628</v>
      </c>
      <c r="G41" s="6" t="n">
        <f aca="false">((G17*G7+G10*G15)*INDEX(Assumptions!$C$91:$E$91,2)+G18*(INDEX(Assumptions!$C$93:$E$93,2)+INDEX(Assumptions!$C$240:$E$240,2))+G17*(1-G7)*INDEX(Assumptions!$C$92:$E$92,2)+G19*INDEX(Assumptions!$C$94:$E$94,2)+G20*INDEX(Assumptions!$C$95:$E$95,2)+G21*INDEX(Assumptions!$C$84:$E$84,2)+G23*INDEX(Assumptions!$C$97:$E$97,2)+G17*INDEX(Assumptions!$C$198:$E$198,2)*INDEX(Assumptions!$C$69:$E$69,2)+G24*INDEX(Assumptions!$C$224:$E$224,2)+(G30+G31+G32)*100000*(1+INDEX(Assumptions!$C$15:$E$15,2)*INDEX(Assumptions!$C$16:$E$16,2))*INDEX(Assumptions!$C$70:$E$70,2)*INDEX(Assumptions!$C$71:$E$71,2)+G38*100000*(1+INDEX(Assumptions!$C$15:$E$15,2)*INDEX(Assumptions!$C$16:$E$16,2))*INDEX(Assumptions!$C$76:$E$76,2)+G35*100000*INDEX(Assumptions!$C$216:$E$216,2))/100000</f>
        <v>28.6692344347625</v>
      </c>
      <c r="H41" s="6" t="n">
        <f aca="false">Outlook_Aggressive!O70/100000</f>
        <v>16.8325424382764</v>
      </c>
      <c r="I41" s="6" t="n">
        <f aca="false">((I17*I7+I10*I15)*INDEX(Assumptions!$C$91:$E$91,3)+I18*(INDEX(Assumptions!$C$93:$E$93,3)+INDEX(Assumptions!$C$240:$E$240,3))+I17*(1-I7)*INDEX(Assumptions!$C$92:$E$92,3)+I19*INDEX(Assumptions!$C$94:$E$94,3)+I20*INDEX(Assumptions!$C$95:$E$95,3)+I21*INDEX(Assumptions!$C$84:$E$84,3)+I23*INDEX(Assumptions!$C$97:$E$97,3)+I17*INDEX(Assumptions!$C$198:$E$198,3)*INDEX(Assumptions!$C$69:$E$69,3)+I24*INDEX(Assumptions!$C$224:$E$224,3)+(I30+I31+I32)*100000*(1+INDEX(Assumptions!$C$15:$E$15,3)*INDEX(Assumptions!$C$16:$E$16,3))*INDEX(Assumptions!$C$70:$E$70,3)*INDEX(Assumptions!$C$71:$E$71,3)+I38*100000*(1+INDEX(Assumptions!$C$15:$E$15,3)*INDEX(Assumptions!$C$16:$E$16,3))*INDEX(Assumptions!$C$76:$E$76,3)+I35*100000*INDEX(Assumptions!$C$216:$E$216,3))/100000</f>
        <v>27.1036082246746</v>
      </c>
      <c r="J41" s="6" t="n">
        <f aca="false">((J17*J7+J10*J15)*INDEX(Assumptions!$C$91:$E$91,3)+J18*(INDEX(Assumptions!$C$93:$E$93,3)+INDEX(Assumptions!$C$240:$E$240,3))+J17*(1-J7)*INDEX(Assumptions!$C$92:$E$92,3)+J19*INDEX(Assumptions!$C$94:$E$94,3)+J20*INDEX(Assumptions!$C$95:$E$95,3)+J21*INDEX(Assumptions!$C$84:$E$84,3)+J23*INDEX(Assumptions!$C$97:$E$97,3)+J17*INDEX(Assumptions!$C$198:$E$198,3)*INDEX(Assumptions!$C$69:$E$69,3)+J24*INDEX(Assumptions!$C$224:$E$224,3)+(J30+J31+J32)*100000*(1+INDEX(Assumptions!$C$15:$E$15,3)*INDEX(Assumptions!$C$16:$E$16,3))*INDEX(Assumptions!$C$70:$E$70,3)*INDEX(Assumptions!$C$71:$E$71,3)+J38*100000*(1+INDEX(Assumptions!$C$15:$E$15,3)*INDEX(Assumptions!$C$16:$E$16,3))*INDEX(Assumptions!$C$76:$E$76,3)+J35*100000*INDEX(Assumptions!$C$216:$E$216,3))/100000</f>
        <v>38.5281232835931</v>
      </c>
      <c r="K41" s="2"/>
    </row>
    <row r="42" customFormat="false" ht="15" hidden="false" customHeight="false" outlineLevel="0" collapsed="false">
      <c r="A42" s="28" t="s">
        <v>830</v>
      </c>
      <c r="B42" s="6" t="n">
        <f aca="false">SUM(Outlook_Conservative!C79:N79)/100000</f>
        <v>6.15</v>
      </c>
      <c r="C42" s="6" t="n">
        <f aca="false">(MAX(1,ROUNDUP(C14*C15/12/INDEX(Assumptions!$C$102:$E$102,1)*(1-C25)/INDEX(Assumptions!$C$101:$E$101,1),0))*(INDEX(Assumptions!$C$98:$E$98,1)+INDEX(Assumptions!$C$99:$E$99,1))/2+ROUNDUP(C14*C15/12/INDEX(Assumptions!$C$102:$E$102,1)/2,0)*INDEX(Assumptions!$C$100:$E$100,1))*12*(1+INDEX(Assumptions!$C$227:$E$227,1))^1/100000</f>
        <v>10.56</v>
      </c>
      <c r="D42" s="6" t="n">
        <f aca="false">(MAX(1,ROUNDUP(D14*D15/12/INDEX(Assumptions!$C$102:$E$102,1)*(1-D25)/INDEX(Assumptions!$C$101:$E$101,1),0))*(INDEX(Assumptions!$C$98:$E$98,1)+INDEX(Assumptions!$C$99:$E$99,1))/2+ROUNDUP(D14*D15/12/INDEX(Assumptions!$C$102:$E$102,1)/2,0)*INDEX(Assumptions!$C$100:$E$100,1))*12*(1+INDEX(Assumptions!$C$227:$E$227,1))^2/100000</f>
        <v>11.616</v>
      </c>
      <c r="E42" s="6" t="n">
        <f aca="false">SUM(Outlook_Base!C79:N79)/100000</f>
        <v>9.84</v>
      </c>
      <c r="F42" s="6" t="n">
        <f aca="false">(MAX(1,ROUNDUP(F14*F15/12/INDEX(Assumptions!$C$102:$E$102,2)*(1-F25)/INDEX(Assumptions!$C$101:$E$101,2),0))*(INDEX(Assumptions!$C$98:$E$98,2)+INDEX(Assumptions!$C$99:$E$99,2))/2+ROUNDUP(F14*F15/12/INDEX(Assumptions!$C$102:$E$102,2)/2,0)*INDEX(Assumptions!$C$100:$E$100,2))*12*(1+INDEX(Assumptions!$C$227:$E$227,2))^1/100000</f>
        <v>17.3664</v>
      </c>
      <c r="G42" s="6" t="n">
        <f aca="false">(MAX(1,ROUNDUP(G14*G15/12/INDEX(Assumptions!$C$102:$E$102,2)*(1-G25)/INDEX(Assumptions!$C$101:$E$101,2),0))*(INDEX(Assumptions!$C$98:$E$98,2)+INDEX(Assumptions!$C$99:$E$99,2))/2+ROUNDUP(G14*G15/12/INDEX(Assumptions!$C$102:$E$102,2)/2,0)*INDEX(Assumptions!$C$100:$E$100,2))*12*(1+INDEX(Assumptions!$C$227:$E$227,2))^2/100000</f>
        <v>18.755712</v>
      </c>
      <c r="H42" s="6" t="n">
        <f aca="false">SUM(Outlook_Aggressive!C79:N79)/100000</f>
        <v>11.56</v>
      </c>
      <c r="I42" s="6" t="n">
        <f aca="false">(MAX(1,ROUNDUP(I14*I15/12/INDEX(Assumptions!$C$102:$E$102,3)*(1-I25)/INDEX(Assumptions!$C$101:$E$101,3),0))*(INDEX(Assumptions!$C$98:$E$98,3)+INDEX(Assumptions!$C$99:$E$99,3))/2+ROUNDUP(I14*I15/12/INDEX(Assumptions!$C$102:$E$102,3)/2,0)*INDEX(Assumptions!$C$100:$E$100,3))*12*(1+INDEX(Assumptions!$C$227:$E$227,3))^1/100000</f>
        <v>15.4224</v>
      </c>
      <c r="J42" s="6" t="n">
        <f aca="false">(MAX(1,ROUNDUP(J14*J15/12/INDEX(Assumptions!$C$102:$E$102,3)*(1-J25)/INDEX(Assumptions!$C$101:$E$101,3),0))*(INDEX(Assumptions!$C$98:$E$98,3)+INDEX(Assumptions!$C$99:$E$99,3))/2+ROUNDUP(J14*J15/12/INDEX(Assumptions!$C$102:$E$102,3)/2,0)*INDEX(Assumptions!$C$100:$E$100,3))*12*(1+INDEX(Assumptions!$C$227:$E$227,3))^2/100000</f>
        <v>24.984288</v>
      </c>
      <c r="K42" s="2"/>
    </row>
    <row r="43" customFormat="false" ht="15" hidden="false" customHeight="false" outlineLevel="0" collapsed="false">
      <c r="A43" s="28" t="s">
        <v>831</v>
      </c>
      <c r="B43" s="6" t="n">
        <f aca="false">SUM(Outlook_Conservative!C80:N81)/100000</f>
        <v>3.44</v>
      </c>
      <c r="C43" s="6" t="n">
        <f aca="false">(INDEX(Assumptions!$C$233:$E$233,1)*INDEX(Assumptions!$C$108:$E$108,1)+Outlook_Conservative!N81)*12*(1+INDEX(Assumptions!$C$227:$E$227,1))^1/100000</f>
        <v>4.224</v>
      </c>
      <c r="D43" s="6" t="n">
        <f aca="false">(INDEX(Assumptions!$C$234:$E$234,1)*INDEX(Assumptions!$C$108:$E$108,1)+Outlook_Conservative!N81)*12*(1+INDEX(Assumptions!$C$227:$E$227,1))^2/100000</f>
        <v>4.6464</v>
      </c>
      <c r="E43" s="6" t="n">
        <f aca="false">SUM(Outlook_Base!C80:N81)/100000</f>
        <v>13.825</v>
      </c>
      <c r="F43" s="6" t="n">
        <f aca="false">(INDEX(Assumptions!$C$233:$E$233,2)*INDEX(Assumptions!$C$108:$E$108,2)+Outlook_Base!N81)*12*(1+INDEX(Assumptions!$C$227:$E$227,2))^1/100000</f>
        <v>16.524</v>
      </c>
      <c r="G43" s="6" t="n">
        <f aca="false">(INDEX(Assumptions!$C$234:$E$234,2)*INDEX(Assumptions!$C$108:$E$108,2)+Outlook_Base!N81)*12*(1+INDEX(Assumptions!$C$227:$E$227,2))^2/100000</f>
        <v>19.59552</v>
      </c>
      <c r="H43" s="6" t="n">
        <f aca="false">SUM(Outlook_Aggressive!C80:N81)/100000</f>
        <v>22.85</v>
      </c>
      <c r="I43" s="6" t="n">
        <f aca="false">(INDEX(Assumptions!$C$233:$E$233,3)*INDEX(Assumptions!$C$108:$E$108,3)+Outlook_Aggressive!N81)*12*(1+INDEX(Assumptions!$C$227:$E$227,3))^1/100000</f>
        <v>27.216</v>
      </c>
      <c r="J43" s="6" t="n">
        <f aca="false">(INDEX(Assumptions!$C$234:$E$234,3)*INDEX(Assumptions!$C$108:$E$108,3)+Outlook_Aggressive!N81)*12*(1+INDEX(Assumptions!$C$227:$E$227,3))^2/100000</f>
        <v>31.14288</v>
      </c>
      <c r="K43" s="2"/>
    </row>
    <row r="44" customFormat="false" ht="15" hidden="false" customHeight="false" outlineLevel="0" collapsed="false">
      <c r="A44" s="28" t="s">
        <v>832</v>
      </c>
      <c r="B44" s="6" t="n">
        <f aca="false">SUM(Outlook_Conservative!C82:N83)/100000</f>
        <v>0</v>
      </c>
      <c r="C44" s="6" t="n">
        <f aca="false">(INDEX(Assumptions!$C$235:$E$235,1)*INDEX(Assumptions!$C$186:$E$186,1)+Outlook_Conservative!N82)*12*(1+INDEX(Assumptions!$C$227:$E$227,1))^1/100000</f>
        <v>0</v>
      </c>
      <c r="D44" s="6" t="n">
        <f aca="false">(INDEX(Assumptions!$C$236:$E$236,1)*INDEX(Assumptions!$C$186:$E$186,1)+Outlook_Conservative!N82)*12*(1+INDEX(Assumptions!$C$227:$E$227,1))^2/100000</f>
        <v>4.719</v>
      </c>
      <c r="E44" s="6" t="n">
        <f aca="false">SUM(Outlook_Base!C82:N83)/100000</f>
        <v>1.08</v>
      </c>
      <c r="F44" s="6" t="n">
        <f aca="false">(INDEX(Assumptions!$C$235:$E$235,2)*INDEX(Assumptions!$C$186:$E$186,2)+Outlook_Base!N82)*12*(1+INDEX(Assumptions!$C$227:$E$227,2))^1/100000</f>
        <v>10.7568</v>
      </c>
      <c r="G44" s="6" t="n">
        <f aca="false">(INDEX(Assumptions!$C$236:$E$236,2)*INDEX(Assumptions!$C$186:$E$186,2)+Outlook_Base!N82)*12*(1+INDEX(Assumptions!$C$227:$E$227,2))^2/100000</f>
        <v>11.617344</v>
      </c>
      <c r="H44" s="6" t="n">
        <f aca="false">SUM(Outlook_Aggressive!C82:N83)/100000</f>
        <v>3.57</v>
      </c>
      <c r="I44" s="6" t="n">
        <f aca="false">(INDEX(Assumptions!$C$235:$E$235,3)*INDEX(Assumptions!$C$186:$E$186,3)+Outlook_Aggressive!N82)*12*(1+INDEX(Assumptions!$C$227:$E$227,3))^1/100000</f>
        <v>10.7568</v>
      </c>
      <c r="J44" s="6" t="n">
        <f aca="false">(INDEX(Assumptions!$C$236:$E$236,3)*INDEX(Assumptions!$C$186:$E$186,3)+Outlook_Aggressive!N82)*12*(1+INDEX(Assumptions!$C$227:$E$227,3))^2/100000</f>
        <v>11.617344</v>
      </c>
      <c r="K44" s="2"/>
    </row>
    <row r="45" customFormat="false" ht="15" hidden="false" customHeight="false" outlineLevel="0" collapsed="false">
      <c r="A45" s="28" t="s">
        <v>833</v>
      </c>
      <c r="B45" s="6" t="n">
        <f aca="false">(Outlook_Conservative!O86+Outlook_Conservative!O87)/100000</f>
        <v>6.84</v>
      </c>
      <c r="C45" s="6" t="n">
        <f aca="false">(Outlook_Conservative!N86+Outlook_Conservative!N87)*12*(1+INDEX(Assumptions!$C$228:$E$228,1))^1/100000</f>
        <v>7.182</v>
      </c>
      <c r="D45" s="6" t="n">
        <f aca="false">(Outlook_Conservative!N86+Outlook_Conservative!N87)*12*(1+INDEX(Assumptions!$C$228:$E$228,1))^2/100000</f>
        <v>7.5411</v>
      </c>
      <c r="E45" s="6" t="n">
        <f aca="false">(Outlook_Base!O86+Outlook_Base!O87)/100000</f>
        <v>9.876</v>
      </c>
      <c r="F45" s="6" t="n">
        <f aca="false">(Outlook_Base!N86+Outlook_Base!N87)*12*(1+INDEX(Assumptions!$C$228:$E$228,2))^1/100000</f>
        <v>15.0696</v>
      </c>
      <c r="G45" s="6" t="n">
        <f aca="false">(Outlook_Base!N86+Outlook_Base!N87)*12*(1+INDEX(Assumptions!$C$228:$E$228,2))^2/100000</f>
        <v>15.82308</v>
      </c>
      <c r="H45" s="6" t="n">
        <f aca="false">(Outlook_Aggressive!O86+Outlook_Aggressive!O87)/100000</f>
        <v>14.598</v>
      </c>
      <c r="I45" s="6" t="n">
        <f aca="false">(Outlook_Aggressive!N86+Outlook_Aggressive!N87)*12*(1+INDEX(Assumptions!$C$228:$E$228,3))^1/100000</f>
        <v>18.5472</v>
      </c>
      <c r="J45" s="6" t="n">
        <f aca="false">(Outlook_Aggressive!N86+Outlook_Aggressive!N87)*12*(1+INDEX(Assumptions!$C$228:$E$228,3))^2/100000</f>
        <v>19.47456</v>
      </c>
      <c r="K45" s="2"/>
    </row>
    <row r="46" customFormat="false" ht="15" hidden="false" customHeight="false" outlineLevel="0" collapsed="false">
      <c r="A46" s="28" t="s">
        <v>834</v>
      </c>
      <c r="B46" s="6" t="n">
        <f aca="false">Outlook_Conservative!O89/100000</f>
        <v>4.2</v>
      </c>
      <c r="C46" s="6" t="n">
        <f aca="false">(INDEX(Assumptions!$C$237:$E$237,1)+C18*INDEX(Assumptions!$C$239:$E$239,1)+C22*INDEX(Assumptions!$C$214:$E$214,1)*0.5)/100000</f>
        <v>3</v>
      </c>
      <c r="D46" s="6" t="n">
        <f aca="false">(INDEX(Assumptions!$C$238:$E$238,1)+D18*INDEX(Assumptions!$C$239:$E$239,1)+D22*INDEX(Assumptions!$C$214:$E$214,1)*0.5)/100000</f>
        <v>4.65</v>
      </c>
      <c r="E46" s="6" t="n">
        <f aca="false">Outlook_Base!O89/100000</f>
        <v>9.35</v>
      </c>
      <c r="F46" s="6" t="n">
        <f aca="false">(INDEX(Assumptions!$C$237:$E$237,2)+F18*INDEX(Assumptions!$C$239:$E$239,2)+F22*INDEX(Assumptions!$C$214:$E$214,2)*0.5)/100000</f>
        <v>14.475</v>
      </c>
      <c r="G46" s="6" t="n">
        <f aca="false">(INDEX(Assumptions!$C$238:$E$238,2)+G18*INDEX(Assumptions!$C$239:$E$239,2)+G22*INDEX(Assumptions!$C$214:$E$214,2)*0.5)/100000</f>
        <v>19.175</v>
      </c>
      <c r="H46" s="6" t="n">
        <f aca="false">Outlook_Aggressive!O89/100000</f>
        <v>16.85</v>
      </c>
      <c r="I46" s="6" t="n">
        <f aca="false">(INDEX(Assumptions!$C$237:$E$237,3)+I18*INDEX(Assumptions!$C$239:$E$239,3)+I22*INDEX(Assumptions!$C$214:$E$214,3)*0.5)/100000</f>
        <v>27.9877315289719</v>
      </c>
      <c r="J46" s="6" t="n">
        <f aca="false">(INDEX(Assumptions!$C$238:$E$238,3)+J18*INDEX(Assumptions!$C$239:$E$239,3)+J22*INDEX(Assumptions!$C$214:$E$214,3)*0.5)/100000</f>
        <v>33.8917447999714</v>
      </c>
      <c r="K46" s="2"/>
    </row>
    <row r="47" customFormat="false" ht="15" hidden="false" customHeight="false" outlineLevel="0" collapsed="false">
      <c r="A47" s="28" t="s">
        <v>835</v>
      </c>
      <c r="B47" s="6" t="n">
        <f aca="false">(Outlook_Conservative!O88+Outlook_Conservative!O90+Outlook_Conservative!O91+Outlook_Conservative!O92)/100000</f>
        <v>3.79996</v>
      </c>
      <c r="C47" s="6" t="n">
        <f aca="false">((Outlook_Conservative!N88+INDEX(Assumptions!$C$170:$E$170,1)+INDEX(Assumptions!$C$195:$E$195,1))*12+IF(C22&gt;0,INDEX(Assumptions!$C$215:$E$215,1),0))/100000</f>
        <v>2.79996</v>
      </c>
      <c r="D47" s="6" t="n">
        <f aca="false">((Outlook_Conservative!N88+INDEX(Assumptions!$C$170:$E$170,1)+INDEX(Assumptions!$C$195:$E$195,1))*12+IF(D22&gt;0,INDEX(Assumptions!$C$215:$E$215,1),0))/100000</f>
        <v>3.79996</v>
      </c>
      <c r="E47" s="6" t="n">
        <f aca="false">(Outlook_Base!O88+Outlook_Base!O90+Outlook_Base!O91+Outlook_Base!O92)/100000</f>
        <v>8.75996</v>
      </c>
      <c r="F47" s="6" t="n">
        <f aca="false">((Outlook_Base!N88+INDEX(Assumptions!$C$170:$E$170,2)+INDEX(Assumptions!$C$195:$E$195,2))*12+IF(F22&gt;0,INDEX(Assumptions!$C$215:$E$215,2),0))/100000</f>
        <v>8.45996</v>
      </c>
      <c r="G47" s="6" t="n">
        <f aca="false">((Outlook_Base!N88+INDEX(Assumptions!$C$170:$E$170,2)+INDEX(Assumptions!$C$195:$E$195,2))*12+IF(G22&gt;0,INDEX(Assumptions!$C$215:$E$215,2),0))/100000</f>
        <v>8.45996</v>
      </c>
      <c r="H47" s="6" t="n">
        <f aca="false">(Outlook_Aggressive!O88+Outlook_Aggressive!O90+Outlook_Aggressive!O91+Outlook_Aggressive!O92)/100000</f>
        <v>13.28004</v>
      </c>
      <c r="I47" s="6" t="n">
        <f aca="false">((Outlook_Aggressive!N88+INDEX(Assumptions!$C$170:$E$170,3)+INDEX(Assumptions!$C$195:$E$195,3))*12+IF(I22&gt;0,INDEX(Assumptions!$C$215:$E$215,3),0))/100000</f>
        <v>12.26004</v>
      </c>
      <c r="J47" s="6" t="n">
        <f aca="false">((Outlook_Aggressive!N88+INDEX(Assumptions!$C$170:$E$170,3)+INDEX(Assumptions!$C$195:$E$195,3))*12+IF(J22&gt;0,INDEX(Assumptions!$C$215:$E$215,3),0))/100000</f>
        <v>12.26004</v>
      </c>
      <c r="K47" s="2"/>
    </row>
    <row r="48" customFormat="false" ht="15" hidden="false" customHeight="false" outlineLevel="0" collapsed="false">
      <c r="A48" s="3" t="s">
        <v>836</v>
      </c>
      <c r="B48" s="32" t="n">
        <f aca="false">SUM(B41:B47)</f>
        <v>30.7287768637222</v>
      </c>
      <c r="C48" s="32" t="n">
        <f aca="false">SUM(C41:C47)</f>
        <v>33.8482042728377</v>
      </c>
      <c r="D48" s="32" t="n">
        <f aca="false">SUM(D41:D47)</f>
        <v>46.2979403767301</v>
      </c>
      <c r="E48" s="32" t="n">
        <f aca="false">SUM(E41:E47)</f>
        <v>65.8470685343492</v>
      </c>
      <c r="F48" s="32" t="n">
        <f aca="false">SUM(F41:F47)</f>
        <v>102.469473085063</v>
      </c>
      <c r="G48" s="32" t="n">
        <f aca="false">SUM(G41:G47)</f>
        <v>122.095850434763</v>
      </c>
      <c r="H48" s="32" t="n">
        <f aca="false">SUM(H41:H47)</f>
        <v>99.5405824382764</v>
      </c>
      <c r="I48" s="32" t="n">
        <f aca="false">SUM(I41:I47)</f>
        <v>139.293779753646</v>
      </c>
      <c r="J48" s="32" t="n">
        <f aca="false">SUM(J41:J47)</f>
        <v>171.898980083565</v>
      </c>
      <c r="K48" s="2"/>
    </row>
    <row r="49" customFormat="false" ht="15" hidden="false" customHeight="false" outlineLevel="0" collapsed="false">
      <c r="A49" s="3" t="s">
        <v>64</v>
      </c>
      <c r="B49" s="32" t="n">
        <f aca="false">B38-B48</f>
        <v>-13.1088299312818</v>
      </c>
      <c r="C49" s="32" t="n">
        <f aca="false">C38-C48</f>
        <v>-7.20626984568009</v>
      </c>
      <c r="D49" s="32" t="n">
        <f aca="false">D38-D48</f>
        <v>-9.64064183343418</v>
      </c>
      <c r="E49" s="32" t="n">
        <f aca="false">E38-E48</f>
        <v>5.98199826597075</v>
      </c>
      <c r="F49" s="32" t="n">
        <f aca="false">F38-F48</f>
        <v>17.5753710953097</v>
      </c>
      <c r="G49" s="32" t="n">
        <f aca="false">G38-G48</f>
        <v>44.8469004324274</v>
      </c>
      <c r="H49" s="32" t="n">
        <f aca="false">H38-H48</f>
        <v>35.2431011947186</v>
      </c>
      <c r="I49" s="32" t="n">
        <f aca="false">I38-I48</f>
        <v>96.3766792193441</v>
      </c>
      <c r="J49" s="32" t="n">
        <f aca="false">J38-J48</f>
        <v>162.74302052359</v>
      </c>
      <c r="K49" s="2"/>
    </row>
    <row r="50" customFormat="false" ht="15" hidden="false" customHeight="false" outlineLevel="0" collapsed="false">
      <c r="A50" s="3" t="s">
        <v>65</v>
      </c>
      <c r="B50" s="30" t="n">
        <f aca="false">IFERROR(B49/B38,0)</f>
        <v>-0.743976697633911</v>
      </c>
      <c r="C50" s="30" t="n">
        <f aca="false">IFERROR(C49/C38,0)</f>
        <v>-0.270485983868136</v>
      </c>
      <c r="D50" s="30" t="n">
        <f aca="false">IFERROR(D49/D38,0)</f>
        <v>-0.262993788864382</v>
      </c>
      <c r="E50" s="30" t="n">
        <f aca="false">IFERROR(E49/E38,0)</f>
        <v>0.0832810244159277</v>
      </c>
      <c r="F50" s="30" t="n">
        <f aca="false">IFERROR(F49/F38,0)</f>
        <v>0.146406713385391</v>
      </c>
      <c r="G50" s="30" t="n">
        <f aca="false">IFERROR(G49/G38,0)</f>
        <v>0.268636404991942</v>
      </c>
      <c r="H50" s="30" t="n">
        <f aca="false">IFERROR(H49/H38,0)</f>
        <v>0.261478987995926</v>
      </c>
      <c r="I50" s="30" t="n">
        <f aca="false">IFERROR(I49/I38,0)</f>
        <v>0.408946796468833</v>
      </c>
      <c r="J50" s="30" t="n">
        <f aca="false">IFERROR(J49/J38,0)</f>
        <v>0.486319769270799</v>
      </c>
      <c r="K50" s="2"/>
    </row>
    <row r="51" customFormat="false" ht="15" hidden="false" customHeight="false" outlineLevel="0" collapsed="false">
      <c r="A51" s="28" t="s">
        <v>837</v>
      </c>
      <c r="B51" s="6" t="n">
        <f aca="false">Outlook_Conservative!O103/100000</f>
        <v>0.5</v>
      </c>
      <c r="C51" s="6" t="n">
        <f aca="false">(INDEX(Assumptions!$C$241:$E$241,1)+MAX(0,C11-B11)*INDEX(Assumptions!$C$183:$E$183,1)+IF(C24&gt;0,INDEX(Assumptions!$C$225:$E$225,1),0))/100000</f>
        <v>3</v>
      </c>
      <c r="D51" s="6" t="n">
        <f aca="false">(INDEX(Assumptions!$C$242:$E$242,1)+MAX(0,D11-C11)*INDEX(Assumptions!$C$183:$E$183,1)+IF(D24&gt;0,INDEX(Assumptions!$C$225:$E$225,1),0))/100000</f>
        <v>2.7</v>
      </c>
      <c r="E51" s="6" t="n">
        <f aca="false">Outlook_Base!O103/100000</f>
        <v>19.72</v>
      </c>
      <c r="F51" s="6" t="n">
        <f aca="false">(INDEX(Assumptions!$C$241:$E$241,2)+MAX(0,F11-E11)*INDEX(Assumptions!$C$183:$E$183,2)+IF(F24&gt;0,INDEX(Assumptions!$C$225:$E$225,2),0))/100000</f>
        <v>3</v>
      </c>
      <c r="G51" s="6" t="n">
        <f aca="false">(INDEX(Assumptions!$C$242:$E$242,2)+MAX(0,G11-F11)*INDEX(Assumptions!$C$183:$E$183,2)+IF(G24&gt;0,INDEX(Assumptions!$C$225:$E$225,2),0))/100000</f>
        <v>3.6</v>
      </c>
      <c r="H51" s="6" t="n">
        <f aca="false">Outlook_Aggressive!O103/100000</f>
        <v>27.04</v>
      </c>
      <c r="I51" s="6" t="n">
        <f aca="false">(INDEX(Assumptions!$C$241:$E$241,3)+MAX(0,I11-H11)*INDEX(Assumptions!$C$183:$E$183,3)+IF(I24&gt;0,INDEX(Assumptions!$C$225:$E$225,3),0))/100000</f>
        <v>5</v>
      </c>
      <c r="J51" s="6" t="n">
        <f aca="false">(INDEX(Assumptions!$C$242:$E$242,3)+MAX(0,J11-I11)*INDEX(Assumptions!$C$183:$E$183,3)+IF(J24&gt;0,INDEX(Assumptions!$C$225:$E$225,3),0))/100000</f>
        <v>8.1</v>
      </c>
      <c r="K51" s="2"/>
    </row>
    <row r="52" customFormat="false" ht="15" hidden="false" customHeight="false" outlineLevel="0" collapsed="false">
      <c r="A52" s="3" t="s">
        <v>838</v>
      </c>
      <c r="B52" s="32" t="n">
        <f aca="false">Outlook_Conservative!N106/100000</f>
        <v>-14.9975897369965</v>
      </c>
      <c r="C52" s="32" t="n">
        <f aca="false">C49-C51</f>
        <v>-10.2062698456801</v>
      </c>
      <c r="D52" s="32" t="n">
        <f aca="false">D49-D51</f>
        <v>-12.3406418334342</v>
      </c>
      <c r="E52" s="32" t="n">
        <f aca="false">Outlook_Base!N106/100000</f>
        <v>-16.6622644458937</v>
      </c>
      <c r="F52" s="32" t="n">
        <f aca="false">F49-F51</f>
        <v>14.5753710953097</v>
      </c>
      <c r="G52" s="32" t="n">
        <f aca="false">G49-G51</f>
        <v>41.2469004324274</v>
      </c>
      <c r="H52" s="32" t="n">
        <f aca="false">Outlook_Aggressive!N106/100000</f>
        <v>8.20310119471859</v>
      </c>
      <c r="I52" s="32" t="n">
        <f aca="false">I49-I51</f>
        <v>91.3766792193441</v>
      </c>
      <c r="J52" s="32" t="n">
        <f aca="false">J49-J51</f>
        <v>154.64302052359</v>
      </c>
      <c r="K52" s="2"/>
    </row>
    <row r="53" customFormat="false" ht="15" hidden="false" customHeight="false" outlineLevel="0" collapsed="false">
      <c r="A53" s="3" t="s">
        <v>839</v>
      </c>
      <c r="B53" s="32" t="n">
        <f aca="false">B52</f>
        <v>-14.9975897369965</v>
      </c>
      <c r="C53" s="32" t="n">
        <f aca="false">B53+C52</f>
        <v>-25.2038595826766</v>
      </c>
      <c r="D53" s="32" t="n">
        <f aca="false">C53+D52</f>
        <v>-37.5445014161108</v>
      </c>
      <c r="E53" s="32" t="n">
        <f aca="false">E52</f>
        <v>-16.6622644458937</v>
      </c>
      <c r="F53" s="32" t="n">
        <f aca="false">E53+F52</f>
        <v>-2.0868933505839</v>
      </c>
      <c r="G53" s="32" t="n">
        <f aca="false">F53+G52</f>
        <v>39.1600070818435</v>
      </c>
      <c r="H53" s="32" t="n">
        <f aca="false">H52</f>
        <v>8.20310119471859</v>
      </c>
      <c r="I53" s="32" t="n">
        <f aca="false">H53+I52</f>
        <v>99.5797804140627</v>
      </c>
      <c r="J53" s="32" t="n">
        <f aca="false">I53+J52</f>
        <v>254.222800937652</v>
      </c>
      <c r="K53" s="2"/>
    </row>
    <row r="54" customFormat="false" ht="15" hidden="false" customHeight="false" outlineLevel="0" collapsed="false">
      <c r="A54" s="3" t="s">
        <v>840</v>
      </c>
      <c r="B54" s="32" t="n">
        <f aca="false">Outlook_Conservative!O107/100000</f>
        <v>14.9975897369965</v>
      </c>
      <c r="C54" s="32" t="n">
        <f aca="false">MAX(B54,-MIN(0,C53))</f>
        <v>25.2038595826766</v>
      </c>
      <c r="D54" s="32" t="n">
        <f aca="false">MAX(C54,-MIN(0,D53))</f>
        <v>37.5445014161108</v>
      </c>
      <c r="E54" s="32" t="n">
        <f aca="false">Outlook_Base!O107/100000</f>
        <v>25.6585561730623</v>
      </c>
      <c r="F54" s="32" t="n">
        <f aca="false">MAX(E54,-MIN(0,F53))</f>
        <v>25.6585561730623</v>
      </c>
      <c r="G54" s="32" t="n">
        <f aca="false">MAX(F54,-MIN(0,G53))</f>
        <v>25.6585561730623</v>
      </c>
      <c r="H54" s="32" t="n">
        <f aca="false">Outlook_Aggressive!O107/100000</f>
        <v>28.6304366213038</v>
      </c>
      <c r="I54" s="32" t="n">
        <f aca="false">MAX(H54,-MIN(0,I53))</f>
        <v>28.6304366213038</v>
      </c>
      <c r="J54" s="32" t="n">
        <f aca="false">MAX(I54,-MIN(0,J53))</f>
        <v>28.6304366213038</v>
      </c>
      <c r="K54" s="2"/>
    </row>
    <row r="55" customFormat="false" ht="15" hidden="false" customHeight="false" outlineLevel="0" collapsed="false">
      <c r="A55" s="10" t="s">
        <v>841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customFormat="false" ht="15" hidden="false" customHeight="false" outlineLevel="0" collapsed="false">
      <c r="A56" s="28" t="s">
        <v>842</v>
      </c>
      <c r="B56" s="6" t="n">
        <f aca="false">B30+B33</f>
        <v>12.9087185354957</v>
      </c>
      <c r="C56" s="6" t="n">
        <f aca="false">C30+C33</f>
        <v>17.8831048336301</v>
      </c>
      <c r="D56" s="6" t="n">
        <f aca="false">D30+D33</f>
        <v>19.5129438020979</v>
      </c>
      <c r="E56" s="6" t="n">
        <f aca="false">E30+E33</f>
        <v>45.2591181155193</v>
      </c>
      <c r="F56" s="6" t="n">
        <f aca="false">F30+F33</f>
        <v>63.805290676741</v>
      </c>
      <c r="G56" s="6" t="n">
        <f aca="false">G30+G33</f>
        <v>71.8826823760339</v>
      </c>
      <c r="H56" s="6" t="n">
        <f aca="false">H30+H33</f>
        <v>75.3372982618007</v>
      </c>
      <c r="I56" s="6" t="n">
        <f aca="false">I30+I33</f>
        <v>100.277848500593</v>
      </c>
      <c r="J56" s="6" t="n">
        <f aca="false">J30+J33</f>
        <v>104.56650748773</v>
      </c>
      <c r="K56" s="2"/>
    </row>
    <row r="57" customFormat="false" ht="15" hidden="false" customHeight="false" outlineLevel="0" collapsed="false">
      <c r="A57" s="28" t="s">
        <v>843</v>
      </c>
      <c r="B57" s="6" t="n">
        <f aca="false">B31+B37</f>
        <v>1.72173102317934</v>
      </c>
      <c r="C57" s="6" t="n">
        <f aca="false">C31+C37</f>
        <v>2.57106314778686</v>
      </c>
      <c r="D57" s="6" t="n">
        <f aca="false">D31+D37</f>
        <v>3.40151654452201</v>
      </c>
      <c r="E57" s="6" t="n">
        <f aca="false">E31+E37</f>
        <v>12.3211935840417</v>
      </c>
      <c r="F57" s="6" t="n">
        <f aca="false">F31+F37</f>
        <v>17.7663736202295</v>
      </c>
      <c r="G57" s="6" t="n">
        <f aca="false">G31+G37</f>
        <v>24.858709969425</v>
      </c>
      <c r="H57" s="6" t="n">
        <f aca="false">H31+H37</f>
        <v>31.38543396409</v>
      </c>
      <c r="I57" s="6" t="n">
        <f aca="false">I31+I37</f>
        <v>42.9633110901707</v>
      </c>
      <c r="J57" s="6" t="n">
        <f aca="false">J31+J37</f>
        <v>75.5567772354576</v>
      </c>
      <c r="K57" s="2"/>
    </row>
    <row r="58" customFormat="false" ht="15" hidden="false" customHeight="false" outlineLevel="0" collapsed="false">
      <c r="A58" s="28" t="s">
        <v>844</v>
      </c>
      <c r="B58" s="6" t="n">
        <f aca="false">B32</f>
        <v>0</v>
      </c>
      <c r="C58" s="6" t="n">
        <f aca="false">C32</f>
        <v>0</v>
      </c>
      <c r="D58" s="6" t="n">
        <f aca="false">D32</f>
        <v>4.6271186440678</v>
      </c>
      <c r="E58" s="6" t="n">
        <f aca="false">E32</f>
        <v>0</v>
      </c>
      <c r="F58" s="6" t="n">
        <f aca="false">F32</f>
        <v>10.1694915254237</v>
      </c>
      <c r="G58" s="6" t="n">
        <f aca="false">G32</f>
        <v>25.1525423728814</v>
      </c>
      <c r="H58" s="6" t="n">
        <f aca="false">H32</f>
        <v>0</v>
      </c>
      <c r="I58" s="6" t="n">
        <f aca="false">I32</f>
        <v>25.3197587201006</v>
      </c>
      <c r="J58" s="6" t="n">
        <f aca="false">J32</f>
        <v>49.3481727455011</v>
      </c>
      <c r="K58" s="2"/>
    </row>
    <row r="59" customFormat="false" ht="15" hidden="false" customHeight="false" outlineLevel="0" collapsed="false">
      <c r="A59" s="28" t="s">
        <v>845</v>
      </c>
      <c r="B59" s="6" t="n">
        <f aca="false">B34</f>
        <v>2.96025540254237</v>
      </c>
      <c r="C59" s="6" t="n">
        <f aca="false">C34</f>
        <v>4.94367991678084</v>
      </c>
      <c r="D59" s="6" t="n">
        <f aca="false">D34</f>
        <v>5.84163208703085</v>
      </c>
      <c r="E59" s="6" t="n">
        <f aca="false">E34</f>
        <v>13.8736380508475</v>
      </c>
      <c r="F59" s="6" t="n">
        <f aca="false">F34</f>
        <v>21.1971042529872</v>
      </c>
      <c r="G59" s="6" t="n">
        <f aca="false">G34</f>
        <v>27.0635227859017</v>
      </c>
      <c r="H59" s="6" t="n">
        <f aca="false">H34</f>
        <v>27.028361440678</v>
      </c>
      <c r="I59" s="6" t="n">
        <f aca="false">I34</f>
        <v>47.9645687832959</v>
      </c>
      <c r="J59" s="6" t="n">
        <f aca="false">J34</f>
        <v>61.1546467437438</v>
      </c>
      <c r="K59" s="2"/>
    </row>
    <row r="60" customFormat="false" ht="15" hidden="false" customHeight="false" outlineLevel="0" collapsed="false">
      <c r="A60" s="28" t="s">
        <v>846</v>
      </c>
      <c r="B60" s="6" t="n">
        <f aca="false">B35</f>
        <v>0</v>
      </c>
      <c r="C60" s="6" t="n">
        <f aca="false">C35</f>
        <v>0</v>
      </c>
      <c r="D60" s="6" t="n">
        <f aca="false">D35</f>
        <v>1.26991525423729</v>
      </c>
      <c r="E60" s="6" t="n">
        <f aca="false">E35</f>
        <v>0</v>
      </c>
      <c r="F60" s="6" t="n">
        <f aca="false">F35</f>
        <v>3.81101694915254</v>
      </c>
      <c r="G60" s="6" t="n">
        <f aca="false">G35</f>
        <v>11.4330508474576</v>
      </c>
      <c r="H60" s="6" t="n">
        <f aca="false">H35</f>
        <v>0</v>
      </c>
      <c r="I60" s="6" t="n">
        <f aca="false">I35</f>
        <v>13.5525423728814</v>
      </c>
      <c r="J60" s="6" t="n">
        <f aca="false">J35</f>
        <v>33.8813559322034</v>
      </c>
      <c r="K60" s="2"/>
    </row>
    <row r="61" customFormat="false" ht="15" hidden="false" customHeight="false" outlineLevel="0" collapsed="false">
      <c r="A61" s="28" t="s">
        <v>847</v>
      </c>
      <c r="B61" s="6" t="n">
        <f aca="false">B36</f>
        <v>0.0292419712230216</v>
      </c>
      <c r="C61" s="6" t="n">
        <f aca="false">C36</f>
        <v>1.24408652895988</v>
      </c>
      <c r="D61" s="6" t="n">
        <f aca="false">D36</f>
        <v>2.00417221134008</v>
      </c>
      <c r="E61" s="6" t="n">
        <f aca="false">E36</f>
        <v>0.37511704991149</v>
      </c>
      <c r="F61" s="6" t="n">
        <f aca="false">F36</f>
        <v>3.29556715583861</v>
      </c>
      <c r="G61" s="6" t="n">
        <f aca="false">G36</f>
        <v>6.55224251549026</v>
      </c>
      <c r="H61" s="6" t="n">
        <f aca="false">H36</f>
        <v>1.03258996642628</v>
      </c>
      <c r="I61" s="6" t="n">
        <f aca="false">I36</f>
        <v>5.59242950594886</v>
      </c>
      <c r="J61" s="6" t="n">
        <f aca="false">J36</f>
        <v>10.1345404625179</v>
      </c>
      <c r="K61" s="2"/>
    </row>
    <row r="62" customFormat="false" ht="15" hidden="false" customHeight="false" outlineLevel="0" collapsed="false">
      <c r="A62" s="28" t="s">
        <v>848</v>
      </c>
      <c r="B62" s="8" t="n">
        <f aca="false">B17*(1-B8)</f>
        <v>28.221804721223</v>
      </c>
      <c r="C62" s="8" t="n">
        <f aca="false">C17*(1-C8)</f>
        <v>33.1409007194245</v>
      </c>
      <c r="D62" s="8" t="n">
        <f aca="false">D17*(1-D8)</f>
        <v>33.5697829640288</v>
      </c>
      <c r="E62" s="8" t="n">
        <f aca="false">E17*(1-E8)</f>
        <v>68.1890882849797</v>
      </c>
      <c r="F62" s="8" t="n">
        <f aca="false">F17*(1-F8)</f>
        <v>91.4514084447337</v>
      </c>
      <c r="G62" s="8" t="n">
        <f aca="false">G17*(1-G8)</f>
        <v>93.8901126699266</v>
      </c>
      <c r="H62" s="8" t="n">
        <f aca="false">H17*(1-H8)</f>
        <v>80.3506100180697</v>
      </c>
      <c r="I62" s="8" t="n">
        <f aca="false">I17*(1-I8)</f>
        <v>104.496145889206</v>
      </c>
      <c r="J62" s="8" t="n">
        <f aca="false">J17*(1-J8)</f>
        <v>97.4796478262423</v>
      </c>
      <c r="K62" s="2"/>
    </row>
    <row r="63" customFormat="false" ht="15" hidden="false" customHeight="false" outlineLevel="0" collapsed="false">
      <c r="A63" s="28" t="s">
        <v>849</v>
      </c>
      <c r="B63" s="8" t="n">
        <f aca="false">B17*B8+B24</f>
        <v>4.98031848021583</v>
      </c>
      <c r="C63" s="8" t="n">
        <f aca="false">C17*C8+C24</f>
        <v>5.84839424460432</v>
      </c>
      <c r="D63" s="8" t="n">
        <f aca="false">D17*D8+D24</f>
        <v>7.36897674820144</v>
      </c>
      <c r="E63" s="8" t="n">
        <f aca="false">E17*E8+E24</f>
        <v>22.7296960949932</v>
      </c>
      <c r="F63" s="8" t="n">
        <f aca="false">F17*F8+F24</f>
        <v>30.4838028149112</v>
      </c>
      <c r="G63" s="8" t="n">
        <f aca="false">G17*G8+G24</f>
        <v>40.2386197156828</v>
      </c>
      <c r="H63" s="8" t="n">
        <f aca="false">H17*H8+H24</f>
        <v>43.2657130866529</v>
      </c>
      <c r="I63" s="8" t="n">
        <f aca="false">I17*I8+I24</f>
        <v>56.267155478803</v>
      </c>
      <c r="J63" s="8" t="n">
        <f aca="false">J17*J8+J24</f>
        <v>94.9864318841616</v>
      </c>
      <c r="K63" s="2"/>
    </row>
    <row r="64" customFormat="false" ht="15" hidden="false" customHeight="false" outlineLevel="0" collapsed="false">
      <c r="A64" s="28" t="s">
        <v>850</v>
      </c>
      <c r="B64" s="8" t="n">
        <f aca="false">B18</f>
        <v>0</v>
      </c>
      <c r="C64" s="8" t="n">
        <f aca="false">C18</f>
        <v>0</v>
      </c>
      <c r="D64" s="8" t="n">
        <f aca="false">D18</f>
        <v>8</v>
      </c>
      <c r="E64" s="8" t="n">
        <f aca="false">E18</f>
        <v>0</v>
      </c>
      <c r="F64" s="8" t="n">
        <f aca="false">F18</f>
        <v>15</v>
      </c>
      <c r="G64" s="8" t="n">
        <f aca="false">G18</f>
        <v>35</v>
      </c>
      <c r="H64" s="8" t="n">
        <f aca="false">H18</f>
        <v>0</v>
      </c>
      <c r="I64" s="8" t="n">
        <f aca="false">I18</f>
        <v>29.8773152897187</v>
      </c>
      <c r="J64" s="8" t="n">
        <f aca="false">J18</f>
        <v>53.9174479997141</v>
      </c>
      <c r="K64" s="2"/>
    </row>
    <row r="65" customFormat="false" ht="15" hidden="false" customHeight="false" outlineLevel="0" collapsed="false">
      <c r="A65" s="10" t="s">
        <v>851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customFormat="false" ht="15" hidden="false" customHeight="false" outlineLevel="0" collapsed="false">
      <c r="A66" s="28" t="s">
        <v>852</v>
      </c>
      <c r="B66" s="27" t="n">
        <f aca="false">ROUND(B38-SUM(B56:B61),6)</f>
        <v>0</v>
      </c>
      <c r="C66" s="27" t="n">
        <f aca="false">ROUND(C38-SUM(C56:C61),6)</f>
        <v>0</v>
      </c>
      <c r="D66" s="27" t="n">
        <f aca="false">ROUND(D38-SUM(D56:D61),6)</f>
        <v>0</v>
      </c>
      <c r="E66" s="27" t="n">
        <f aca="false">ROUND(E38-SUM(E56:E61),6)</f>
        <v>0</v>
      </c>
      <c r="F66" s="27" t="n">
        <f aca="false">ROUND(F38-SUM(F56:F61),6)</f>
        <v>0</v>
      </c>
      <c r="G66" s="27" t="n">
        <f aca="false">ROUND(G38-SUM(G56:G61),6)</f>
        <v>0</v>
      </c>
      <c r="H66" s="27" t="n">
        <f aca="false">ROUND(H38-SUM(H56:H61),6)</f>
        <v>0</v>
      </c>
      <c r="I66" s="27" t="n">
        <f aca="false">ROUND(I38-SUM(I56:I61),6)</f>
        <v>0</v>
      </c>
      <c r="J66" s="27" t="n">
        <f aca="false">ROUND(J38-SUM(J56:J61),6)</f>
        <v>0</v>
      </c>
      <c r="K6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853</v>
      </c>
    </row>
    <row r="2" customFormat="false" ht="15" hidden="false" customHeight="false" outlineLevel="0" collapsed="false">
      <c r="A2" s="2" t="s">
        <v>854</v>
      </c>
    </row>
    <row r="4" customFormat="false" ht="15" hidden="false" customHeight="false" outlineLevel="0" collapsed="false">
      <c r="A4" s="5" t="s">
        <v>855</v>
      </c>
      <c r="B4" s="5" t="s">
        <v>75</v>
      </c>
      <c r="C4" s="5" t="s">
        <v>856</v>
      </c>
      <c r="D4" s="5" t="s">
        <v>76</v>
      </c>
      <c r="E4" s="5" t="s">
        <v>857</v>
      </c>
    </row>
    <row r="5" customFormat="false" ht="15" hidden="false" customHeight="false" outlineLevel="0" collapsed="false">
      <c r="A5" s="3" t="s">
        <v>858</v>
      </c>
      <c r="B5" s="13" t="s">
        <v>859</v>
      </c>
      <c r="C5" s="15" t="n">
        <v>2910000</v>
      </c>
      <c r="D5" s="13" t="s">
        <v>135</v>
      </c>
      <c r="E5" s="2" t="s">
        <v>860</v>
      </c>
    </row>
    <row r="6" customFormat="false" ht="15" hidden="false" customHeight="false" outlineLevel="0" collapsed="false">
      <c r="A6" s="3" t="s">
        <v>861</v>
      </c>
      <c r="B6" s="13" t="s">
        <v>862</v>
      </c>
      <c r="C6" s="15" t="n">
        <v>1650000</v>
      </c>
      <c r="D6" s="13" t="s">
        <v>90</v>
      </c>
      <c r="E6" s="2" t="s">
        <v>863</v>
      </c>
    </row>
    <row r="7" customFormat="false" ht="15" hidden="false" customHeight="false" outlineLevel="0" collapsed="false">
      <c r="A7" s="3" t="s">
        <v>864</v>
      </c>
      <c r="B7" s="13" t="s">
        <v>865</v>
      </c>
      <c r="C7" s="15" t="n">
        <v>46</v>
      </c>
      <c r="D7" s="13" t="s">
        <v>353</v>
      </c>
      <c r="E7" s="2" t="s">
        <v>866</v>
      </c>
    </row>
    <row r="8" customFormat="false" ht="15" hidden="false" customHeight="false" outlineLevel="0" collapsed="false">
      <c r="A8" s="3" t="s">
        <v>867</v>
      </c>
      <c r="B8" s="13" t="s">
        <v>868</v>
      </c>
      <c r="C8" s="15" t="n">
        <v>25</v>
      </c>
      <c r="D8" s="13" t="s">
        <v>353</v>
      </c>
      <c r="E8" s="2" t="s">
        <v>869</v>
      </c>
    </row>
    <row r="9" customFormat="false" ht="15" hidden="false" customHeight="false" outlineLevel="0" collapsed="false">
      <c r="A9" s="3" t="s">
        <v>870</v>
      </c>
      <c r="B9" s="13" t="s">
        <v>871</v>
      </c>
      <c r="C9" s="19" t="n">
        <v>0.15</v>
      </c>
      <c r="D9" s="13" t="s">
        <v>99</v>
      </c>
      <c r="E9" s="2" t="s">
        <v>872</v>
      </c>
    </row>
    <row r="10" customFormat="false" ht="15" hidden="false" customHeight="false" outlineLevel="0" collapsed="false">
      <c r="A10" s="3" t="s">
        <v>873</v>
      </c>
      <c r="B10" s="13" t="s">
        <v>874</v>
      </c>
      <c r="C10" s="15" t="n">
        <v>4000000</v>
      </c>
      <c r="D10" s="13" t="s">
        <v>135</v>
      </c>
      <c r="E10" s="2" t="s">
        <v>875</v>
      </c>
    </row>
    <row r="11" customFormat="false" ht="15" hidden="false" customHeight="false" outlineLevel="0" collapsed="false">
      <c r="A11" s="3" t="s">
        <v>876</v>
      </c>
      <c r="B11" s="13" t="s">
        <v>877</v>
      </c>
      <c r="C11" s="15" t="n">
        <v>400000</v>
      </c>
      <c r="D11" s="13" t="s">
        <v>135</v>
      </c>
      <c r="E11" s="2" t="s">
        <v>878</v>
      </c>
    </row>
    <row r="12" customFormat="false" ht="15" hidden="false" customHeight="false" outlineLevel="0" collapsed="false">
      <c r="A12" s="3" t="s">
        <v>879</v>
      </c>
      <c r="B12" s="13" t="s">
        <v>880</v>
      </c>
      <c r="C12" s="15" t="n">
        <v>450000</v>
      </c>
      <c r="D12" s="13" t="s">
        <v>90</v>
      </c>
      <c r="E12" s="2" t="s">
        <v>881</v>
      </c>
    </row>
    <row r="13" customFormat="false" ht="15" hidden="false" customHeight="false" outlineLevel="0" collapsed="false">
      <c r="A13" s="3" t="s">
        <v>882</v>
      </c>
      <c r="B13" s="13" t="s">
        <v>883</v>
      </c>
      <c r="C13" s="15" t="n">
        <v>750000</v>
      </c>
      <c r="D13" s="13" t="s">
        <v>90</v>
      </c>
      <c r="E13" s="2" t="s">
        <v>884</v>
      </c>
    </row>
    <row r="14" customFormat="false" ht="15" hidden="false" customHeight="false" outlineLevel="0" collapsed="false">
      <c r="A14" s="3" t="s">
        <v>885</v>
      </c>
      <c r="B14" s="13" t="s">
        <v>886</v>
      </c>
      <c r="C14" s="15" t="n">
        <v>2000</v>
      </c>
      <c r="D14" s="13" t="s">
        <v>649</v>
      </c>
      <c r="E14" s="2" t="s">
        <v>887</v>
      </c>
    </row>
    <row r="15" customFormat="false" ht="15" hidden="false" customHeight="false" outlineLevel="0" collapsed="false">
      <c r="A15" s="3" t="s">
        <v>888</v>
      </c>
      <c r="B15" s="13" t="s">
        <v>889</v>
      </c>
      <c r="C15" s="15" t="n">
        <v>600000</v>
      </c>
      <c r="D15" s="13" t="s">
        <v>135</v>
      </c>
      <c r="E15" s="2" t="s">
        <v>890</v>
      </c>
    </row>
    <row r="16" customFormat="false" ht="15" hidden="false" customHeight="false" outlineLevel="0" collapsed="false">
      <c r="A16" s="3" t="s">
        <v>891</v>
      </c>
      <c r="B16" s="13" t="s">
        <v>892</v>
      </c>
      <c r="C16" s="15" t="n">
        <v>6000</v>
      </c>
      <c r="D16" s="13" t="s">
        <v>90</v>
      </c>
      <c r="E16" s="2" t="s">
        <v>893</v>
      </c>
    </row>
    <row r="17" customFormat="false" ht="15" hidden="false" customHeight="false" outlineLevel="0" collapsed="false">
      <c r="A17" s="3" t="s">
        <v>894</v>
      </c>
      <c r="B17" s="13" t="s">
        <v>895</v>
      </c>
      <c r="C17" s="19" t="n">
        <v>0.2</v>
      </c>
      <c r="D17" s="13" t="s">
        <v>99</v>
      </c>
      <c r="E17" s="2" t="s">
        <v>896</v>
      </c>
    </row>
    <row r="18" customFormat="false" ht="15" hidden="false" customHeight="false" outlineLevel="0" collapsed="false">
      <c r="A18" s="3" t="s">
        <v>897</v>
      </c>
      <c r="B18" s="13" t="s">
        <v>898</v>
      </c>
      <c r="C18" s="15" t="n">
        <v>400</v>
      </c>
      <c r="D18" s="13" t="s">
        <v>90</v>
      </c>
      <c r="E18" s="2" t="s">
        <v>899</v>
      </c>
    </row>
    <row r="19" customFormat="false" ht="15" hidden="false" customHeight="false" outlineLevel="0" collapsed="false">
      <c r="A19" s="3" t="s">
        <v>900</v>
      </c>
      <c r="B19" s="13" t="s">
        <v>901</v>
      </c>
      <c r="C19" s="15" t="n">
        <v>2000</v>
      </c>
      <c r="D19" s="13" t="s">
        <v>90</v>
      </c>
      <c r="E19" s="2" t="s">
        <v>902</v>
      </c>
    </row>
    <row r="20" customFormat="false" ht="15" hidden="false" customHeight="false" outlineLevel="0" collapsed="false">
      <c r="A20" s="3" t="s">
        <v>903</v>
      </c>
      <c r="B20" s="13" t="s">
        <v>904</v>
      </c>
      <c r="C20" s="15" t="n">
        <v>1.4</v>
      </c>
      <c r="D20" s="13" t="s">
        <v>665</v>
      </c>
      <c r="E20" s="2" t="s">
        <v>905</v>
      </c>
    </row>
    <row r="21" customFormat="false" ht="15" hidden="false" customHeight="false" outlineLevel="0" collapsed="false">
      <c r="A21" s="3" t="s">
        <v>906</v>
      </c>
      <c r="B21" s="13" t="s">
        <v>907</v>
      </c>
      <c r="C21" s="15" t="n">
        <v>2400000</v>
      </c>
      <c r="D21" s="13" t="s">
        <v>135</v>
      </c>
      <c r="E21" s="2" t="s">
        <v>908</v>
      </c>
    </row>
    <row r="22" customFormat="false" ht="15" hidden="false" customHeight="false" outlineLevel="0" collapsed="false">
      <c r="A22" s="3" t="s">
        <v>909</v>
      </c>
      <c r="B22" s="13" t="s">
        <v>910</v>
      </c>
      <c r="C22" s="15" t="n">
        <v>800</v>
      </c>
      <c r="D22" s="13" t="s">
        <v>665</v>
      </c>
      <c r="E22" s="2" t="s">
        <v>911</v>
      </c>
    </row>
    <row r="23" customFormat="false" ht="15" hidden="false" customHeight="false" outlineLevel="0" collapsed="false">
      <c r="A23" s="3" t="s">
        <v>912</v>
      </c>
      <c r="B23" s="13" t="s">
        <v>913</v>
      </c>
      <c r="C23" s="19" t="n">
        <v>0.15</v>
      </c>
      <c r="D23" s="13" t="s">
        <v>99</v>
      </c>
      <c r="E23" s="2" t="s">
        <v>914</v>
      </c>
    </row>
    <row r="24" customFormat="false" ht="15" hidden="false" customHeight="false" outlineLevel="0" collapsed="false">
      <c r="A24" s="3" t="s">
        <v>915</v>
      </c>
      <c r="B24" s="13" t="s">
        <v>916</v>
      </c>
      <c r="C24" s="15" t="n">
        <v>10</v>
      </c>
      <c r="D24" s="13" t="s">
        <v>353</v>
      </c>
      <c r="E24" s="2" t="s">
        <v>917</v>
      </c>
    </row>
    <row r="27" customFormat="false" ht="55.2" hidden="false" customHeight="false" outlineLevel="0" collapsed="false">
      <c r="A27" s="5" t="s">
        <v>53</v>
      </c>
      <c r="B27" s="5" t="s">
        <v>918</v>
      </c>
      <c r="C27" s="5" t="s">
        <v>919</v>
      </c>
      <c r="D27" s="5" t="s">
        <v>920</v>
      </c>
      <c r="E27" s="5" t="s">
        <v>921</v>
      </c>
      <c r="F27" s="5" t="s">
        <v>922</v>
      </c>
      <c r="G27" s="5" t="s">
        <v>923</v>
      </c>
      <c r="H27" s="5" t="s">
        <v>924</v>
      </c>
      <c r="I27" s="5" t="s">
        <v>925</v>
      </c>
      <c r="J27" s="5" t="s">
        <v>926</v>
      </c>
      <c r="K27" s="5" t="s">
        <v>927</v>
      </c>
      <c r="L27" s="5" t="s">
        <v>928</v>
      </c>
    </row>
    <row r="28" customFormat="false" ht="15" hidden="false" customHeight="false" outlineLevel="0" collapsed="false">
      <c r="A28" s="28" t="s">
        <v>929</v>
      </c>
      <c r="B28" s="13" t="s">
        <v>930</v>
      </c>
      <c r="C28" s="13" t="s">
        <v>931</v>
      </c>
      <c r="D28" s="13" t="s">
        <v>931</v>
      </c>
      <c r="E28" s="13" t="s">
        <v>932</v>
      </c>
      <c r="F28" s="13" t="s">
        <v>933</v>
      </c>
      <c r="G28" s="13" t="s">
        <v>934</v>
      </c>
      <c r="H28" s="13" t="s">
        <v>935</v>
      </c>
      <c r="I28" s="13" t="s">
        <v>936</v>
      </c>
      <c r="J28" s="13" t="s">
        <v>937</v>
      </c>
      <c r="K28" s="13" t="s">
        <v>938</v>
      </c>
      <c r="L28" s="13" t="s">
        <v>939</v>
      </c>
    </row>
    <row r="29" customFormat="false" ht="15" hidden="false" customHeight="false" outlineLevel="0" collapsed="false">
      <c r="A29" s="28" t="s">
        <v>940</v>
      </c>
      <c r="B29" s="8" t="n">
        <f aca="false">3yr_Scenarios!G27</f>
        <v>84800</v>
      </c>
      <c r="C29" s="8" t="n">
        <f aca="false">Assumptions!$D$20</f>
        <v>80000</v>
      </c>
      <c r="D29" s="8" t="n">
        <f aca="false">Assumptions!$D$20</f>
        <v>80000</v>
      </c>
      <c r="E29" s="8" t="n">
        <f aca="false">$C$10</f>
        <v>4000000</v>
      </c>
      <c r="F29" s="8" t="n">
        <f aca="false">Assumptions!$D$213</f>
        <v>1499</v>
      </c>
      <c r="G29" s="8" t="n">
        <f aca="false">Assumptions!$D$20</f>
        <v>80000</v>
      </c>
      <c r="H29" s="8" t="n">
        <f aca="false">$C$16</f>
        <v>6000</v>
      </c>
      <c r="I29" s="8" t="n">
        <f aca="false">Assumptions!$D$219</f>
        <v>1750</v>
      </c>
      <c r="J29" s="8" t="n">
        <f aca="false">Assumptions!$D$21</f>
        <v>10000</v>
      </c>
      <c r="K29" s="8" t="n">
        <f aca="false">20000</f>
        <v>20000</v>
      </c>
      <c r="L29" s="8" t="n">
        <f aca="false">Assumptions!$D$23</f>
        <v>9999</v>
      </c>
    </row>
    <row r="30" customFormat="false" ht="15" hidden="false" customHeight="false" outlineLevel="0" collapsed="false">
      <c r="A30" s="28" t="s">
        <v>941</v>
      </c>
      <c r="B30" s="8" t="n">
        <f aca="false">B29/(1+Assumptions!$D$15*Assumptions!$D$16)</f>
        <v>71864.406779661</v>
      </c>
      <c r="C30" s="8" t="n">
        <f aca="false">Assumptions!$D$20/(1+Assumptions!$D$15*Assumptions!$D$16)</f>
        <v>67796.6101694915</v>
      </c>
      <c r="D30" s="8" t="n">
        <f aca="false">Assumptions!$D$20/(1+Assumptions!$D$15*Assumptions!$D$16)*(1-Assumptions!$D$223)</f>
        <v>50847.4576271186</v>
      </c>
      <c r="E30" s="8" t="n">
        <f aca="false">$C$10*$C$9</f>
        <v>600000</v>
      </c>
      <c r="F30" s="8" t="n">
        <f aca="false">F29/(1+Assumptions!$D$15*Assumptions!$D$16)</f>
        <v>1270.33898305085</v>
      </c>
      <c r="G30" s="8" t="n">
        <f aca="false">Assumptions!$D$20/(1+Assumptions!$D$15*Assumptions!$D$16)</f>
        <v>67796.6101694915</v>
      </c>
      <c r="H30" s="8" t="n">
        <f aca="false">H29/(1+Assumptions!$D$15*Assumptions!$D$16)*$C$17</f>
        <v>1016.94915254237</v>
      </c>
      <c r="I30" s="8" t="n">
        <f aca="false">I29/(1+Assumptions!$D$15*Assumptions!$D$16)</f>
        <v>1483.05084745763</v>
      </c>
      <c r="J30" s="8" t="n">
        <f aca="false">J29/(1+Assumptions!$D$15*Assumptions!$D$16)</f>
        <v>8474.57627118644</v>
      </c>
      <c r="K30" s="8" t="n">
        <f aca="false">Assumptions!$D$243</f>
        <v>960</v>
      </c>
      <c r="L30" s="8" t="n">
        <f aca="false">L29/(1+Assumptions!$D$15*Assumptions!$D$16)</f>
        <v>8473.72881355932</v>
      </c>
    </row>
    <row r="31" customFormat="false" ht="15" hidden="false" customHeight="false" outlineLevel="0" collapsed="false">
      <c r="A31" s="28" t="s">
        <v>942</v>
      </c>
      <c r="B31" s="8" t="n">
        <f aca="false">3yr_Scenarios!G17</f>
        <v>134.128732385609</v>
      </c>
      <c r="C31" s="8" t="n">
        <f aca="false">$C$7</f>
        <v>46</v>
      </c>
      <c r="D31" s="8" t="n">
        <f aca="false">$C$8</f>
        <v>25</v>
      </c>
      <c r="E31" s="8" t="n">
        <f aca="false">3</f>
        <v>3</v>
      </c>
      <c r="F31" s="8" t="n">
        <f aca="false">$C$14</f>
        <v>2000</v>
      </c>
      <c r="G31" s="8" t="n">
        <f aca="false">3yr_Scenarios!G18</f>
        <v>35</v>
      </c>
      <c r="H31" s="8" t="n">
        <f aca="false">$C$22</f>
        <v>800</v>
      </c>
      <c r="I31" s="8" t="n">
        <f aca="false">Assumptions!$D$218</f>
        <v>120</v>
      </c>
      <c r="J31" s="8" t="n">
        <f aca="false">3yr_Scenarios!G19</f>
        <v>280</v>
      </c>
      <c r="K31" s="8" t="n">
        <f aca="false">3yr_Scenarios!G17*3yr_Scenarios!G7</f>
        <v>80.4772394313657</v>
      </c>
      <c r="L31" s="8" t="n">
        <f aca="false">3yr_Scenarios!G23</f>
        <v>39.3535042240625</v>
      </c>
    </row>
    <row r="32" customFormat="false" ht="15" hidden="false" customHeight="false" outlineLevel="0" collapsed="false">
      <c r="A32" s="28" t="s">
        <v>943</v>
      </c>
      <c r="B32" s="6" t="n">
        <f aca="false">3yr_Scenarios!G38</f>
        <v>166.94275086719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K31*K30/100000+Assumptions!$D$221/100000</f>
        <v>4.77258149854111</v>
      </c>
      <c r="L32" s="6" t="n">
        <f aca="false">L31*L30/100000</f>
        <v>3.33470922657967</v>
      </c>
    </row>
    <row r="33" customFormat="false" ht="15" hidden="false" customHeight="false" outlineLevel="0" collapsed="false">
      <c r="A33" s="28" t="s">
        <v>944</v>
      </c>
      <c r="B33" s="8" t="n">
        <f aca="false">IFERROR(3yr_Scenarios!G41*100000/B31,0)</f>
        <v>21374.4168940184</v>
      </c>
      <c r="C33" s="8" t="n">
        <f aca="false">Assumptions!$D$91+Assumptions!$D$20*(Assumptions!$D$76+Assumptions!$D$70*Assumptions!$D$71)+Assumptions!$D$115*Assumptions!$D$120</f>
        <v>20666.6666666667</v>
      </c>
      <c r="D33" s="8" t="n">
        <f aca="false">Assumptions!$D$91+Assumptions!$D$224+Assumptions!$D$20*(Assumptions!$D$76+Assumptions!$D$70*Assumptions!$D$71)+Assumptions!$D$239</f>
        <v>31500</v>
      </c>
      <c r="E33" s="8" t="n">
        <f aca="false">$C$11</f>
        <v>400000</v>
      </c>
      <c r="F33" s="8" t="n">
        <f aca="false">F30*Assumptions!$D$216+Assumptions!$D$214*0.5</f>
        <v>301.627118644068</v>
      </c>
      <c r="G33" s="8" t="n">
        <f aca="false">Assumptions!$D$93+Assumptions!$D$240+Assumptions!$D$20*(Assumptions!$D$76+Assumptions!$D$70*Assumptions!$D$71)+Assumptions!$D$104*(Assumptions!$D$99+Assumptions!$D$100)/Assumptions!$D$101/Assumptions!$D$102+Assumptions!$D$239</f>
        <v>32000</v>
      </c>
      <c r="H33" s="8" t="n">
        <f aca="false">$C$18+H29*Assumptions!$D$76+$C$19/$C$20</f>
        <v>1948.57142857143</v>
      </c>
      <c r="I33" s="8" t="n">
        <f aca="false">250</f>
        <v>250</v>
      </c>
      <c r="J33" s="8" t="n">
        <f aca="false">Assumptions!$D$94+J29*Assumptions!$D$76+300</f>
        <v>1500</v>
      </c>
      <c r="K33" s="8" t="n">
        <f aca="false">0</f>
        <v>0</v>
      </c>
      <c r="L33" s="8" t="n">
        <f aca="false">Assumptions!$D$97+L29*Assumptions!$D$76</f>
        <v>2199.98</v>
      </c>
    </row>
    <row r="34" customFormat="false" ht="15" hidden="false" customHeight="false" outlineLevel="0" collapsed="false">
      <c r="A34" s="3" t="s">
        <v>945</v>
      </c>
      <c r="B34" s="8" t="n">
        <f aca="false">IFERROR((B32-3yr_Scenarios!G41)*100000/B31,0)</f>
        <v>103090.153744913</v>
      </c>
      <c r="C34" s="8" t="n">
        <f aca="false">C30-C33</f>
        <v>47129.9435028249</v>
      </c>
      <c r="D34" s="8" t="n">
        <f aca="false">D30-D33</f>
        <v>19347.4576271186</v>
      </c>
      <c r="E34" s="8" t="n">
        <f aca="false">E30-E33</f>
        <v>200000</v>
      </c>
      <c r="F34" s="8" t="n">
        <f aca="false">F30-F33</f>
        <v>968.71186440678</v>
      </c>
      <c r="G34" s="8" t="n">
        <f aca="false">G30-G33</f>
        <v>35796.6101694915</v>
      </c>
      <c r="H34" s="8" t="n">
        <f aca="false">H30-H33</f>
        <v>-931.622276029056</v>
      </c>
      <c r="I34" s="8" t="n">
        <f aca="false">I30-I33</f>
        <v>1233.05084745763</v>
      </c>
      <c r="J34" s="8" t="n">
        <f aca="false">J30-J33</f>
        <v>6974.57627118644</v>
      </c>
      <c r="K34" s="8" t="n">
        <f aca="false">K30</f>
        <v>960</v>
      </c>
      <c r="L34" s="8" t="n">
        <f aca="false">L30-L33</f>
        <v>6273.74881355932</v>
      </c>
    </row>
    <row r="35" customFormat="false" ht="15" hidden="false" customHeight="false" outlineLevel="0" collapsed="false">
      <c r="A35" s="28" t="s">
        <v>759</v>
      </c>
      <c r="B35" s="7" t="n">
        <f aca="false">IFERROR((3yr_Scenarios!G38-3yr_Scenarios!G41)/3yr_Scenarios!G38,0)</f>
        <v>0.828269066576182</v>
      </c>
      <c r="C35" s="7" t="n">
        <f aca="false">C34/C30</f>
        <v>0.695166666666667</v>
      </c>
      <c r="D35" s="7" t="n">
        <f aca="false">D34/D30</f>
        <v>0.3805</v>
      </c>
      <c r="E35" s="7" t="n">
        <f aca="false">E34/E30</f>
        <v>0.333333333333333</v>
      </c>
      <c r="F35" s="7" t="n">
        <f aca="false">F34/F30</f>
        <v>0.762561707805204</v>
      </c>
      <c r="G35" s="7" t="n">
        <f aca="false">G34/G30</f>
        <v>0.528</v>
      </c>
      <c r="H35" s="7" t="n">
        <f aca="false">H34/H30</f>
        <v>-0.916095238095238</v>
      </c>
      <c r="I35" s="7" t="n">
        <f aca="false">I34/I30</f>
        <v>0.831428571428571</v>
      </c>
      <c r="J35" s="7" t="n">
        <f aca="false">J34/J30</f>
        <v>0.823</v>
      </c>
      <c r="K35" s="7" t="n">
        <f aca="false">1</f>
        <v>1</v>
      </c>
      <c r="L35" s="7" t="n">
        <f aca="false">L34/L30</f>
        <v>0.740376397639764</v>
      </c>
    </row>
    <row r="36" customFormat="false" ht="15" hidden="false" customHeight="false" outlineLevel="0" collapsed="false">
      <c r="A36" s="28" t="s">
        <v>946</v>
      </c>
      <c r="B36" s="6" t="n">
        <f aca="false">3yr_Scenarios!G38-3yr_Scenarios!G41</f>
        <v>138.273516432427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4.77258149854111</v>
      </c>
      <c r="L36" s="6" t="n">
        <f aca="false">L34*L31/100000</f>
        <v>2.46894000435114</v>
      </c>
    </row>
    <row r="37" customFormat="false" ht="15" hidden="false" customHeight="false" outlineLevel="0" collapsed="false">
      <c r="A37" s="28" t="s">
        <v>947</v>
      </c>
      <c r="B37" s="6" t="n">
        <f aca="false">3yr_Scenarios!G48-3yr_Scenarios!G41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Assumptions!$D$188*12/100000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948</v>
      </c>
      <c r="B38" s="6" t="n">
        <f aca="false">3yr_Scenarios!G49</f>
        <v>44.8469004324274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4.77258149854111</v>
      </c>
      <c r="L38" s="6" t="n">
        <f aca="false">L36-L37</f>
        <v>1.86894000435114</v>
      </c>
    </row>
    <row r="39" customFormat="false" ht="15" hidden="false" customHeight="false" outlineLevel="0" collapsed="false">
      <c r="A39" s="28" t="s">
        <v>949</v>
      </c>
      <c r="B39" s="6" t="n">
        <f aca="false">3yr_Scenarios!G54</f>
        <v>25.6585561730623</v>
      </c>
      <c r="C39" s="6" t="n">
        <f aca="false">$C$6/100000</f>
        <v>16.5</v>
      </c>
      <c r="D39" s="6" t="n">
        <f aca="false">Assumptions!$D$225/100000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Assumptions!$D$190/100000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8" t="s">
        <v>950</v>
      </c>
      <c r="B40" s="27" t="n">
        <f aca="false">IFERROR(B39/B38,"n/m")</f>
        <v>0.572136667766439</v>
      </c>
      <c r="C40" s="27" t="str">
        <f aca="false">IF(C38&lt;=0,"never at this volume",C39/C38)</f>
        <v>never at this volume</v>
      </c>
      <c r="D40" s="27" t="n">
        <f aca="false">IF(D38&lt;=0,"never",D39/D38)</f>
        <v>0.912203202650469</v>
      </c>
      <c r="E40" s="27" t="n">
        <f aca="false">IF(E38&lt;=0,"never at 3 units",E39/E38)</f>
        <v>0.75</v>
      </c>
      <c r="F40" s="27" t="n">
        <f aca="false">IF(F38&lt;=0,"never",F39/F38)</f>
        <v>0.224311856845947</v>
      </c>
      <c r="G40" s="27" t="n">
        <f aca="false">IF(G38&lt;=0,"never",G39/G38)</f>
        <v>0.293407217959648</v>
      </c>
      <c r="H40" s="27" t="str">
        <f aca="false">IF(H38&lt;=0,"never",H39/H38)</f>
        <v>never</v>
      </c>
      <c r="I40" s="27" t="n">
        <f aca="false">IF(I38&lt;=0,"never",I39/I38)</f>
        <v>0.204152249134948</v>
      </c>
      <c r="J40" s="13" t="s">
        <v>951</v>
      </c>
      <c r="K40" s="13" t="s">
        <v>951</v>
      </c>
      <c r="L40" s="13" t="s">
        <v>951</v>
      </c>
    </row>
    <row r="41" customFormat="false" ht="15" hidden="false" customHeight="false" outlineLevel="0" collapsed="false">
      <c r="A41" s="28" t="s">
        <v>952</v>
      </c>
      <c r="B41" s="8" t="n">
        <f aca="false">Assumptions!$D$115*Assumptions!$D$120*(Assumptions!$D$27+Assumptions!$D$28+Assumptions!$D$31)</f>
        <v>7000</v>
      </c>
      <c r="C41" s="8" t="n">
        <f aca="false">Assumptions!$D$115*Assumptions!$D$120</f>
        <v>11666.6666666667</v>
      </c>
      <c r="D41" s="8" t="n">
        <f aca="false">Assumptions!$D$239</f>
        <v>12500</v>
      </c>
      <c r="E41" s="8" t="n">
        <f aca="false">0</f>
        <v>0</v>
      </c>
      <c r="F41" s="8" t="n">
        <f aca="false">Assumptions!$D$214</f>
        <v>400</v>
      </c>
      <c r="G41" s="8" t="n">
        <f aca="false">Assumptions!$D$239</f>
        <v>12500</v>
      </c>
      <c r="H41" s="8" t="n">
        <f aca="false">$C$19</f>
        <v>2000</v>
      </c>
      <c r="I41" s="8" t="n">
        <f aca="false">0</f>
        <v>0</v>
      </c>
      <c r="J41" s="8" t="n">
        <f aca="false">300</f>
        <v>300</v>
      </c>
      <c r="K41" s="8" t="n">
        <f aca="false">0</f>
        <v>0</v>
      </c>
      <c r="L41" s="8" t="n">
        <f aca="false">0</f>
        <v>0</v>
      </c>
    </row>
    <row r="42" customFormat="false" ht="15" hidden="false" customHeight="false" outlineLevel="0" collapsed="false">
      <c r="A42" s="28" t="s">
        <v>953</v>
      </c>
      <c r="B42" s="8" t="n">
        <f aca="false">B34</f>
        <v>103090.153744913</v>
      </c>
      <c r="C42" s="8" t="n">
        <f aca="false">C34+Assumptions!$D$115*Assumptions!$D$120</f>
        <v>58796.6101694915</v>
      </c>
      <c r="D42" s="8" t="n">
        <f aca="false">D34+Assumptions!$D$239</f>
        <v>31847.4576271186</v>
      </c>
      <c r="E42" s="13" t="s">
        <v>954</v>
      </c>
      <c r="F42" s="8" t="n">
        <f aca="false">F34*1.3+Assumptions!$D$214*0.5</f>
        <v>1459.32542372881</v>
      </c>
      <c r="G42" s="8" t="n">
        <f aca="false">G34+Assumptions!$D$239</f>
        <v>48296.6101694915</v>
      </c>
      <c r="H42" s="8" t="n">
        <f aca="false">$C$20*(H30-$C$18-H29*Assumptions!$D$76)</f>
        <v>695.728813559322</v>
      </c>
      <c r="I42" s="13" t="s">
        <v>955</v>
      </c>
      <c r="J42" s="8" t="n">
        <f aca="false">J34*(1+Assumptions!$D$65)</f>
        <v>9066.94915254237</v>
      </c>
      <c r="K42" s="13" t="s">
        <v>954</v>
      </c>
      <c r="L42" s="8" t="n">
        <f aca="false">L34*2</f>
        <v>12547.4976271186</v>
      </c>
    </row>
    <row r="43" customFormat="false" ht="15" hidden="false" customHeight="false" outlineLevel="0" collapsed="false">
      <c r="A43" s="3" t="s">
        <v>956</v>
      </c>
      <c r="B43" s="27" t="n">
        <f aca="false">IFERROR(B42/B41,0)</f>
        <v>14.7271648207018</v>
      </c>
      <c r="C43" s="27" t="n">
        <f aca="false">C42/C41</f>
        <v>5.03970944309927</v>
      </c>
      <c r="D43" s="27" t="n">
        <f aca="false">D42/D41</f>
        <v>2.54779661016949</v>
      </c>
      <c r="E43" s="13" t="s">
        <v>954</v>
      </c>
      <c r="F43" s="27" t="n">
        <f aca="false">F42/F41</f>
        <v>3.64831355932203</v>
      </c>
      <c r="G43" s="27" t="n">
        <f aca="false">G42/G41</f>
        <v>3.86372881355932</v>
      </c>
      <c r="H43" s="27" t="n">
        <f aca="false">H42/H41</f>
        <v>0.347864406779661</v>
      </c>
      <c r="I43" s="13" t="s">
        <v>954</v>
      </c>
      <c r="J43" s="27" t="n">
        <f aca="false">J42/J41</f>
        <v>30.2231638418079</v>
      </c>
      <c r="K43" s="13" t="s">
        <v>954</v>
      </c>
      <c r="L43" s="13" t="s">
        <v>954</v>
      </c>
    </row>
    <row r="44" customFormat="false" ht="15" hidden="false" customHeight="false" outlineLevel="0" collapsed="false">
      <c r="A44" s="28" t="s">
        <v>957</v>
      </c>
      <c r="B44" s="8" t="n">
        <f aca="false">IFERROR(B37*100000/B34,0)</f>
        <v>90.6261292724189</v>
      </c>
      <c r="C44" s="8" t="n">
        <f aca="false">$C$5/C34</f>
        <v>61.7441860465116</v>
      </c>
      <c r="D44" s="8" t="n">
        <f aca="false">D37*100000/D34</f>
        <v>5.16863775733684</v>
      </c>
      <c r="E44" s="8" t="n">
        <f aca="false">IFERROR(E37*100000/E34,0)</f>
        <v>2.5</v>
      </c>
      <c r="F44" s="8" t="n">
        <f aca="false">F37*100000/F34</f>
        <v>619.379221051895</v>
      </c>
      <c r="G44" s="8" t="n">
        <f aca="false">G37*100000/G34</f>
        <v>1.67613636363636</v>
      </c>
      <c r="H44" s="8" t="str">
        <f aca="false">IF(H34&lt;=0,"no break-even",H37*100000/H34)</f>
        <v>no break-even</v>
      </c>
      <c r="I44" s="8" t="n">
        <f aca="false">I37*100000/I34</f>
        <v>40.5498281786942</v>
      </c>
      <c r="J44" s="8" t="n">
        <f aca="false">0</f>
        <v>0</v>
      </c>
      <c r="K44" s="8" t="n">
        <f aca="false">0</f>
        <v>0</v>
      </c>
      <c r="L44" s="8" t="n">
        <f aca="false">L37*100000/L34</f>
        <v>9.56365990782469</v>
      </c>
    </row>
    <row r="45" customFormat="false" ht="15" hidden="false" customHeight="false" outlineLevel="0" collapsed="false">
      <c r="A45" s="28" t="s">
        <v>958</v>
      </c>
      <c r="B45" s="13" t="s">
        <v>959</v>
      </c>
      <c r="C45" s="13" t="s">
        <v>960</v>
      </c>
      <c r="D45" s="13" t="s">
        <v>961</v>
      </c>
      <c r="E45" s="13" t="s">
        <v>962</v>
      </c>
      <c r="F45" s="13" t="s">
        <v>963</v>
      </c>
      <c r="G45" s="13" t="s">
        <v>961</v>
      </c>
      <c r="H45" s="13" t="s">
        <v>964</v>
      </c>
      <c r="I45" s="13" t="s">
        <v>964</v>
      </c>
      <c r="J45" s="13" t="s">
        <v>965</v>
      </c>
      <c r="K45" s="13" t="s">
        <v>964</v>
      </c>
      <c r="L45" s="13" t="s">
        <v>961</v>
      </c>
    </row>
    <row r="46" customFormat="false" ht="15" hidden="false" customHeight="false" outlineLevel="0" collapsed="false">
      <c r="A46" s="28" t="s">
        <v>966</v>
      </c>
      <c r="B46" s="13" t="s">
        <v>967</v>
      </c>
      <c r="C46" s="13" t="s">
        <v>968</v>
      </c>
      <c r="D46" s="13" t="s">
        <v>964</v>
      </c>
      <c r="E46" s="13" t="s">
        <v>969</v>
      </c>
      <c r="F46" s="13" t="s">
        <v>964</v>
      </c>
      <c r="G46" s="13" t="s">
        <v>970</v>
      </c>
      <c r="H46" s="13" t="s">
        <v>971</v>
      </c>
      <c r="I46" s="13" t="s">
        <v>972</v>
      </c>
      <c r="J46" s="13" t="s">
        <v>972</v>
      </c>
      <c r="K46" s="13" t="s">
        <v>972</v>
      </c>
      <c r="L46" s="13" t="s">
        <v>972</v>
      </c>
    </row>
    <row r="47" customFormat="false" ht="15" hidden="false" customHeight="false" outlineLevel="0" collapsed="false">
      <c r="A47" s="28" t="s">
        <v>973</v>
      </c>
      <c r="B47" s="13" t="s">
        <v>974</v>
      </c>
      <c r="C47" s="13" t="s">
        <v>975</v>
      </c>
      <c r="D47" s="13" t="s">
        <v>976</v>
      </c>
      <c r="E47" s="13" t="s">
        <v>977</v>
      </c>
      <c r="F47" s="13" t="s">
        <v>978</v>
      </c>
      <c r="G47" s="13" t="s">
        <v>979</v>
      </c>
      <c r="H47" s="13" t="s">
        <v>980</v>
      </c>
      <c r="I47" s="13" t="s">
        <v>981</v>
      </c>
      <c r="J47" s="13" t="s">
        <v>982</v>
      </c>
      <c r="K47" s="13" t="s">
        <v>983</v>
      </c>
      <c r="L47" s="13" t="s">
        <v>984</v>
      </c>
    </row>
    <row r="49" customFormat="false" ht="15" hidden="false" customHeight="false" outlineLevel="0" collapsed="false">
      <c r="A49" s="2" t="s">
        <v>985</v>
      </c>
    </row>
    <row r="50" customFormat="false" ht="15" hidden="false" customHeight="false" outlineLevel="0" collapsed="false">
      <c r="A50" s="2" t="s">
        <v>986</v>
      </c>
    </row>
    <row r="52" customFormat="false" ht="15" hidden="false" customHeight="false" outlineLevel="0" collapsed="false">
      <c r="A52" s="10" t="s">
        <v>987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customFormat="false" ht="28.35" hidden="false" customHeight="false" outlineLevel="0" collapsed="false">
      <c r="A53" s="5" t="s">
        <v>53</v>
      </c>
      <c r="B53" s="5" t="s">
        <v>988</v>
      </c>
      <c r="C53" s="5" t="s">
        <v>989</v>
      </c>
      <c r="D53" s="5" t="s">
        <v>990</v>
      </c>
      <c r="E53" s="5" t="s">
        <v>991</v>
      </c>
      <c r="F53" s="5" t="s">
        <v>26</v>
      </c>
    </row>
    <row r="54" customFormat="false" ht="15" hidden="false" customHeight="false" outlineLevel="0" collapsed="false">
      <c r="A54" s="0" t="s">
        <v>992</v>
      </c>
      <c r="B54" s="8" t="n">
        <f aca="false">$C$24</f>
        <v>10</v>
      </c>
      <c r="C54" s="8" t="n">
        <f aca="false">D31</f>
        <v>25</v>
      </c>
      <c r="D54" s="8" t="n">
        <f aca="false">C31</f>
        <v>46</v>
      </c>
      <c r="E54" s="8" t="n">
        <f aca="false">C31</f>
        <v>46</v>
      </c>
      <c r="F54" s="2" t="s">
        <v>993</v>
      </c>
    </row>
    <row r="55" customFormat="false" ht="15" hidden="false" customHeight="false" outlineLevel="0" collapsed="false">
      <c r="A55" s="0" t="s">
        <v>994</v>
      </c>
      <c r="B55" s="8" t="n">
        <f aca="false">G34</f>
        <v>35796.6101694915</v>
      </c>
      <c r="C55" s="8" t="n">
        <f aca="false">D34</f>
        <v>19347.4576271186</v>
      </c>
      <c r="D55" s="8" t="n">
        <f aca="false">C34</f>
        <v>47129.9435028249</v>
      </c>
      <c r="E55" s="8" t="n">
        <f aca="false">E30/C31</f>
        <v>13043.4782608696</v>
      </c>
      <c r="F55" s="2" t="s">
        <v>995</v>
      </c>
    </row>
    <row r="56" customFormat="false" ht="15" hidden="false" customHeight="false" outlineLevel="0" collapsed="false">
      <c r="A56" s="0" t="s">
        <v>996</v>
      </c>
      <c r="B56" s="8" t="n">
        <f aca="false">0</f>
        <v>0</v>
      </c>
      <c r="C56" s="8" t="n">
        <f aca="false">100000</f>
        <v>100000</v>
      </c>
      <c r="D56" s="8" t="n">
        <f aca="false">$C$5</f>
        <v>2910000</v>
      </c>
      <c r="E56" s="8" t="n">
        <f aca="false">$C$11</f>
        <v>400000</v>
      </c>
      <c r="F56" s="2"/>
    </row>
    <row r="57" customFormat="false" ht="15" hidden="false" customHeight="false" outlineLevel="0" collapsed="false">
      <c r="A57" s="0" t="s">
        <v>997</v>
      </c>
      <c r="B57" s="8" t="n">
        <f aca="false">B54*B55-B56</f>
        <v>357966.101694915</v>
      </c>
      <c r="C57" s="8" t="n">
        <f aca="false">C54*C55-C56</f>
        <v>383686.440677966</v>
      </c>
      <c r="D57" s="8" t="n">
        <f aca="false">D54*D55-D56</f>
        <v>-742022.598870056</v>
      </c>
      <c r="E57" s="8" t="n">
        <f aca="false">E54*E55-E56</f>
        <v>200000</v>
      </c>
      <c r="F57" s="2"/>
    </row>
    <row r="58" customFormat="false" ht="15" hidden="false" customHeight="false" outlineLevel="0" collapsed="false">
      <c r="A58" s="0" t="s">
        <v>998</v>
      </c>
      <c r="B58" s="8" t="n">
        <f aca="false">0.5*Assumptions!$D$190</f>
        <v>175000</v>
      </c>
      <c r="C58" s="8" t="n">
        <f aca="false">Assumptions!$D$225</f>
        <v>350000</v>
      </c>
      <c r="D58" s="8" t="n">
        <f aca="false">$C$6</f>
        <v>1650000</v>
      </c>
      <c r="E58" s="8" t="n">
        <f aca="false">$C$13-$C$12</f>
        <v>300000</v>
      </c>
      <c r="F58" s="2" t="s">
        <v>999</v>
      </c>
    </row>
    <row r="59" customFormat="false" ht="15" hidden="false" customHeight="false" outlineLevel="0" collapsed="false">
      <c r="A59" s="0" t="s">
        <v>1000</v>
      </c>
      <c r="B59" s="8" t="n">
        <f aca="false">-B58+B57*(1-(1+$C$23)^-5)/$C$23</f>
        <v>1024957.89271188</v>
      </c>
      <c r="C59" s="8" t="n">
        <f aca="false">-C58+C57*(1-(1+$C$23)^-5)/$C$23</f>
        <v>936176.458156493</v>
      </c>
      <c r="D59" s="8" t="n">
        <f aca="false">-D58+D57*(1-(1+$C$23)^-5)/$C$23</f>
        <v>-4137374.83764193</v>
      </c>
      <c r="E59" s="8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950</v>
      </c>
      <c r="B60" s="27" t="n">
        <f aca="false">IFERROR(IF(B57&lt;=0,"never",B58/B57),0)</f>
        <v>0.488873106060606</v>
      </c>
      <c r="C60" s="27" t="n">
        <f aca="false">IFERROR(IF(C57&lt;=0,"never",C58/C57),0)</f>
        <v>0.912203202650469</v>
      </c>
      <c r="D60" s="27" t="str">
        <f aca="false">IFERROR(IF(D57&lt;=0,"never",D58/D57),0)</f>
        <v>never</v>
      </c>
      <c r="E60" s="27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1001</v>
      </c>
      <c r="B61" s="8" t="n">
        <f aca="false">0</f>
        <v>0</v>
      </c>
      <c r="C61" s="8" t="n">
        <f aca="false">C56/C55</f>
        <v>5.16863775733684</v>
      </c>
      <c r="D61" s="8" t="n">
        <f aca="false">D56/D55</f>
        <v>61.7441860465116</v>
      </c>
      <c r="E61" s="8" t="n">
        <f aca="false">E56/E55</f>
        <v>30.6666666666667</v>
      </c>
      <c r="F61" s="2" t="s">
        <v>1002</v>
      </c>
    </row>
    <row r="62" customFormat="false" ht="15" hidden="false" customHeight="false" outlineLevel="0" collapsed="false">
      <c r="A62" s="0" t="s">
        <v>1003</v>
      </c>
      <c r="D62" s="27" t="n">
        <f aca="false">(D56+B54*B55)/D55</f>
        <v>69.3394869335891</v>
      </c>
      <c r="F62" s="2" t="s">
        <v>1004</v>
      </c>
    </row>
    <row r="63" customFormat="false" ht="15" hidden="false" customHeight="false" outlineLevel="0" collapsed="false">
      <c r="A63" s="0" t="s">
        <v>1005</v>
      </c>
      <c r="C63" s="27" t="n">
        <f aca="false">(C56+B54*B55)/C55/B54</f>
        <v>2.3670608848007</v>
      </c>
      <c r="F63" s="2" t="s">
        <v>1006</v>
      </c>
    </row>
    <row r="64" customFormat="false" ht="15" hidden="false" customHeight="false" outlineLevel="0" collapsed="false">
      <c r="A64" s="0" t="s">
        <v>1007</v>
      </c>
      <c r="B64" s="8" t="n">
        <f aca="false">Assumptions!$D$20+22500</f>
        <v>102500</v>
      </c>
      <c r="C64" s="8" t="n">
        <f aca="false">Assumptions!$D$20+2500</f>
        <v>82500</v>
      </c>
      <c r="D64" s="8" t="n">
        <f aca="false">Assumptions!$D$20+2500</f>
        <v>82500</v>
      </c>
      <c r="E64" s="8" t="n">
        <f aca="false">Assumptions!$D$20+2500</f>
        <v>82500</v>
      </c>
      <c r="F64" s="2" t="s">
        <v>1008</v>
      </c>
    </row>
    <row r="66" customFormat="false" ht="15" hidden="false" customHeight="false" outlineLevel="0" collapsed="false">
      <c r="A66" s="3" t="s">
        <v>1009</v>
      </c>
    </row>
    <row r="67" customFormat="false" ht="15" hidden="false" customHeight="false" outlineLevel="0" collapsed="false">
      <c r="B67" s="33" t="n">
        <v>1</v>
      </c>
      <c r="C67" s="33" t="n">
        <v>1.5</v>
      </c>
      <c r="D67" s="33" t="n">
        <v>2</v>
      </c>
      <c r="E67" s="33" t="n">
        <v>3</v>
      </c>
      <c r="F67" s="33" t="n">
        <v>4.6</v>
      </c>
    </row>
    <row r="68" customFormat="false" ht="15" hidden="false" customHeight="false" outlineLevel="0" collapsed="false">
      <c r="A68" s="0" t="s">
        <v>1010</v>
      </c>
      <c r="B68" s="8" t="n">
        <f aca="false">B67*$B$54*$C$55-$C$56</f>
        <v>93474.5762711865</v>
      </c>
      <c r="C68" s="8" t="n">
        <f aca="false">C67*$B$54*$C$55-$C$56</f>
        <v>190211.86440678</v>
      </c>
      <c r="D68" s="8" t="n">
        <f aca="false">D67*$B$54*$C$55-$C$56</f>
        <v>286949.152542373</v>
      </c>
      <c r="E68" s="8" t="n">
        <f aca="false">E67*$B$54*$C$55-$C$56</f>
        <v>480423.728813559</v>
      </c>
      <c r="F68" s="8" t="n">
        <f aca="false">F67*$B$54*$C$55-$C$56</f>
        <v>789983.050847458</v>
      </c>
    </row>
    <row r="69" customFormat="false" ht="15" hidden="false" customHeight="false" outlineLevel="0" collapsed="false">
      <c r="A69" s="0" t="s">
        <v>1011</v>
      </c>
      <c r="B69" s="8" t="n">
        <f aca="false">B67*$B$54*$D$55-$D$56</f>
        <v>-2438700.56497175</v>
      </c>
      <c r="C69" s="8" t="n">
        <f aca="false">C67*$B$54*$D$55-$D$56</f>
        <v>-2203050.84745763</v>
      </c>
      <c r="D69" s="8" t="n">
        <f aca="false">D67*$B$54*$D$55-$D$56</f>
        <v>-1967401.1299435</v>
      </c>
      <c r="E69" s="8" t="n">
        <f aca="false">E67*$B$54*$D$55-$D$56</f>
        <v>-1496101.69491525</v>
      </c>
      <c r="F69" s="8" t="n">
        <f aca="false">F67*$B$54*$D$55-$D$56</f>
        <v>-742022.598870056</v>
      </c>
    </row>
    <row r="70" customFormat="false" ht="15" hidden="false" customHeight="false" outlineLevel="0" collapsed="false">
      <c r="A70" s="0" t="s">
        <v>1012</v>
      </c>
      <c r="B70" s="8" t="n">
        <f aca="false">$B$57</f>
        <v>357966.101694915</v>
      </c>
      <c r="C70" s="8" t="n">
        <f aca="false">$B$57</f>
        <v>357966.101694915</v>
      </c>
      <c r="D70" s="8" t="n">
        <f aca="false">$B$57</f>
        <v>357966.101694915</v>
      </c>
      <c r="E70" s="8" t="n">
        <f aca="false">$B$57</f>
        <v>357966.101694915</v>
      </c>
      <c r="F70" s="8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1013</v>
      </c>
    </row>
    <row r="4" customFormat="false" ht="28.35" hidden="false" customHeight="false" outlineLevel="0" collapsed="false">
      <c r="A4" s="5" t="s">
        <v>53</v>
      </c>
      <c r="B4" s="5" t="s">
        <v>1014</v>
      </c>
      <c r="C4" s="5" t="s">
        <v>1015</v>
      </c>
      <c r="D4" s="5" t="s">
        <v>746</v>
      </c>
    </row>
    <row r="5" customFormat="false" ht="15" hidden="false" customHeight="false" outlineLevel="0" collapsed="false">
      <c r="A5" s="0" t="s">
        <v>799</v>
      </c>
      <c r="B5" s="6" t="n">
        <f aca="false">Assumptions!$I$171</f>
        <v>8</v>
      </c>
      <c r="C5" s="6" t="n">
        <f aca="false">MAX(Assumptions!$I$176,Assumptions!$I$171)</f>
        <v>12</v>
      </c>
      <c r="D5" s="2" t="s">
        <v>1016</v>
      </c>
    </row>
    <row r="6" customFormat="false" ht="15" hidden="false" customHeight="false" outlineLevel="0" collapsed="false">
      <c r="A6" s="0" t="s">
        <v>800</v>
      </c>
      <c r="B6" s="6" t="n">
        <f aca="false">Assumptions!$I$172</f>
        <v>2</v>
      </c>
      <c r="C6" s="6" t="n">
        <f aca="false">Assumptions!$I$177</f>
        <v>2.5</v>
      </c>
      <c r="D6" s="2" t="s">
        <v>1017</v>
      </c>
    </row>
    <row r="7" customFormat="false" ht="15" hidden="false" customHeight="false" outlineLevel="0" collapsed="false">
      <c r="A7" s="0" t="s">
        <v>1018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1019</v>
      </c>
      <c r="B8" s="6" t="n">
        <f aca="false">B7*Assumptions!$I$178</f>
        <v>14.4</v>
      </c>
      <c r="C8" s="6" t="n">
        <f aca="false">C7*Assumptions!$I$178</f>
        <v>27</v>
      </c>
      <c r="D8" s="2"/>
    </row>
    <row r="9" customFormat="false" ht="15" hidden="false" customHeight="false" outlineLevel="0" collapsed="false">
      <c r="A9" s="0" t="s">
        <v>1020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1021</v>
      </c>
    </row>
    <row r="10" customFormat="false" ht="15" hidden="false" customHeight="false" outlineLevel="0" collapsed="false">
      <c r="A10" s="0" t="s">
        <v>1022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1023</v>
      </c>
      <c r="B11" s="7" t="n">
        <f aca="false">B10/(B8*12)</f>
        <v>1.52777777777778</v>
      </c>
      <c r="C11" s="7" t="n">
        <f aca="false">C10/(C8*12)</f>
        <v>0.814814814814815</v>
      </c>
      <c r="D11" s="2" t="s">
        <v>1024</v>
      </c>
    </row>
    <row r="12" customFormat="false" ht="15" hidden="false" customHeight="false" outlineLevel="0" collapsed="false">
      <c r="A12" s="0" t="s">
        <v>1025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1026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1027</v>
      </c>
    </row>
    <row r="14" customFormat="false" ht="15" hidden="false" customHeight="false" outlineLevel="0" collapsed="false">
      <c r="A14" s="0" t="s">
        <v>1028</v>
      </c>
      <c r="B14" s="6" t="n">
        <f aca="false">B12*4*22*Assumptions!$I$158</f>
        <v>58.08</v>
      </c>
      <c r="C14" s="6" t="n">
        <f aca="false">B14</f>
        <v>58.08</v>
      </c>
      <c r="D14" s="2" t="s">
        <v>1029</v>
      </c>
    </row>
    <row r="15" customFormat="false" ht="15" hidden="false" customHeight="false" outlineLevel="0" collapsed="false">
      <c r="A15" s="0" t="s">
        <v>1030</v>
      </c>
      <c r="B15" s="8" t="n">
        <f aca="false">Assumptions!$I$179</f>
        <v>35000</v>
      </c>
      <c r="C15" s="8" t="n">
        <f aca="false">Assumptions!$I$174*Assumptions!$I$175</f>
        <v>104000</v>
      </c>
      <c r="D15" s="2" t="s">
        <v>1031</v>
      </c>
    </row>
    <row r="16" customFormat="false" ht="15" hidden="false" customHeight="false" outlineLevel="0" collapsed="false">
      <c r="A16" s="0" t="s">
        <v>1032</v>
      </c>
      <c r="B16" s="8" t="n">
        <f aca="false">B15/B8</f>
        <v>2430.55555555556</v>
      </c>
      <c r="C16" s="8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1033</v>
      </c>
      <c r="B17" s="6" t="n">
        <f aca="false">Outlook_Base!B123</f>
        <v>6</v>
      </c>
      <c r="C17" s="6"/>
      <c r="D17" s="2" t="s">
        <v>1034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1035</v>
      </c>
    </row>
    <row r="2" customFormat="false" ht="15" hidden="false" customHeight="false" outlineLevel="0" collapsed="false">
      <c r="A2" s="2" t="s">
        <v>1036</v>
      </c>
    </row>
    <row r="4" customFormat="false" ht="41.75" hidden="false" customHeight="false" outlineLevel="0" collapsed="false">
      <c r="A4" s="5" t="s">
        <v>1037</v>
      </c>
      <c r="B4" s="5" t="s">
        <v>1038</v>
      </c>
      <c r="C4" s="5" t="s">
        <v>1039</v>
      </c>
      <c r="D4" s="5" t="s">
        <v>1040</v>
      </c>
      <c r="E4" s="5" t="s">
        <v>1041</v>
      </c>
      <c r="F4" s="5" t="s">
        <v>1042</v>
      </c>
      <c r="G4" s="5" t="s">
        <v>1043</v>
      </c>
      <c r="H4" s="5" t="s">
        <v>1044</v>
      </c>
      <c r="I4" s="5" t="s">
        <v>1045</v>
      </c>
      <c r="J4" s="5" t="s">
        <v>1046</v>
      </c>
      <c r="K4" s="5" t="s">
        <v>1047</v>
      </c>
      <c r="L4" s="5" t="s">
        <v>1048</v>
      </c>
    </row>
    <row r="5" customFormat="false" ht="15" hidden="false" customHeight="false" outlineLevel="0" collapsed="false">
      <c r="A5" s="3" t="s">
        <v>1049</v>
      </c>
      <c r="D5" s="8" t="n">
        <f aca="false">Outlook_Base!B112</f>
        <v>598199.826597075</v>
      </c>
      <c r="E5" s="8" t="n">
        <f aca="false">Outlook_Base!B112</f>
        <v>598199.826597075</v>
      </c>
      <c r="H5" s="8" t="n">
        <f aca="false">Outlook_Base!B116</f>
        <v>2565855.61730623</v>
      </c>
      <c r="J5" s="6" t="n">
        <f aca="false">Outlook_Base!B119</f>
        <v>90.918784379973</v>
      </c>
    </row>
    <row r="6" customFormat="false" ht="15" hidden="false" customHeight="false" outlineLevel="0" collapsed="false">
      <c r="A6" s="0" t="s">
        <v>1050</v>
      </c>
      <c r="B6" s="0" t="s">
        <v>1051</v>
      </c>
      <c r="C6" s="0" t="s">
        <v>1052</v>
      </c>
      <c r="D6" s="8" t="n">
        <f aca="false">Flex_conv_lo!B112</f>
        <v>-233929.451137593</v>
      </c>
      <c r="E6" s="8" t="n">
        <f aca="false">Flex_conv_hi!B112</f>
        <v>1147226.34437359</v>
      </c>
      <c r="F6" s="8" t="n">
        <f aca="false">ABS(E6-D6)</f>
        <v>1381155.79551118</v>
      </c>
      <c r="G6" s="13" t="n">
        <f aca="false">RANK(F6,$F$6:$F$13)</f>
        <v>2</v>
      </c>
      <c r="H6" s="8" t="n">
        <f aca="false">Flex_conv_lo!B116</f>
        <v>2906393.53818359</v>
      </c>
      <c r="I6" s="8" t="n">
        <f aca="false">Flex_conv_hi!B116</f>
        <v>2386798.65865635</v>
      </c>
      <c r="J6" s="6" t="n">
        <f aca="false">Flex_conv_lo!B119</f>
        <v>80.4285124223603</v>
      </c>
      <c r="K6" s="6" t="n">
        <f aca="false">Flex_conv_hi!B119</f>
        <v>95.1951130781452</v>
      </c>
      <c r="L6" s="0" t="str">
        <f aca="false">REPT("█",ROUND(F6/MAX($F$6:$F$13)*30,0))</f>
        <v>██████████████████</v>
      </c>
    </row>
    <row r="7" customFormat="false" ht="15" hidden="false" customHeight="false" outlineLevel="0" collapsed="false">
      <c r="A7" s="0" t="s">
        <v>1053</v>
      </c>
      <c r="B7" s="0" t="s">
        <v>1051</v>
      </c>
      <c r="C7" s="0" t="s">
        <v>1054</v>
      </c>
      <c r="D7" s="8" t="n">
        <f aca="false">Flex_fee_lo!B112</f>
        <v>-734526.133727441</v>
      </c>
      <c r="E7" s="8" t="n">
        <f aca="false">Flex_fee_hi!B112</f>
        <v>1597744.29684046</v>
      </c>
      <c r="F7" s="8" t="n">
        <f aca="false">ABS(E7-D7)</f>
        <v>2332270.4305679</v>
      </c>
      <c r="G7" s="13" t="n">
        <f aca="false">RANK(F7,$F$6:$F$13)</f>
        <v>1</v>
      </c>
      <c r="H7" s="8" t="n">
        <f aca="false">Flex_fee_lo!B116</f>
        <v>3148241.15489316</v>
      </c>
      <c r="I7" s="8" t="n">
        <f aca="false">Flex_fee_hi!B116</f>
        <v>2323487.97686857</v>
      </c>
      <c r="J7" s="6" t="n">
        <f aca="false">Flex_fee_lo!B119</f>
        <v>90.918784379973</v>
      </c>
      <c r="K7" s="6" t="n">
        <f aca="false">Flex_fee_hi!B119</f>
        <v>90.918784379973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1055</v>
      </c>
      <c r="B8" s="0" t="s">
        <v>1051</v>
      </c>
      <c r="C8" s="0" t="s">
        <v>1052</v>
      </c>
      <c r="D8" s="8" t="n">
        <f aca="false">Flex_fill_lo!B112</f>
        <v>408199.826597075</v>
      </c>
      <c r="E8" s="8" t="n">
        <f aca="false">Flex_fill_hi!B112</f>
        <v>616199.826597075</v>
      </c>
      <c r="F8" s="8" t="n">
        <f aca="false">ABS(E8-D8)</f>
        <v>208000</v>
      </c>
      <c r="G8" s="13" t="n">
        <f aca="false">RANK(F8,$F$6:$F$13)</f>
        <v>7</v>
      </c>
      <c r="H8" s="8" t="n">
        <f aca="false">Flex_fill_lo!B116</f>
        <v>2565855.61730623</v>
      </c>
      <c r="I8" s="8" t="n">
        <f aca="false">Flex_fill_hi!B116</f>
        <v>2565855.61730623</v>
      </c>
      <c r="J8" s="6" t="n">
        <f aca="false">Flex_fill_lo!B119</f>
        <v>90.918784379973</v>
      </c>
      <c r="K8" s="6" t="n">
        <f aca="false">Flex_fill_hi!B119</f>
        <v>90.918784379973</v>
      </c>
      <c r="L8" s="0" t="str">
        <f aca="false">REPT("█",ROUND(F8/MAX($F$6:$F$13)*30,0))</f>
        <v>███</v>
      </c>
    </row>
    <row r="9" customFormat="false" ht="15" hidden="false" customHeight="false" outlineLevel="0" collapsed="false">
      <c r="A9" s="0" t="s">
        <v>1056</v>
      </c>
      <c r="B9" s="0" t="s">
        <v>1057</v>
      </c>
      <c r="C9" s="0" t="s">
        <v>1058</v>
      </c>
      <c r="D9" s="8" t="n">
        <f aca="false">Flex_cpl_lo!B112</f>
        <v>342336.888588744</v>
      </c>
      <c r="E9" s="8" t="n">
        <f aca="false">Flex_cpl_hi!B112</f>
        <v>598199.826597075</v>
      </c>
      <c r="F9" s="8" t="n">
        <f aca="false">ABS(E9-D9)</f>
        <v>255862.93800833</v>
      </c>
      <c r="G9" s="13" t="n">
        <f aca="false">RANK(F9,$F$6:$F$13)</f>
        <v>6</v>
      </c>
      <c r="H9" s="8" t="n">
        <f aca="false">Flex_cpl_lo!B116</f>
        <v>2634110.11776407</v>
      </c>
      <c r="I9" s="8" t="n">
        <f aca="false">Flex_cpl_hi!B116</f>
        <v>2565855.61730623</v>
      </c>
      <c r="J9" s="6" t="n">
        <f aca="false">Flex_cpl_lo!B119</f>
        <v>85.4886367856568</v>
      </c>
      <c r="K9" s="6" t="n">
        <f aca="false">Flex_cpl_hi!B119</f>
        <v>90.918784379973</v>
      </c>
      <c r="L9" s="0" t="str">
        <f aca="false">REPT("█",ROUND(F9/MAX($F$6:$F$13)*30,0))</f>
        <v>███</v>
      </c>
    </row>
    <row r="10" customFormat="false" ht="15" hidden="false" customHeight="false" outlineLevel="0" collapsed="false">
      <c r="A10" s="0" t="s">
        <v>1059</v>
      </c>
      <c r="B10" s="0" t="s">
        <v>1060</v>
      </c>
      <c r="C10" s="0" t="s">
        <v>1061</v>
      </c>
      <c r="D10" s="8" t="n">
        <f aca="false">Flex_var_lo!B112</f>
        <v>376763.940939243</v>
      </c>
      <c r="E10" s="8" t="n">
        <f aca="false">Flex_var_hi!B112</f>
        <v>819635.712254906</v>
      </c>
      <c r="F10" s="8" t="n">
        <f aca="false">ABS(E10-D10)</f>
        <v>442871.771315663</v>
      </c>
      <c r="G10" s="13" t="n">
        <f aca="false">RANK(F10,$F$6:$F$13)</f>
        <v>5</v>
      </c>
      <c r="H10" s="8" t="n">
        <f aca="false">Flex_var_lo!B116</f>
        <v>2662234.34294498</v>
      </c>
      <c r="I10" s="8" t="n">
        <f aca="false">Flex_var_hi!B116</f>
        <v>2469476.89166747</v>
      </c>
      <c r="J10" s="6" t="n">
        <f aca="false">Flex_var_lo!B119</f>
        <v>90.918784379973</v>
      </c>
      <c r="K10" s="6" t="n">
        <f aca="false">Flex_var_hi!B119</f>
        <v>90.918784379973</v>
      </c>
      <c r="L10" s="0" t="str">
        <f aca="false">REPT("█",ROUND(F10/MAX($F$6:$F$13)*30,0))</f>
        <v>██████</v>
      </c>
    </row>
    <row r="11" customFormat="false" ht="15" hidden="false" customHeight="false" outlineLevel="0" collapsed="false">
      <c r="A11" s="0" t="s">
        <v>1062</v>
      </c>
      <c r="B11" s="0" t="s">
        <v>1063</v>
      </c>
      <c r="C11" s="0" t="s">
        <v>1064</v>
      </c>
      <c r="D11" s="8" t="n">
        <f aca="false">Flex_rent_lo!B112</f>
        <v>76949.8265970747</v>
      </c>
      <c r="E11" s="8" t="n">
        <f aca="false">Flex_rent_hi!B112</f>
        <v>942224.826597075</v>
      </c>
      <c r="F11" s="8" t="n">
        <f aca="false">ABS(E11-D11)</f>
        <v>865275</v>
      </c>
      <c r="G11" s="13" t="n">
        <f aca="false">RANK(F11,$F$6:$F$13)</f>
        <v>4</v>
      </c>
      <c r="H11" s="8" t="n">
        <f aca="false">Flex_rent_lo!B116</f>
        <v>2967388.09102902</v>
      </c>
      <c r="I11" s="8" t="n">
        <f aca="false">Flex_rent_hi!B116</f>
        <v>2350530.61730623</v>
      </c>
      <c r="J11" s="6" t="n">
        <f aca="false">Flex_rent_lo!B119</f>
        <v>90.918784379973</v>
      </c>
      <c r="K11" s="6" t="n">
        <f aca="false">Flex_rent_hi!B119</f>
        <v>90.918784379973</v>
      </c>
      <c r="L11" s="0" t="str">
        <f aca="false">REPT("█",ROUND(F11/MAX($F$6:$F$13)*30,0))</f>
        <v>███████████</v>
      </c>
    </row>
    <row r="12" customFormat="false" ht="15" hidden="false" customHeight="false" outlineLevel="0" collapsed="false">
      <c r="A12" s="0" t="s">
        <v>1065</v>
      </c>
      <c r="B12" s="0" t="s">
        <v>1058</v>
      </c>
      <c r="C12" s="0" t="s">
        <v>1057</v>
      </c>
      <c r="D12" s="8" t="n">
        <f aca="false">Flex_budget_lo!B112</f>
        <v>513429.153089042</v>
      </c>
      <c r="E12" s="8" t="n">
        <f aca="false">Flex_budget_hi!B112</f>
        <v>317699.826597075</v>
      </c>
      <c r="F12" s="8" t="n">
        <f aca="false">ABS(E12-D12)</f>
        <v>195729.326491967</v>
      </c>
      <c r="G12" s="13" t="n">
        <f aca="false">RANK(F12,$F$6:$F$13)</f>
        <v>8</v>
      </c>
      <c r="H12" s="8" t="n">
        <f aca="false">Flex_budget_lo!B116</f>
        <v>2517573.09640817</v>
      </c>
      <c r="I12" s="8" t="n">
        <f aca="false">Flex_budget_hi!B116</f>
        <v>2671638.09102902</v>
      </c>
      <c r="J12" s="6" t="n">
        <f aca="false">Flex_budget_lo!B119</f>
        <v>83.1799590490976</v>
      </c>
      <c r="K12" s="6" t="n">
        <f aca="false">Flex_budget_hi!B119</f>
        <v>90.918784379973</v>
      </c>
      <c r="L12" s="0" t="str">
        <f aca="false">REPT("█",ROUND(F12/MAX($F$6:$F$13)*30,0))</f>
        <v>███</v>
      </c>
    </row>
    <row r="13" customFormat="false" ht="15" hidden="false" customHeight="false" outlineLevel="0" collapsed="false">
      <c r="A13" s="0" t="s">
        <v>1066</v>
      </c>
      <c r="B13" s="0" t="s">
        <v>1067</v>
      </c>
      <c r="C13" s="0" t="s">
        <v>1068</v>
      </c>
      <c r="D13" s="8" t="n">
        <f aca="false">Outlook_Base!B112</f>
        <v>598199.826597075</v>
      </c>
      <c r="E13" s="8" t="n">
        <f aca="false">Flex_gst_ontop!B112</f>
        <v>1884505.96424239</v>
      </c>
      <c r="F13" s="8" t="n">
        <f aca="false">ABS(E13-D13)</f>
        <v>1286306.13764532</v>
      </c>
      <c r="G13" s="13" t="n">
        <f aca="false">RANK(F13,$F$6:$F$13)</f>
        <v>3</v>
      </c>
      <c r="H13" s="8" t="n">
        <f aca="false">Outlook_Base!B116</f>
        <v>2565855.61730623</v>
      </c>
      <c r="I13" s="8" t="n">
        <f aca="false">Flex_gst_ontop!B116</f>
        <v>2256974.13767592</v>
      </c>
      <c r="J13" s="6" t="n">
        <f aca="false">Outlook_Base!B119</f>
        <v>90.918784379973</v>
      </c>
      <c r="K13" s="6" t="n">
        <f aca="false">Flex_gst_ontop!B119</f>
        <v>90.918784379973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1069</v>
      </c>
    </row>
    <row r="16" customFormat="false" ht="15" hidden="false" customHeight="false" outlineLevel="0" collapsed="false">
      <c r="A16" s="2" t="s">
        <v>1070</v>
      </c>
    </row>
    <row r="19" customFormat="false" ht="15" hidden="false" customHeight="false" outlineLevel="0" collapsed="false">
      <c r="A19" s="10" t="s">
        <v>1071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8.35" hidden="false" customHeight="false" outlineLevel="0" collapsed="false">
      <c r="A20" s="5" t="s">
        <v>1037</v>
      </c>
      <c r="B20" s="5" t="s">
        <v>1072</v>
      </c>
      <c r="C20" s="5" t="s">
        <v>1073</v>
      </c>
      <c r="D20" s="5" t="s">
        <v>1074</v>
      </c>
      <c r="E20" s="5" t="s">
        <v>1075</v>
      </c>
      <c r="F20" s="5" t="s">
        <v>1076</v>
      </c>
    </row>
    <row r="21" customFormat="false" ht="15" hidden="false" customHeight="false" outlineLevel="0" collapsed="false">
      <c r="A21" s="0" t="s">
        <v>1077</v>
      </c>
      <c r="B21" s="0" t="s">
        <v>1051</v>
      </c>
      <c r="C21" s="0" t="s">
        <v>1054</v>
      </c>
      <c r="D21" s="8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21" s="8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21" s="8" t="n">
        <f aca="false">ABS(E21-D21)</f>
        <v>22678.813559322</v>
      </c>
    </row>
    <row r="22" customFormat="false" ht="15" hidden="false" customHeight="false" outlineLevel="0" collapsed="false">
      <c r="A22" s="0" t="s">
        <v>1078</v>
      </c>
      <c r="B22" s="0" t="s">
        <v>1051</v>
      </c>
      <c r="C22" s="0" t="s">
        <v>1052</v>
      </c>
      <c r="D22" s="8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22" s="8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22" s="8" t="n">
        <f aca="false">ABS(E22-D22)</f>
        <v>3500</v>
      </c>
    </row>
    <row r="23" customFormat="false" ht="15" hidden="false" customHeight="false" outlineLevel="0" collapsed="false">
      <c r="A23" s="0" t="s">
        <v>1079</v>
      </c>
      <c r="B23" s="0" t="s">
        <v>1057</v>
      </c>
      <c r="C23" s="0" t="s">
        <v>1058</v>
      </c>
      <c r="D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23" s="8" t="n">
        <f aca="false">ABS(E23-D23)</f>
        <v>7000</v>
      </c>
    </row>
    <row r="24" customFormat="false" ht="15" hidden="false" customHeight="false" outlineLevel="0" collapsed="false">
      <c r="A24" s="0" t="s">
        <v>1080</v>
      </c>
      <c r="B24" s="0" t="s">
        <v>1060</v>
      </c>
      <c r="C24" s="0" t="s">
        <v>1061</v>
      </c>
      <c r="D24" s="8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24" s="8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24" s="8" t="n">
        <f aca="false">ABS(E24-D24)</f>
        <v>3000</v>
      </c>
    </row>
    <row r="25" customFormat="false" ht="15" hidden="false" customHeight="false" outlineLevel="0" collapsed="false">
      <c r="A25" s="0" t="s">
        <v>1081</v>
      </c>
      <c r="B25" s="0" t="s">
        <v>1082</v>
      </c>
      <c r="C25" s="0" t="s">
        <v>1083</v>
      </c>
      <c r="D25" s="8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25" s="8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25" s="8" t="n">
        <f aca="false">ABS(E25-D25)</f>
        <v>1120</v>
      </c>
    </row>
    <row r="26" customFormat="false" ht="15" hidden="false" customHeight="false" outlineLevel="0" collapsed="false">
      <c r="A26" s="3" t="s">
        <v>1084</v>
      </c>
      <c r="D26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1085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1</v>
      </c>
      <c r="C3" s="13" t="s">
        <v>1088</v>
      </c>
      <c r="D3" s="34" t="n">
        <v>1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0.933333333333333</v>
      </c>
      <c r="D11" s="7" t="n">
        <f aca="false">IF(2&lt;=6,1-(1-INDEX(Assumptions!$C$157:$E$157,$D$3))*2/6,INDEX(Assumptions!$C$157:$E$157,$D$3)-(INDEX(Assumptions!$C$157:$E$157,$D$3)-INDEX(Assumptions!$C$158:$E$158,$D$3))*(2-6)/6)</f>
        <v>0.866666666666667</v>
      </c>
      <c r="E11" s="7" t="n">
        <f aca="false">IF(3&lt;=6,1-(1-INDEX(Assumptions!$C$157:$E$157,$D$3))*3/6,INDEX(Assumptions!$C$157:$E$157,$D$3)-(INDEX(Assumptions!$C$157:$E$157,$D$3)-INDEX(Assumptions!$C$158:$E$158,$D$3))*(3-6)/6)</f>
        <v>0.8</v>
      </c>
      <c r="F11" s="7" t="n">
        <f aca="false">IF(4&lt;=6,1-(1-INDEX(Assumptions!$C$157:$E$157,$D$3))*4/6,INDEX(Assumptions!$C$157:$E$157,$D$3)-(INDEX(Assumptions!$C$157:$E$157,$D$3)-INDEX(Assumptions!$C$158:$E$158,$D$3))*(4-6)/6)</f>
        <v>0.733333333333333</v>
      </c>
      <c r="G11" s="7" t="n">
        <f aca="false">IF(5&lt;=6,1-(1-INDEX(Assumptions!$C$157:$E$157,$D$3))*5/6,INDEX(Assumptions!$C$157:$E$157,$D$3)-(INDEX(Assumptions!$C$157:$E$157,$D$3)-INDEX(Assumptions!$C$158:$E$158,$D$3))*(5-6)/6)</f>
        <v>0.666666666666667</v>
      </c>
      <c r="H11" s="7" t="n">
        <f aca="false">IF(6&lt;=6,1-(1-INDEX(Assumptions!$C$157:$E$157,$D$3))*6/6,INDEX(Assumptions!$C$157:$E$157,$D$3)-(INDEX(Assumptions!$C$157:$E$157,$D$3)-INDEX(Assumptions!$C$158:$E$158,$D$3))*(6-6)/6)</f>
        <v>0.6</v>
      </c>
      <c r="I11" s="7" t="n">
        <f aca="false">IF(7&lt;=6,1-(1-INDEX(Assumptions!$C$157:$E$157,$D$3))*7/6,INDEX(Assumptions!$C$157:$E$157,$D$3)-(INDEX(Assumptions!$C$157:$E$157,$D$3)-INDEX(Assumptions!$C$158:$E$158,$D$3))*(7-6)/6)</f>
        <v>0.566666666666667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0.533333333333333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0.5</v>
      </c>
      <c r="L11" s="7" t="n">
        <f aca="false">IF(10&lt;=6,1-(1-INDEX(Assumptions!$C$157:$E$157,$D$3))*10/6,INDEX(Assumptions!$C$157:$E$157,$D$3)-(INDEX(Assumptions!$C$157:$E$157,$D$3)-INDEX(Assumptions!$C$158:$E$158,$D$3))*(10-6)/6)</f>
        <v>0.466666666666667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0.433333333333333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10000</v>
      </c>
      <c r="D17" s="8" t="n">
        <f aca="false">INDEX(Assumptions!$C$122:$E$122,$D$3)*$J$4</f>
        <v>25000</v>
      </c>
      <c r="E17" s="8" t="n">
        <f aca="false">INDEX(Assumptions!$C$123:$E$123,$D$3)*$J$4</f>
        <v>30000</v>
      </c>
      <c r="F17" s="8" t="n">
        <f aca="false">INDEX(Assumptions!$C$124:$E$124,$D$3)*$J$4</f>
        <v>35000</v>
      </c>
      <c r="G17" s="8" t="n">
        <f aca="false">INDEX(Assumptions!$C$125:$E$125,$D$3)*$J$4</f>
        <v>40000</v>
      </c>
      <c r="H17" s="8" t="n">
        <f aca="false">INDEX(Assumptions!$C$126:$E$126,$D$3)*$J$4</f>
        <v>40000</v>
      </c>
      <c r="I17" s="8" t="n">
        <f aca="false">INDEX(Assumptions!$C$127:$E$127,$D$3)*$J$4</f>
        <v>40000</v>
      </c>
      <c r="J17" s="8" t="n">
        <f aca="false">INDEX(Assumptions!$C$128:$E$128,$D$3)*$J$4</f>
        <v>40000</v>
      </c>
      <c r="K17" s="8" t="n">
        <f aca="false">INDEX(Assumptions!$C$129:$E$129,$D$3)*$J$4</f>
        <v>40000</v>
      </c>
      <c r="L17" s="8" t="n">
        <f aca="false">INDEX(Assumptions!$C$130:$E$130,$D$3)*$J$4</f>
        <v>40000</v>
      </c>
      <c r="M17" s="8" t="n">
        <f aca="false">INDEX(Assumptions!$C$131:$E$131,$D$3)*$J$4</f>
        <v>40000</v>
      </c>
      <c r="N17" s="8" t="n">
        <f aca="false">INDEX(Assumptions!$C$132:$E$132,$D$3)*$J$4</f>
        <v>40000</v>
      </c>
      <c r="O17" s="37" t="n">
        <f aca="false">SUM(C17:N17)</f>
        <v>420000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0.433992805755396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7.29107913669065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1.2</v>
      </c>
      <c r="D21" s="35" t="n">
        <f aca="false">D9*(D13*$F$3+(D14-D13)*$F$3*D19+MIN(D15,D20*D19))</f>
        <v>1.34399730215827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33.2021232014389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8</v>
      </c>
      <c r="J22" s="8" t="n">
        <f aca="false">IF(8&gt;=INDEX(Assumptions!$C$173:$E$173,$D$3),INDEX(Assumptions!$C$176:$E$176,$D$3),INDEX(Assumptions!$C$171:$E$171,$B$3))</f>
        <v>8</v>
      </c>
      <c r="K22" s="8" t="n">
        <f aca="false">IF(9&gt;=INDEX(Assumptions!$C$173:$E$173,$D$3),INDEX(Assumptions!$C$176:$E$176,$D$3),INDEX(Assumptions!$C$171:$E$171,$B$3))</f>
        <v>8</v>
      </c>
      <c r="L22" s="8" t="n">
        <f aca="false">IF(10&gt;=INDEX(Assumptions!$C$173:$E$173,$D$3),INDEX(Assumptions!$C$176:$E$176,$D$3),INDEX(Assumptions!$C$171:$E$171,$B$3))</f>
        <v>8</v>
      </c>
      <c r="M22" s="8" t="n">
        <f aca="false">IF(11&gt;=INDEX(Assumptions!$C$173:$E$173,$D$3),INDEX(Assumptions!$C$176:$E$176,$D$3),INDEX(Assumptions!$C$171:$E$171,$B$3))</f>
        <v>8</v>
      </c>
      <c r="N22" s="8" t="n">
        <f aca="false">IF(12&gt;=INDEX(Assumptions!$C$173:$E$173,$D$3),INDEX(Assumptions!$C$176:$E$176,$D$3),INDEX(Assumptions!$C$171:$E$171,$B$3))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</v>
      </c>
      <c r="J23" s="6" t="n">
        <f aca="false">IF(8&gt;=INDEX(Assumptions!$C$173:$E$173,$D$3),INDEX(Assumptions!$C$177:$E$177,$D$3),INDEX(Assumptions!$C$172:$E$172,$D$3))</f>
        <v>2</v>
      </c>
      <c r="K23" s="6" t="n">
        <f aca="false">IF(9&gt;=INDEX(Assumptions!$C$173:$E$173,$D$3),INDEX(Assumptions!$C$177:$E$177,$D$3),INDEX(Assumptions!$C$172:$E$172,$D$3))</f>
        <v>2</v>
      </c>
      <c r="L23" s="6" t="n">
        <f aca="false">IF(10&gt;=INDEX(Assumptions!$C$173:$E$173,$D$3),INDEX(Assumptions!$C$177:$E$177,$D$3),INDEX(Assumptions!$C$172:$E$172,$D$3))</f>
        <v>2</v>
      </c>
      <c r="M23" s="6" t="n">
        <f aca="false">IF(11&gt;=INDEX(Assumptions!$C$173:$E$173,$D$3),INDEX(Assumptions!$C$177:$E$177,$D$3),INDEX(Assumptions!$C$172:$E$172,$D$3))</f>
        <v>2</v>
      </c>
      <c r="N23" s="6" t="n">
        <f aca="false">IF(12&gt;=INDEX(Assumptions!$C$173:$E$173,$D$3),INDEX(Assumptions!$C$177:$E$177,$D$3),INDEX(Assumptions!$C$172:$E$172,$D$3))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14.4</v>
      </c>
      <c r="J24" s="6" t="n">
        <f aca="false">J22*J23*INDEX(Assumptions!$C$178:$E$178,$B$3)</f>
        <v>14.4</v>
      </c>
      <c r="K24" s="6" t="n">
        <f aca="false">K22*K23*INDEX(Assumptions!$C$178:$E$178,$B$3)</f>
        <v>14.4</v>
      </c>
      <c r="L24" s="6" t="n">
        <f aca="false">L22*L23*INDEX(Assumptions!$C$178:$E$178,$B$3)</f>
        <v>14.4</v>
      </c>
      <c r="M24" s="6" t="n">
        <f aca="false">M22*M23*INDEX(Assumptions!$C$178:$E$178,$B$3)</f>
        <v>14.4</v>
      </c>
      <c r="N24" s="6" t="n">
        <f aca="false">N22*N23*INDEX(Assumptions!$C$178:$E$178,$B$3)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</v>
      </c>
      <c r="M25" s="7" t="n">
        <f aca="false">IF(11&gt;=INDEX(Assumptions!$C$189:$E$189,$D$3),INDEX(Assumptions!$C$74:$E$74,$B$3),0)</f>
        <v>0</v>
      </c>
      <c r="N25" s="7" t="n">
        <f aca="false">IF(12&gt;=INDEX(Assumptions!$C$189:$E$189,$D$3),INDEX(Assumptions!$C$74:$E$74,$B$3),0)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1.42199865107914</v>
      </c>
      <c r="F26" s="6" t="n">
        <f aca="false">E29+D29+E32+D32+1.25*E30</f>
        <v>1.65863680305755</v>
      </c>
      <c r="G26" s="6" t="n">
        <f aca="false">F29+E29+F32+E32+1.25*F30</f>
        <v>2.0268337455036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1.49399730215827</v>
      </c>
      <c r="E27" s="6" t="n">
        <f aca="false">E21*(INDEX(Assumptions!$C$26:$E$26,$B$3)*(1-E25)+INDEX(Assumptions!$C$26:$E$26,$B$3)*E25*1.25+(1-INDEX(Assumptions!$C$26:$E$26,$B$3)))+D31*INDEX(Assumptions!$C$89:$E$89,$B$3)</f>
        <v>1.50527664118705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0.671998651079137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16.6010616007194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0.6</v>
      </c>
      <c r="D31" s="27" t="n">
        <f aca="false">D21*(1-INDEX(Assumptions!$C$26:$E$26,$B$3))*D28</f>
        <v>0.671998651079137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16.6010616007194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0.167999662769784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3.76346683902878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1.2</v>
      </c>
      <c r="D33" s="35" t="n">
        <f aca="false">D29+D30+D31</f>
        <v>1.34399730215827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33.2021232014389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0.18</v>
      </c>
      <c r="D34" s="27" t="n">
        <f aca="false">D33*INDEX(Assumptions!$C$74:$E$74,$B$3)</f>
        <v>0.201599595323741</v>
      </c>
      <c r="E34" s="27" t="n">
        <f aca="false">E33*INDEX(Assumptions!$C$74:$E$74,$B$3)</f>
        <v>0.20059154676259</v>
      </c>
      <c r="F34" s="27" t="n">
        <f aca="false">F33*INDEX(Assumptions!$C$74:$E$74,$B$3)</f>
        <v>0.306910791366907</v>
      </c>
      <c r="G34" s="27" t="n">
        <f aca="false">G33*INDEX(Assumptions!$C$74:$E$74,$B$3)</f>
        <v>0.377242446043166</v>
      </c>
      <c r="H34" s="27" t="n">
        <f aca="false">H33*INDEX(Assumptions!$C$74:$E$74,$B$3)</f>
        <v>0.441658273381295</v>
      </c>
      <c r="I34" s="27" t="n">
        <f aca="false">I33*INDEX(Assumptions!$C$74:$E$74,$B$3)</f>
        <v>0.603405755395684</v>
      </c>
      <c r="J34" s="27" t="n">
        <f aca="false">J33*INDEX(Assumptions!$C$74:$E$74,$B$3)</f>
        <v>0.626613669064748</v>
      </c>
      <c r="K34" s="27" t="n">
        <f aca="false">K33*INDEX(Assumptions!$C$74:$E$74,$B$3)</f>
        <v>0.580197841726619</v>
      </c>
      <c r="L34" s="27" t="n">
        <f aca="false">L33*INDEX(Assumptions!$C$74:$E$74,$B$3)</f>
        <v>0.510574100719425</v>
      </c>
      <c r="M34" s="27" t="n">
        <f aca="false">M33*INDEX(Assumptions!$C$74:$E$74,$B$3)</f>
        <v>0.48736618705036</v>
      </c>
      <c r="N34" s="27" t="n">
        <f aca="false">N33*INDEX(Assumptions!$C$74:$E$74,$B$3)</f>
        <v>0.464158273381295</v>
      </c>
      <c r="O34" s="35" t="n">
        <f aca="false">SUM(C34:N34)</f>
        <v>4.98031848021583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1.2</v>
      </c>
      <c r="D35" s="6" t="n">
        <f aca="false">D26+D29+D32+D31+1.25*D30</f>
        <v>2.09399730215827</v>
      </c>
      <c r="E35" s="6" t="n">
        <f aca="false">E26+E29+E32+E31+1.25*E30</f>
        <v>2.92727529226619</v>
      </c>
      <c r="F35" s="6" t="n">
        <f aca="false">F26+F29+F32+F31+1.25*F30</f>
        <v>3.87186836780576</v>
      </c>
      <c r="G35" s="6" t="n">
        <f aca="false">G26+G29+G32+G31+1.25*G30</f>
        <v>4.79754237859712</v>
      </c>
      <c r="H35" s="6" t="n">
        <f aca="false">H26+H29+H32+H31+1.25*H30</f>
        <v>5.96218660071943</v>
      </c>
      <c r="I35" s="6" t="n">
        <f aca="false">I26+I29+I32+I31+1.25*I30</f>
        <v>7.69055035971223</v>
      </c>
      <c r="J35" s="6" t="n">
        <f aca="false">J26+J29+J32+J31+1.25*J30</f>
        <v>8.84622661870504</v>
      </c>
      <c r="K35" s="6" t="n">
        <f aca="false">K26+K29+K32+K31+1.25*K30</f>
        <v>9.36111510791367</v>
      </c>
      <c r="L35" s="6" t="n">
        <f aca="false">L26+L29+L32+L31+1.25*L30</f>
        <v>8.93504676258993</v>
      </c>
      <c r="M35" s="6" t="n">
        <f aca="false">M26+M29+M32+M31+1.25*M30</f>
        <v>8.3161690647482</v>
      </c>
      <c r="N35" s="6" t="n">
        <f aca="false">N26+N29+N32+N31+1.25*N30</f>
        <v>7.73597122302158</v>
      </c>
      <c r="O35" s="39" t="n">
        <f aca="false">AVERAGE(C35:N35)</f>
        <v>5.97816242318645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0.075</v>
      </c>
      <c r="D36" s="36" t="n">
        <f aca="false">D35/(D22*D23)</f>
        <v>0.130874831384892</v>
      </c>
      <c r="E36" s="36" t="n">
        <f aca="false">E35/(E22*E23)</f>
        <v>0.182954705766637</v>
      </c>
      <c r="F36" s="36" t="n">
        <f aca="false">F35/(F22*F23)</f>
        <v>0.24199177298786</v>
      </c>
      <c r="G36" s="36" t="n">
        <f aca="false">G35/(G22*G23)</f>
        <v>0.29984639866232</v>
      </c>
      <c r="H36" s="36" t="n">
        <f aca="false">H35/(H22*H23)</f>
        <v>0.372636662544964</v>
      </c>
      <c r="I36" s="36" t="n">
        <f aca="false">I35/(I22*I23)</f>
        <v>0.480659397482014</v>
      </c>
      <c r="J36" s="36" t="n">
        <f aca="false">J35/(J22*J23)</f>
        <v>0.552889163669065</v>
      </c>
      <c r="K36" s="36" t="n">
        <f aca="false">K35/(K22*K23)</f>
        <v>0.585069694244604</v>
      </c>
      <c r="L36" s="36" t="n">
        <f aca="false">L35/(L22*L23)</f>
        <v>0.558440422661871</v>
      </c>
      <c r="M36" s="36" t="n">
        <f aca="false">M35/(M22*M23)</f>
        <v>0.519760566546763</v>
      </c>
      <c r="N36" s="36" t="n">
        <f aca="false">N35/(N22*N23)</f>
        <v>0.483498201438849</v>
      </c>
      <c r="O36" s="30" t="n">
        <f aca="false">N36</f>
        <v>0.483498201438849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0</v>
      </c>
      <c r="I37" s="8" t="n">
        <f aca="false">IF(I28&lt;0.999,1,0)</f>
        <v>0</v>
      </c>
      <c r="J37" s="8" t="n">
        <f aca="false">IF(J28&lt;0.999,1,0)</f>
        <v>0</v>
      </c>
      <c r="K37" s="8" t="n">
        <f aca="false">IF(K28&lt;0.999,1,0)</f>
        <v>0</v>
      </c>
      <c r="L37" s="8" t="n">
        <f aca="false">IF(L28&lt;0.999,1,0)</f>
        <v>0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0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1.5</v>
      </c>
      <c r="F39" s="6" t="n">
        <f aca="false">IF(4&gt;=3,INDEX(Assumptions!$C$192:$E$192,$D$3)*INDEX(Assumptions!$C$193:$E$193,$B$3)*MIN(1,(4-2)/6),0)*$F$3</f>
        <v>3</v>
      </c>
      <c r="G39" s="6" t="n">
        <f aca="false">IF(5&gt;=3,INDEX(Assumptions!$C$192:$E$192,$D$3)*INDEX(Assumptions!$C$193:$E$193,$B$3)*MIN(1,(5-2)/6),0)*$F$3</f>
        <v>4.5</v>
      </c>
      <c r="H39" s="6" t="n">
        <f aca="false">IF(6&gt;=3,INDEX(Assumptions!$C$192:$E$192,$D$3)*INDEX(Assumptions!$C$193:$E$193,$B$3)*MIN(1,(6-2)/6),0)*$F$3</f>
        <v>6</v>
      </c>
      <c r="I39" s="6" t="n">
        <f aca="false">IF(7&gt;=3,INDEX(Assumptions!$C$192:$E$192,$D$3)*INDEX(Assumptions!$C$193:$E$193,$B$3)*MIN(1,(7-2)/6),0)*$F$3</f>
        <v>7.5</v>
      </c>
      <c r="J39" s="6" t="n">
        <f aca="false">IF(8&gt;=3,INDEX(Assumptions!$C$192:$E$192,$D$3)*INDEX(Assumptions!$C$193:$E$193,$B$3)*MIN(1,(8-2)/6),0)*$F$3</f>
        <v>9</v>
      </c>
      <c r="K39" s="6" t="n">
        <f aca="false">IF(9&gt;=3,INDEX(Assumptions!$C$192:$E$192,$D$3)*INDEX(Assumptions!$C$193:$E$193,$B$3)*MIN(1,(9-2)/6),0)*$F$3</f>
        <v>9</v>
      </c>
      <c r="L39" s="6" t="n">
        <f aca="false">IF(10&gt;=3,INDEX(Assumptions!$C$192:$E$192,$D$3)*INDEX(Assumptions!$C$193:$E$193,$B$3)*MIN(1,(10-2)/6),0)*$F$3</f>
        <v>9</v>
      </c>
      <c r="M39" s="6" t="n">
        <f aca="false">IF(11&gt;=3,INDEX(Assumptions!$C$192:$E$192,$D$3)*INDEX(Assumptions!$C$193:$E$193,$B$3)*MIN(1,(11-2)/6),0)*$F$3</f>
        <v>9</v>
      </c>
      <c r="N39" s="6" t="n">
        <f aca="false">IF(12&gt;=3,INDEX(Assumptions!$C$192:$E$192,$D$3)*INDEX(Assumptions!$C$193:$E$193,$B$3)*MIN(1,(12-2)/6),0)*$F$3</f>
        <v>9</v>
      </c>
      <c r="O39" s="39" t="n">
        <f aca="false">SUM(C39:N39)</f>
        <v>67.5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4.66666666666667</v>
      </c>
      <c r="D40" s="6" t="n">
        <f aca="false">INDEX(Assumptions!$C$194:$E$194,$D$3)*D10*MIN(1,2/3)*$F$3</f>
        <v>8</v>
      </c>
      <c r="E40" s="6" t="n">
        <f aca="false">INDEX(Assumptions!$C$194:$E$194,$D$3)*E10*MIN(1,3/3)*$F$3</f>
        <v>12</v>
      </c>
      <c r="F40" s="6" t="n">
        <f aca="false">INDEX(Assumptions!$C$194:$E$194,$D$3)*F10*MIN(1,4/3)*$F$3</f>
        <v>13</v>
      </c>
      <c r="G40" s="6" t="n">
        <f aca="false">INDEX(Assumptions!$C$194:$E$194,$D$3)*G10*MIN(1,5/3)*$F$3</f>
        <v>9</v>
      </c>
      <c r="H40" s="6" t="n">
        <f aca="false">INDEX(Assumptions!$C$194:$E$194,$D$3)*H10*MIN(1,6/3)*$F$3</f>
        <v>8</v>
      </c>
      <c r="I40" s="6" t="n">
        <f aca="false">INDEX(Assumptions!$C$194:$E$194,$D$3)*I10*MIN(1,7/3)*$F$3</f>
        <v>7</v>
      </c>
      <c r="J40" s="6" t="n">
        <f aca="false">INDEX(Assumptions!$C$194:$E$194,$D$3)*J10*MIN(1,8/3)*$F$3</f>
        <v>6</v>
      </c>
      <c r="K40" s="6" t="n">
        <f aca="false">INDEX(Assumptions!$C$194:$E$194,$D$3)*K10*MIN(1,9/3)*$F$3</f>
        <v>6</v>
      </c>
      <c r="L40" s="6" t="n">
        <f aca="false">INDEX(Assumptions!$C$194:$E$194,$D$3)*L10*MIN(1,10/3)*$F$3</f>
        <v>8</v>
      </c>
      <c r="M40" s="6" t="n">
        <f aca="false">INDEX(Assumptions!$C$194:$E$194,$D$3)*M10*MIN(1,11/3)*$F$3</f>
        <v>11</v>
      </c>
      <c r="N40" s="6" t="n">
        <f aca="false">INDEX(Assumptions!$C$194:$E$194,$D$3)*N10*MIN(1,12/3)*$F$3</f>
        <v>14</v>
      </c>
      <c r="O40" s="39" t="n">
        <f aca="false">SUM(C40:N40)</f>
        <v>106.666666666667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2</v>
      </c>
      <c r="D41" s="6" t="n">
        <f aca="false">D21*INDEX(Assumptions!$C$31:$E$31,$B$3)/(INDEX(Assumptions!$C$56:$E$56,$B$3)*INDEX(Assumptions!$C$57:$E$57,$B$3)*INDEX(Assumptions!$C$58:$E$58,$B$3))</f>
        <v>2.23999550359712</v>
      </c>
      <c r="E41" s="6" t="n">
        <f aca="false">E21*INDEX(Assumptions!$C$31:$E$31,$B$3)/(INDEX(Assumptions!$C$56:$E$56,$B$3)*INDEX(Assumptions!$C$57:$E$57,$B$3)*INDEX(Assumptions!$C$58:$E$58,$B$3))</f>
        <v>2.22879496402878</v>
      </c>
      <c r="F41" s="6" t="n">
        <f aca="false">F21*INDEX(Assumptions!$C$31:$E$31,$B$3)/(INDEX(Assumptions!$C$56:$E$56,$B$3)*INDEX(Assumptions!$C$57:$E$57,$B$3)*INDEX(Assumptions!$C$58:$E$58,$B$3))</f>
        <v>3.41011990407674</v>
      </c>
      <c r="G41" s="6" t="n">
        <f aca="false">G21*INDEX(Assumptions!$C$31:$E$31,$B$3)/(INDEX(Assumptions!$C$56:$E$56,$B$3)*INDEX(Assumptions!$C$57:$E$57,$B$3)*INDEX(Assumptions!$C$58:$E$58,$B$3))</f>
        <v>4.19158273381295</v>
      </c>
      <c r="H41" s="6" t="n">
        <f aca="false">H21*INDEX(Assumptions!$C$31:$E$31,$B$3)/(INDEX(Assumptions!$C$56:$E$56,$B$3)*INDEX(Assumptions!$C$57:$E$57,$B$3)*INDEX(Assumptions!$C$58:$E$58,$B$3))</f>
        <v>4.90731414868106</v>
      </c>
      <c r="I41" s="6" t="n">
        <f aca="false">I21*INDEX(Assumptions!$C$31:$E$31,$B$3)/(INDEX(Assumptions!$C$56:$E$56,$B$3)*INDEX(Assumptions!$C$57:$E$57,$B$3)*INDEX(Assumptions!$C$58:$E$58,$B$3))</f>
        <v>6.70450839328537</v>
      </c>
      <c r="J41" s="6" t="n">
        <f aca="false">J21*INDEX(Assumptions!$C$31:$E$31,$B$3)/(INDEX(Assumptions!$C$56:$E$56,$B$3)*INDEX(Assumptions!$C$57:$E$57,$B$3)*INDEX(Assumptions!$C$58:$E$58,$B$3))</f>
        <v>6.96237410071943</v>
      </c>
      <c r="K41" s="6" t="n">
        <f aca="false">K21*INDEX(Assumptions!$C$31:$E$31,$B$3)/(INDEX(Assumptions!$C$56:$E$56,$B$3)*INDEX(Assumptions!$C$57:$E$57,$B$3)*INDEX(Assumptions!$C$58:$E$58,$B$3))</f>
        <v>6.44664268585132</v>
      </c>
      <c r="L41" s="6" t="n">
        <f aca="false">L21*INDEX(Assumptions!$C$31:$E$31,$B$3)/(INDEX(Assumptions!$C$56:$E$56,$B$3)*INDEX(Assumptions!$C$57:$E$57,$B$3)*INDEX(Assumptions!$C$58:$E$58,$B$3))</f>
        <v>5.67304556354916</v>
      </c>
      <c r="M41" s="6" t="n">
        <f aca="false">M21*INDEX(Assumptions!$C$31:$E$31,$B$3)/(INDEX(Assumptions!$C$56:$E$56,$B$3)*INDEX(Assumptions!$C$57:$E$57,$B$3)*INDEX(Assumptions!$C$58:$E$58,$B$3))</f>
        <v>5.41517985611511</v>
      </c>
      <c r="N41" s="6" t="n">
        <f aca="false">N21*INDEX(Assumptions!$C$31:$E$31,$B$3)/(INDEX(Assumptions!$C$56:$E$56,$B$3)*INDEX(Assumptions!$C$57:$E$57,$B$3)*INDEX(Assumptions!$C$58:$E$58,$B$3))</f>
        <v>5.15731414868106</v>
      </c>
      <c r="O41" s="39" t="n">
        <f aca="false">SUM(C41:N41)</f>
        <v>55.3368720023981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</v>
      </c>
      <c r="L42" s="27" t="n">
        <f aca="false">IF(10&gt;=INDEX(Assumptions!$C$191:$E$191,$D$3),MAX(INDEX(Assumptions!$C$86:$E$86,$D$3),0.5),0)</f>
        <v>0</v>
      </c>
      <c r="M42" s="27" t="n">
        <f aca="false">IF(11&gt;=INDEX(Assumptions!$C$191:$E$191,$D$3),MAX(INDEX(Assumptions!$C$86:$E$86,$D$3),0.5),0)</f>
        <v>0</v>
      </c>
      <c r="N42" s="27" t="n">
        <f aca="false">IF(12&gt;=INDEX(Assumptions!$C$191:$E$191,$D$3),MAX(INDEX(Assumptions!$C$86:$E$86,$D$3),0.5),0)</f>
        <v>0</v>
      </c>
      <c r="O42" s="35" t="n">
        <f aca="false">SUM(C42:N42)</f>
        <v>0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0</v>
      </c>
      <c r="L43" s="6" t="n">
        <f aca="false">L42*INDEX(Assumptions!$C$82:$E$82,$B$3)*$F$3</f>
        <v>0</v>
      </c>
      <c r="M43" s="6" t="n">
        <f aca="false">M42*INDEX(Assumptions!$C$82:$E$82,$B$3)*$F$3</f>
        <v>0</v>
      </c>
      <c r="N43" s="6" t="n">
        <f aca="false">N42*INDEX(Assumptions!$C$82:$E$82,$B$3)*$F$3</f>
        <v>0</v>
      </c>
      <c r="O43" s="39" t="n">
        <f aca="false">SUM(C43:N43)</f>
        <v>0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0.0525</v>
      </c>
      <c r="F44" s="27" t="n">
        <f aca="false">F39*0.7*INDEX(Assumptions!$C$73:$E$73,$B$3)</f>
        <v>0.105</v>
      </c>
      <c r="G44" s="27" t="n">
        <f aca="false">G39*0.7*INDEX(Assumptions!$C$73:$E$73,$B$3)</f>
        <v>0.1575</v>
      </c>
      <c r="H44" s="27" t="n">
        <f aca="false">H39*0.7*INDEX(Assumptions!$C$73:$E$73,$B$3)</f>
        <v>0.21</v>
      </c>
      <c r="I44" s="27" t="n">
        <f aca="false">I39*0.7*INDEX(Assumptions!$C$73:$E$73,$B$3)</f>
        <v>0.2625</v>
      </c>
      <c r="J44" s="27" t="n">
        <f aca="false">J39*0.7*INDEX(Assumptions!$C$73:$E$73,$B$3)</f>
        <v>0.315</v>
      </c>
      <c r="K44" s="27" t="n">
        <f aca="false">K39*0.7*INDEX(Assumptions!$C$73:$E$73,$B$3)</f>
        <v>0.315</v>
      </c>
      <c r="L44" s="27" t="n">
        <f aca="false">L39*0.7*INDEX(Assumptions!$C$73:$E$73,$B$3)</f>
        <v>0.315</v>
      </c>
      <c r="M44" s="27" t="n">
        <f aca="false">M39*0.7*INDEX(Assumptions!$C$73:$E$73,$B$3)</f>
        <v>0.315</v>
      </c>
      <c r="N44" s="27" t="n">
        <f aca="false">N39*0.7*INDEX(Assumptions!$C$73:$E$73,$B$3)</f>
        <v>0.315</v>
      </c>
      <c r="O44" s="35" t="n">
        <f aca="false">SUM(C44:N44)</f>
        <v>2.3625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40000</v>
      </c>
      <c r="D46" s="8" t="n">
        <f aca="false">IF(2&gt;=INDEX(Assumptions!$C$105:$E$105,$B$3),INDEX(Assumptions!$C$20:$E$20,$B$3),INDEX(Assumptions!$C$10:$E$10,$B$3))*$H$3</f>
        <v>40000</v>
      </c>
      <c r="E46" s="8" t="n">
        <f aca="false">IF(3&gt;=INDEX(Assumptions!$C$105:$E$105,$B$3),INDEX(Assumptions!$C$20:$E$20,$B$3),INDEX(Assumptions!$C$10:$E$10,$B$3))*$H$3</f>
        <v>40000</v>
      </c>
      <c r="F46" s="8" t="n">
        <f aca="false">IF(4&gt;=INDEX(Assumptions!$C$105:$E$105,$B$3),INDEX(Assumptions!$C$20:$E$20,$B$3),INDEX(Assumptions!$C$10:$E$10,$B$3))*$H$3</f>
        <v>40000</v>
      </c>
      <c r="G46" s="8" t="n">
        <f aca="false">IF(5&gt;=INDEX(Assumptions!$C$105:$E$105,$B$3),INDEX(Assumptions!$C$20:$E$20,$B$3),INDEX(Assumptions!$C$10:$E$10,$B$3))*$H$3</f>
        <v>40000</v>
      </c>
      <c r="H46" s="8" t="n">
        <f aca="false">IF(6&gt;=INDEX(Assumptions!$C$105:$E$105,$B$3),INDEX(Assumptions!$C$20:$E$20,$B$3),INDEX(Assumptions!$C$10:$E$10,$B$3))*$H$3</f>
        <v>40000</v>
      </c>
      <c r="I46" s="8" t="n">
        <f aca="false">IF(7&gt;=INDEX(Assumptions!$C$105:$E$105,$B$3),INDEX(Assumptions!$C$20:$E$20,$B$3),INDEX(Assumptions!$C$10:$E$10,$B$3))*$H$3</f>
        <v>40000</v>
      </c>
      <c r="J46" s="8" t="n">
        <f aca="false">IF(8&gt;=INDEX(Assumptions!$C$105:$E$105,$B$3),INDEX(Assumptions!$C$20:$E$20,$B$3),INDEX(Assumptions!$C$10:$E$10,$B$3))*$H$3</f>
        <v>40000</v>
      </c>
      <c r="K46" s="8" t="n">
        <f aca="false">IF(9&gt;=INDEX(Assumptions!$C$105:$E$105,$B$3),INDEX(Assumptions!$C$20:$E$20,$B$3),INDEX(Assumptions!$C$10:$E$10,$B$3))*$H$3</f>
        <v>40000</v>
      </c>
      <c r="L46" s="8" t="n">
        <f aca="false">IF(10&gt;=INDEX(Assumptions!$C$105:$E$105,$B$3),INDEX(Assumptions!$C$20:$E$20,$B$3),INDEX(Assumptions!$C$10:$E$10,$B$3))*$H$3</f>
        <v>65000</v>
      </c>
      <c r="M46" s="8" t="n">
        <f aca="false">IF(11&gt;=INDEX(Assumptions!$C$105:$E$105,$B$3),INDEX(Assumptions!$C$20:$E$20,$B$3),INDEX(Assumptions!$C$10:$E$10,$B$3))*$H$3</f>
        <v>65000</v>
      </c>
      <c r="N46" s="8" t="n">
        <f aca="false">IF(12&gt;=INDEX(Assumptions!$C$105:$E$105,$B$3),INDEX(Assumptions!$C$20:$E$20,$B$3),INDEX(Assumptions!$C$10:$E$10,$B$3))*$H$3</f>
        <v>65000</v>
      </c>
      <c r="O46" s="37" t="n">
        <f aca="false">AVERAGE(C46:N46)</f>
        <v>46250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1</v>
      </c>
      <c r="J47" s="8" t="n">
        <f aca="false">IF(8&gt;=INDEX(Assumptions!$C$105:$E$105,$B$3),0,1)</f>
        <v>1</v>
      </c>
      <c r="K47" s="8" t="n">
        <f aca="false">IF(9&gt;=INDEX(Assumptions!$C$105:$E$105,$B$3),0,1)</f>
        <v>1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20338.9830508475</v>
      </c>
      <c r="D49" s="8" t="n">
        <f aca="false">D29*D46/(1+INDEX(Assumptions!$C$15:$E$15,$B$3)*$H$4)</f>
        <v>22779.6152908182</v>
      </c>
      <c r="E49" s="8" t="n">
        <f aca="false">E29*E46/(1+INDEX(Assumptions!$C$15:$E$15,$B$3)*$H$4)</f>
        <v>22665.7114985977</v>
      </c>
      <c r="F49" s="8" t="n">
        <f aca="false">F29*F46/(1+INDEX(Assumptions!$C$15:$E$15,$B$3)*$H$4)</f>
        <v>34679.1854651872</v>
      </c>
      <c r="G49" s="8" t="n">
        <f aca="false">G29*G46/(1+INDEX(Assumptions!$C$15:$E$15,$B$3)*$H$4)</f>
        <v>42626.2650896232</v>
      </c>
      <c r="H49" s="8" t="n">
        <f aca="false">H29*H46/(1+INDEX(Assumptions!$C$15:$E$15,$B$3)*$H$4)</f>
        <v>49904.889647604</v>
      </c>
      <c r="I49" s="8" t="n">
        <f aca="false">I29*I46/(1+INDEX(Assumptions!$C$15:$E$15,$B$3)*$H$4)</f>
        <v>68181.4412876479</v>
      </c>
      <c r="J49" s="8" t="n">
        <f aca="false">J29*J46/(1+INDEX(Assumptions!$C$15:$E$15,$B$3)*$H$4)</f>
        <v>70803.8044140959</v>
      </c>
      <c r="K49" s="8" t="n">
        <f aca="false">K29*K46/(1+INDEX(Assumptions!$C$15:$E$15,$B$3)*$H$4)</f>
        <v>65559.0781611999</v>
      </c>
      <c r="L49" s="8" t="n">
        <f aca="false">L29*L46/(1+INDEX(Assumptions!$C$15:$E$15,$B$3)*$H$4)</f>
        <v>93749.4817705158</v>
      </c>
      <c r="M49" s="8" t="n">
        <f aca="false">M29*M46/(1+INDEX(Assumptions!$C$15:$E$15,$B$3)*$H$4)</f>
        <v>89488.1416900378</v>
      </c>
      <c r="N49" s="8" t="n">
        <f aca="false">N29*N46/(1+INDEX(Assumptions!$C$15:$E$15,$B$3)*$H$4)</f>
        <v>85226.8016095598</v>
      </c>
      <c r="O49" s="37" t="n">
        <f aca="false">SUM(C49:N49)</f>
        <v>666003.398975735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0</v>
      </c>
      <c r="M50" s="8" t="n">
        <f aca="false">M30*M46/(1+INDEX(Assumptions!$C$15:$E$15,$B$3)*$H$4)</f>
        <v>0</v>
      </c>
      <c r="N50" s="8" t="n">
        <f aca="false">N30*N46/(1+INDEX(Assumptions!$C$15:$E$15,$B$3)*$H$4)</f>
        <v>0</v>
      </c>
      <c r="O50" s="37" t="n">
        <f aca="false">SUM(C50:N50)</f>
        <v>0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1271.18644067797</v>
      </c>
      <c r="E51" s="8" t="n">
        <f aca="false">E32*MAX(0,E46-INDEX(Assumptions!$C$18:$E$18,$B$3)*$H$3)/(1+INDEX(Assumptions!$C$15:$E$15,$B$3)*$H$4)</f>
        <v>1423.72595567614</v>
      </c>
      <c r="F51" s="8" t="n">
        <f aca="false">F32*MAX(0,F46-INDEX(Assumptions!$C$18:$E$18,$B$3)*$H$3)/(1+INDEX(Assumptions!$C$15:$E$15,$B$3)*$H$4)</f>
        <v>1416.60696866236</v>
      </c>
      <c r="G51" s="8" t="n">
        <f aca="false">G32*MAX(0,G46-INDEX(Assumptions!$C$18:$E$18,$B$3)*$H$3)/(1+INDEX(Assumptions!$C$15:$E$15,$B$3)*$H$4)</f>
        <v>2167.4490915742</v>
      </c>
      <c r="H51" s="8" t="n">
        <f aca="false">H32*MAX(0,H46-INDEX(Assumptions!$C$18:$E$18,$B$3)*$H$3)/(1+INDEX(Assumptions!$C$15:$E$15,$B$3)*$H$4)</f>
        <v>2664.14156810145</v>
      </c>
      <c r="I51" s="8" t="n">
        <f aca="false">I32*MAX(0,I46-INDEX(Assumptions!$C$18:$E$18,$B$3)*$H$3)/(1+INDEX(Assumptions!$C$15:$E$15,$B$3)*$H$4)</f>
        <v>3119.05560297525</v>
      </c>
      <c r="J51" s="8" t="n">
        <f aca="false">J32*MAX(0,J46-INDEX(Assumptions!$C$18:$E$18,$B$3)*$H$3)/(1+INDEX(Assumptions!$C$15:$E$15,$B$3)*$H$4)</f>
        <v>4261.34008047799</v>
      </c>
      <c r="K51" s="8" t="n">
        <f aca="false">K32*MAX(0,K46-INDEX(Assumptions!$C$18:$E$18,$B$3)*$H$3)/(1+INDEX(Assumptions!$C$15:$E$15,$B$3)*$H$4)</f>
        <v>4425.23777588099</v>
      </c>
      <c r="L51" s="8" t="n">
        <f aca="false">L32*MAX(0,L46-INDEX(Assumptions!$C$18:$E$18,$B$3)*$H$3)/(1+INDEX(Assumptions!$C$15:$E$15,$B$3)*$H$4)</f>
        <v>14341.0483477625</v>
      </c>
      <c r="M51" s="8" t="n">
        <f aca="false">M32*MAX(0,M46-INDEX(Assumptions!$C$18:$E$18,$B$3)*$H$3)/(1+INDEX(Assumptions!$C$15:$E$15,$B$3)*$H$4)</f>
        <v>12620.122546031</v>
      </c>
      <c r="N51" s="8" t="n">
        <f aca="false">N32*MAX(0,N46-INDEX(Assumptions!$C$18:$E$18,$B$3)*$H$3)/(1+INDEX(Assumptions!$C$15:$E$15,$B$3)*$H$4)</f>
        <v>12046.4806121205</v>
      </c>
      <c r="O51" s="37" t="n">
        <f aca="false">SUM(C51:N51)</f>
        <v>59756.3949899403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15254.2372881356</v>
      </c>
      <c r="D52" s="8" t="n">
        <f aca="false">D31*INDEX(Assumptions!$C$18:$E$18,$B$3)*$H$3/(1+INDEX(Assumptions!$C$15:$E$15,$B$3)*$H$4)</f>
        <v>17084.7114681136</v>
      </c>
      <c r="E52" s="8" t="n">
        <f aca="false">E31*INDEX(Assumptions!$C$18:$E$18,$B$3)*$H$3/(1+INDEX(Assumptions!$C$15:$E$15,$B$3)*$H$4)</f>
        <v>16999.2836239483</v>
      </c>
      <c r="F52" s="8" t="n">
        <f aca="false">F31*INDEX(Assumptions!$C$18:$E$18,$B$3)*$H$3/(1+INDEX(Assumptions!$C$15:$E$15,$B$3)*$H$4)</f>
        <v>26009.3890988904</v>
      </c>
      <c r="G52" s="8" t="n">
        <f aca="false">G31*INDEX(Assumptions!$C$18:$E$18,$B$3)*$H$3/(1+INDEX(Assumptions!$C$15:$E$15,$B$3)*$H$4)</f>
        <v>31969.6988172174</v>
      </c>
      <c r="H52" s="8" t="n">
        <f aca="false">H31*INDEX(Assumptions!$C$18:$E$18,$B$3)*$H$3/(1+INDEX(Assumptions!$C$15:$E$15,$B$3)*$H$4)</f>
        <v>37428.667235703</v>
      </c>
      <c r="I52" s="8" t="n">
        <f aca="false">I31*INDEX(Assumptions!$C$18:$E$18,$B$3)*$H$3/(1+INDEX(Assumptions!$C$15:$E$15,$B$3)*$H$4)</f>
        <v>51136.0809657359</v>
      </c>
      <c r="J52" s="8" t="n">
        <f aca="false">J31*INDEX(Assumptions!$C$18:$E$18,$B$3)*$H$3/(1+INDEX(Assumptions!$C$15:$E$15,$B$3)*$H$4)</f>
        <v>53102.8533105719</v>
      </c>
      <c r="K52" s="8" t="n">
        <f aca="false">K31*INDEX(Assumptions!$C$18:$E$18,$B$3)*$H$3/(1+INDEX(Assumptions!$C$15:$E$15,$B$3)*$H$4)</f>
        <v>49169.3086208999</v>
      </c>
      <c r="L52" s="8" t="n">
        <f aca="false">L31*INDEX(Assumptions!$C$18:$E$18,$B$3)*$H$3/(1+INDEX(Assumptions!$C$15:$E$15,$B$3)*$H$4)</f>
        <v>43268.9915863919</v>
      </c>
      <c r="M52" s="8" t="n">
        <f aca="false">M31*INDEX(Assumptions!$C$18:$E$18,$B$3)*$H$3/(1+INDEX(Assumptions!$C$15:$E$15,$B$3)*$H$4)</f>
        <v>41302.2192415559</v>
      </c>
      <c r="N52" s="8" t="n">
        <f aca="false">N31*INDEX(Assumptions!$C$18:$E$18,$B$3)*$H$3/(1+INDEX(Assumptions!$C$15:$E$15,$B$3)*$H$4)</f>
        <v>39335.4468967199</v>
      </c>
      <c r="O52" s="37" t="n">
        <f aca="false">SUM(C52:N52)</f>
        <v>422060.888153884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1591.62711864407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1782.61879458298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1773.70525332277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2713.81965857822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3335.71837458847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3905.30713937325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5335.53868796488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5540.75171442507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5130.3256615047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4514.68658212413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4309.47355566394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4104.26052920376</v>
      </c>
      <c r="O53" s="37" t="n">
        <f aca="false">SUM(C53:N53)</f>
        <v>44037.8330699762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6355.93220338983</v>
      </c>
      <c r="F54" s="8" t="n">
        <f aca="false">F39*INDEX(Assumptions!$C$21:$E$21,$B$3)*$H$3/(1+INDEX(Assumptions!$C$15:$E$15,$B$3)*$H$4)</f>
        <v>12711.8644067797</v>
      </c>
      <c r="G54" s="8" t="n">
        <f aca="false">G39*INDEX(Assumptions!$C$21:$E$21,$B$3)*$H$3/(1+INDEX(Assumptions!$C$15:$E$15,$B$3)*$H$4)</f>
        <v>19067.7966101695</v>
      </c>
      <c r="H54" s="8" t="n">
        <f aca="false">H39*INDEX(Assumptions!$C$21:$E$21,$B$3)*$H$3/(1+INDEX(Assumptions!$C$15:$E$15,$B$3)*$H$4)</f>
        <v>25423.7288135593</v>
      </c>
      <c r="I54" s="8" t="n">
        <f aca="false">I39*INDEX(Assumptions!$C$21:$E$21,$B$3)*$H$3/(1+INDEX(Assumptions!$C$15:$E$15,$B$3)*$H$4)</f>
        <v>31779.6610169492</v>
      </c>
      <c r="J54" s="8" t="n">
        <f aca="false">J39*INDEX(Assumptions!$C$21:$E$21,$B$3)*$H$3/(1+INDEX(Assumptions!$C$15:$E$15,$B$3)*$H$4)</f>
        <v>38135.593220339</v>
      </c>
      <c r="K54" s="8" t="n">
        <f aca="false">K39*INDEX(Assumptions!$C$21:$E$21,$B$3)*$H$3/(1+INDEX(Assumptions!$C$15:$E$15,$B$3)*$H$4)</f>
        <v>38135.593220339</v>
      </c>
      <c r="L54" s="8" t="n">
        <f aca="false">L39*INDEX(Assumptions!$C$21:$E$21,$B$3)*$H$3/(1+INDEX(Assumptions!$C$15:$E$15,$B$3)*$H$4)</f>
        <v>38135.593220339</v>
      </c>
      <c r="M54" s="8" t="n">
        <f aca="false">M39*INDEX(Assumptions!$C$21:$E$21,$B$3)*$H$3/(1+INDEX(Assumptions!$C$15:$E$15,$B$3)*$H$4)</f>
        <v>38135.593220339</v>
      </c>
      <c r="N54" s="8" t="n">
        <f aca="false">N39*INDEX(Assumptions!$C$21:$E$21,$B$3)*$H$3/(1+INDEX(Assumptions!$C$15:$E$15,$B$3)*$H$4)</f>
        <v>38135.593220339</v>
      </c>
      <c r="O54" s="37" t="n">
        <f aca="false">SUM(C54:N54)</f>
        <v>286016.949152542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11864.406779661</v>
      </c>
      <c r="D55" s="8" t="n">
        <f aca="false">D40*INDEX(Assumptions!$C$22:$E$22,$B$3)*$H$3/(1+INDEX(Assumptions!$C$15:$E$15,$B$3)*$H$4)</f>
        <v>20338.9830508475</v>
      </c>
      <c r="E55" s="8" t="n">
        <f aca="false">E40*INDEX(Assumptions!$C$22:$E$22,$B$3)*$H$3/(1+INDEX(Assumptions!$C$15:$E$15,$B$3)*$H$4)</f>
        <v>30508.4745762712</v>
      </c>
      <c r="F55" s="8" t="n">
        <f aca="false">F40*INDEX(Assumptions!$C$22:$E$22,$B$3)*$H$3/(1+INDEX(Assumptions!$C$15:$E$15,$B$3)*$H$4)</f>
        <v>33050.8474576271</v>
      </c>
      <c r="G55" s="8" t="n">
        <f aca="false">G40*INDEX(Assumptions!$C$22:$E$22,$B$3)*$H$3/(1+INDEX(Assumptions!$C$15:$E$15,$B$3)*$H$4)</f>
        <v>22881.3559322034</v>
      </c>
      <c r="H55" s="8" t="n">
        <f aca="false">H40*INDEX(Assumptions!$C$22:$E$22,$B$3)*$H$3/(1+INDEX(Assumptions!$C$15:$E$15,$B$3)*$H$4)</f>
        <v>20338.9830508475</v>
      </c>
      <c r="I55" s="8" t="n">
        <f aca="false">I40*INDEX(Assumptions!$C$22:$E$22,$B$3)*$H$3/(1+INDEX(Assumptions!$C$15:$E$15,$B$3)*$H$4)</f>
        <v>17796.6101694915</v>
      </c>
      <c r="J55" s="8" t="n">
        <f aca="false">J40*INDEX(Assumptions!$C$22:$E$22,$B$3)*$H$3/(1+INDEX(Assumptions!$C$15:$E$15,$B$3)*$H$4)</f>
        <v>15254.2372881356</v>
      </c>
      <c r="K55" s="8" t="n">
        <f aca="false">K40*INDEX(Assumptions!$C$22:$E$22,$B$3)*$H$3/(1+INDEX(Assumptions!$C$15:$E$15,$B$3)*$H$4)</f>
        <v>15254.2372881356</v>
      </c>
      <c r="L55" s="8" t="n">
        <f aca="false">L40*INDEX(Assumptions!$C$22:$E$22,$B$3)*$H$3/(1+INDEX(Assumptions!$C$15:$E$15,$B$3)*$H$4)</f>
        <v>20338.9830508475</v>
      </c>
      <c r="M55" s="8" t="n">
        <f aca="false">M40*INDEX(Assumptions!$C$22:$E$22,$B$3)*$H$3/(1+INDEX(Assumptions!$C$15:$E$15,$B$3)*$H$4)</f>
        <v>27966.1016949153</v>
      </c>
      <c r="N55" s="8" t="n">
        <f aca="false">N40*INDEX(Assumptions!$C$22:$E$22,$B$3)*$H$3/(1+INDEX(Assumptions!$C$15:$E$15,$B$3)*$H$4)</f>
        <v>35593.2203389831</v>
      </c>
      <c r="O55" s="37" t="n">
        <f aca="false">SUM(C55:N55)</f>
        <v>271186.440677966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0</v>
      </c>
      <c r="L56" s="8" t="n">
        <f aca="false">L43*INDEX(Assumptions!$C$83:$E$83,$B$3)/(1+INDEX(Assumptions!$C$15:$E$15,$B$3)*$H$4)</f>
        <v>0</v>
      </c>
      <c r="M56" s="8" t="n">
        <f aca="false">M43*INDEX(Assumptions!$C$83:$E$83,$B$3)/(1+INDEX(Assumptions!$C$15:$E$15,$B$3)*$H$4)</f>
        <v>0</v>
      </c>
      <c r="N56" s="8" t="n">
        <f aca="false">N43*INDEX(Assumptions!$C$83:$E$83,$B$3)/(1+INDEX(Assumptions!$C$15:$E$15,$B$3)*$H$4)</f>
        <v>0</v>
      </c>
      <c r="O56" s="37" t="n">
        <f aca="false">SUM(C56:N56)</f>
        <v>0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222.41313559322</v>
      </c>
      <c r="F57" s="8" t="n">
        <f aca="false">F44*INDEX(Assumptions!$C$23:$E$23,$B$3)/(1+INDEX(Assumptions!$C$15:$E$15,$B$3)*$H$4)</f>
        <v>444.826271186441</v>
      </c>
      <c r="G57" s="8" t="n">
        <f aca="false">G44*INDEX(Assumptions!$C$23:$E$23,$B$3)/(1+INDEX(Assumptions!$C$15:$E$15,$B$3)*$H$4)</f>
        <v>667.239406779661</v>
      </c>
      <c r="H57" s="8" t="n">
        <f aca="false">H44*INDEX(Assumptions!$C$23:$E$23,$B$3)/(1+INDEX(Assumptions!$C$15:$E$15,$B$3)*$H$4)</f>
        <v>889.652542372881</v>
      </c>
      <c r="I57" s="8" t="n">
        <f aca="false">I44*INDEX(Assumptions!$C$23:$E$23,$B$3)/(1+INDEX(Assumptions!$C$15:$E$15,$B$3)*$H$4)</f>
        <v>1112.0656779661</v>
      </c>
      <c r="J57" s="8" t="n">
        <f aca="false">J44*INDEX(Assumptions!$C$23:$E$23,$B$3)/(1+INDEX(Assumptions!$C$15:$E$15,$B$3)*$H$4)</f>
        <v>1334.47881355932</v>
      </c>
      <c r="K57" s="8" t="n">
        <f aca="false">K44*INDEX(Assumptions!$C$23:$E$23,$B$3)/(1+INDEX(Assumptions!$C$15:$E$15,$B$3)*$H$4)</f>
        <v>1334.47881355932</v>
      </c>
      <c r="L57" s="8" t="n">
        <f aca="false">L44*INDEX(Assumptions!$C$23:$E$23,$B$3)/(1+INDEX(Assumptions!$C$15:$E$15,$B$3)*$H$4)</f>
        <v>1334.47881355932</v>
      </c>
      <c r="M57" s="8" t="n">
        <f aca="false">M44*INDEX(Assumptions!$C$23:$E$23,$B$3)/(1+INDEX(Assumptions!$C$15:$E$15,$B$3)*$H$4)</f>
        <v>1334.47881355932</v>
      </c>
      <c r="N57" s="8" t="n">
        <f aca="false">N44*INDEX(Assumptions!$C$23:$E$23,$B$3)/(1+INDEX(Assumptions!$C$15:$E$15,$B$3)*$H$4)</f>
        <v>1334.47881355932</v>
      </c>
      <c r="O57" s="37" t="n">
        <f aca="false">SUM(C57:N57)</f>
        <v>10008.5911016949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0</v>
      </c>
      <c r="J58" s="8" t="n">
        <f aca="false">(J29+J30)*(1-J47)*INDEX(Assumptions!$C$90:$E$90,$B$3)</f>
        <v>0</v>
      </c>
      <c r="K58" s="8" t="n">
        <f aca="false">(K29+K30)*(1-K47)*INDEX(Assumptions!$C$90:$E$90,$B$3)</f>
        <v>0</v>
      </c>
      <c r="L58" s="8" t="n">
        <f aca="false">(L29+L30)*(1-L47)*INDEX(Assumptions!$C$90:$E$90,$B$3)</f>
        <v>1021.14820143885</v>
      </c>
      <c r="M58" s="8" t="n">
        <f aca="false">(M29+M30)*(1-M47)*INDEX(Assumptions!$C$90:$E$90,$B$3)</f>
        <v>974.73237410072</v>
      </c>
      <c r="N58" s="8" t="n">
        <f aca="false">(N29+N30)*(1-N47)*INDEX(Assumptions!$C$90:$E$90,$B$3)</f>
        <v>928.31654676259</v>
      </c>
      <c r="O58" s="37" t="n">
        <f aca="false">SUM(C58:N58)</f>
        <v>2924.19712230216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49049.2542372881</v>
      </c>
      <c r="D59" s="37" t="n">
        <f aca="false">SUM(D49:D58)</f>
        <v>63257.1150450403</v>
      </c>
      <c r="E59" s="37" t="n">
        <f aca="false">SUM(E49:E58)</f>
        <v>79949.2462467992</v>
      </c>
      <c r="F59" s="37" t="n">
        <f aca="false">SUM(F49:F58)</f>
        <v>111026.539326911</v>
      </c>
      <c r="G59" s="37" t="n">
        <f aca="false">SUM(G49:G58)</f>
        <v>122715.523322156</v>
      </c>
      <c r="H59" s="37" t="n">
        <f aca="false">SUM(H49:H58)</f>
        <v>140555.369997561</v>
      </c>
      <c r="I59" s="37" t="n">
        <f aca="false">SUM(I49:I58)</f>
        <v>178460.453408731</v>
      </c>
      <c r="J59" s="37" t="n">
        <f aca="false">SUM(J49:J58)</f>
        <v>188433.058841605</v>
      </c>
      <c r="K59" s="37" t="n">
        <f aca="false">SUM(K49:K58)</f>
        <v>179008.259541519</v>
      </c>
      <c r="L59" s="37" t="n">
        <f aca="false">SUM(L49:L58)</f>
        <v>216704.411572979</v>
      </c>
      <c r="M59" s="37" t="n">
        <f aca="false">SUM(M49:M58)</f>
        <v>216130.863136203</v>
      </c>
      <c r="N59" s="37" t="n">
        <f aca="false">SUM(N49:N58)</f>
        <v>216704.598567248</v>
      </c>
      <c r="O59" s="31" t="n">
        <f aca="false">SUM(C59:N59)</f>
        <v>1761994.69324404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35593.2203389831</v>
      </c>
      <c r="D60" s="8" t="n">
        <f aca="false">D49+D50+D51+D52</f>
        <v>41135.5131996098</v>
      </c>
      <c r="E60" s="8" t="n">
        <f aca="false">E49+E50+E51+E52</f>
        <v>41088.7210782222</v>
      </c>
      <c r="F60" s="8" t="n">
        <f aca="false">F49+F50+F51+F52</f>
        <v>62105.1815327399</v>
      </c>
      <c r="G60" s="8" t="n">
        <f aca="false">G49+G50+G51+G52</f>
        <v>76763.4129984148</v>
      </c>
      <c r="H60" s="8" t="n">
        <f aca="false">H49+H50+H51+H52</f>
        <v>89997.6984514084</v>
      </c>
      <c r="I60" s="8" t="n">
        <f aca="false">I49+I50+I51+I52</f>
        <v>122436.577856359</v>
      </c>
      <c r="J60" s="8" t="n">
        <f aca="false">J49+J50+J51+J52</f>
        <v>128167.997805146</v>
      </c>
      <c r="K60" s="8" t="n">
        <f aca="false">K49+K50+K51+K52</f>
        <v>119153.624557981</v>
      </c>
      <c r="L60" s="8" t="n">
        <f aca="false">L49+L50+L51+L52</f>
        <v>151359.52170467</v>
      </c>
      <c r="M60" s="8" t="n">
        <f aca="false">M49+M50+M51+M52</f>
        <v>143410.483477625</v>
      </c>
      <c r="N60" s="8" t="n">
        <f aca="false">N49+N50+N51+N52</f>
        <v>136608.7291184</v>
      </c>
      <c r="O60" s="37" t="n">
        <f aca="false">SUM(C60:N60)</f>
        <v>1147820.68211956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4200</v>
      </c>
      <c r="D62" s="8" t="n">
        <f aca="false">((D29+D32)*INDEX(Assumptions!$C$91:$E$91,$B$3)+D30*INDEX(Assumptions!$C$93:$E$93,$B$3))*$N$3</f>
        <v>5753.99055755396</v>
      </c>
      <c r="E62" s="8" t="n">
        <f aca="false">((E29+E32)*INDEX(Assumptions!$C$91:$E$91,$B$3)+E30*INDEX(Assumptions!$C$93:$E$93,$B$3))*$N$3</f>
        <v>5856.46706384892</v>
      </c>
      <c r="F62" s="8" t="n">
        <f aca="false">((F29+F32)*INDEX(Assumptions!$C$91:$E$91,$B$3)+F30*INDEX(Assumptions!$C$93:$E$93,$B$3))*$N$3</f>
        <v>8331.36915467626</v>
      </c>
      <c r="G62" s="8" t="n">
        <f aca="false">((G29+G32)*INDEX(Assumptions!$C$91:$E$91,$B$3)+G30*INDEX(Assumptions!$C$93:$E$93,$B$3))*$N$3</f>
        <v>10592.6366906475</v>
      </c>
      <c r="H62" s="8" t="n">
        <f aca="false">((H29+H32)*INDEX(Assumptions!$C$91:$E$91,$B$3)+H30*INDEX(Assumptions!$C$93:$E$93,$B$3))*$N$3</f>
        <v>12505.940647482</v>
      </c>
      <c r="I62" s="8" t="n">
        <f aca="false">((I29+I32)*INDEX(Assumptions!$C$91:$E$91,$B$3)+I30*INDEX(Assumptions!$C$93:$E$93,$B$3))*$N$3</f>
        <v>16655.8075539568</v>
      </c>
      <c r="J62" s="8" t="n">
        <f aca="false">((J29+J32)*INDEX(Assumptions!$C$91:$E$91,$B$3)+J30*INDEX(Assumptions!$C$93:$E$93,$B$3))*$N$3</f>
        <v>18140.8525179856</v>
      </c>
      <c r="K62" s="8" t="n">
        <f aca="false">((K29+K32)*INDEX(Assumptions!$C$91:$E$91,$B$3)+K30*INDEX(Assumptions!$C$93:$E$93,$B$3))*$N$3</f>
        <v>17193.1960431655</v>
      </c>
      <c r="L62" s="8" t="n">
        <f aca="false">((L29+L32)*INDEX(Assumptions!$C$91:$E$91,$B$3)+L30*INDEX(Assumptions!$C$93:$E$93,$B$3))*$N$3</f>
        <v>15297.8830935252</v>
      </c>
      <c r="M62" s="8" t="n">
        <f aca="false">((M29+M32)*INDEX(Assumptions!$C$91:$E$91,$B$3)+M30*INDEX(Assumptions!$C$93:$E$93,$B$3))*$N$3</f>
        <v>14350.226618705</v>
      </c>
      <c r="N62" s="8" t="n">
        <f aca="false">((N29+N32)*INDEX(Assumptions!$C$91:$E$91,$B$3)+N30*INDEX(Assumptions!$C$93:$E$93,$B$3))*$N$3</f>
        <v>13673.3291366907</v>
      </c>
      <c r="O62" s="37" t="n">
        <f aca="false">SUM(C62:N62)</f>
        <v>142551.699078237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9000</v>
      </c>
      <c r="D63" s="8" t="n">
        <f aca="false">(D29+D30)*D47*INDEX(Assumptions!$C$14:$E$14,$B$3)*$N$3</f>
        <v>10079.9797661871</v>
      </c>
      <c r="E63" s="8" t="n">
        <f aca="false">(E29+E30)*E47*INDEX(Assumptions!$C$14:$E$14,$B$3)*$N$3</f>
        <v>10029.5773381295</v>
      </c>
      <c r="F63" s="8" t="n">
        <f aca="false">(F29+F30)*F47*INDEX(Assumptions!$C$14:$E$14,$B$3)*$N$3</f>
        <v>15345.5395683453</v>
      </c>
      <c r="G63" s="8" t="n">
        <f aca="false">(G29+G30)*G47*INDEX(Assumptions!$C$14:$E$14,$B$3)*$N$3</f>
        <v>18862.1223021583</v>
      </c>
      <c r="H63" s="8" t="n">
        <f aca="false">(H29+H30)*H47*INDEX(Assumptions!$C$14:$E$14,$B$3)*$N$3</f>
        <v>22082.9136690648</v>
      </c>
      <c r="I63" s="8" t="n">
        <f aca="false">(I29+I30)*I47*INDEX(Assumptions!$C$14:$E$14,$B$3)*$N$3</f>
        <v>30170.2877697842</v>
      </c>
      <c r="J63" s="8" t="n">
        <f aca="false">(J29+J30)*J47*INDEX(Assumptions!$C$14:$E$14,$B$3)*$N$3</f>
        <v>31330.6834532374</v>
      </c>
      <c r="K63" s="8" t="n">
        <f aca="false">(K29+K30)*K47*INDEX(Assumptions!$C$14:$E$14,$B$3)*$N$3</f>
        <v>29009.8920863309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175910.995953237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1500</v>
      </c>
      <c r="D64" s="8" t="n">
        <f aca="false">D31*INDEX(Assumptions!$C$92:$E$92,$B$3)*$N$3</f>
        <v>1679.99662769784</v>
      </c>
      <c r="E64" s="8" t="n">
        <f aca="false">E31*INDEX(Assumptions!$C$92:$E$92,$B$3)*$N$3</f>
        <v>1671.59622302158</v>
      </c>
      <c r="F64" s="8" t="n">
        <f aca="false">F31*INDEX(Assumptions!$C$92:$E$92,$B$3)*$N$3</f>
        <v>2557.58992805755</v>
      </c>
      <c r="G64" s="8" t="n">
        <f aca="false">G31*INDEX(Assumptions!$C$92:$E$92,$B$3)*$N$3</f>
        <v>3143.68705035971</v>
      </c>
      <c r="H64" s="8" t="n">
        <f aca="false">H31*INDEX(Assumptions!$C$92:$E$92,$B$3)*$N$3</f>
        <v>3680.48561151079</v>
      </c>
      <c r="I64" s="8" t="n">
        <f aca="false">I31*INDEX(Assumptions!$C$92:$E$92,$B$3)*$N$3</f>
        <v>5028.38129496403</v>
      </c>
      <c r="J64" s="8" t="n">
        <f aca="false">J31*INDEX(Assumptions!$C$92:$E$92,$B$3)*$N$3</f>
        <v>5221.78057553957</v>
      </c>
      <c r="K64" s="8" t="n">
        <f aca="false">K31*INDEX(Assumptions!$C$92:$E$92,$B$3)*$N$3</f>
        <v>4834.98201438849</v>
      </c>
      <c r="L64" s="8" t="n">
        <f aca="false">L31*INDEX(Assumptions!$C$92:$E$92,$B$3)*$N$3</f>
        <v>4254.78417266187</v>
      </c>
      <c r="M64" s="8" t="n">
        <f aca="false">M31*INDEX(Assumptions!$C$92:$E$92,$B$3)*$N$3</f>
        <v>4061.38489208633</v>
      </c>
      <c r="N64" s="8" t="n">
        <f aca="false">N31*INDEX(Assumptions!$C$92:$E$92,$B$3)*$N$3</f>
        <v>3867.98561151079</v>
      </c>
      <c r="O64" s="37" t="n">
        <f aca="false">SUM(C64:N64)</f>
        <v>41502.6540017986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2933.33333333333</v>
      </c>
      <c r="D65" s="8" t="n">
        <f aca="false">(D39*INDEX(Assumptions!$C$94:$E$94,$B$3)+D40*INDEX(Assumptions!$C$95:$E$95,$B$3)+D41*INDEX(Assumptions!$C$96:$E$96,$B$3))*$N$3</f>
        <v>4671.99865107914</v>
      </c>
      <c r="E65" s="8" t="n">
        <f aca="false">(E39*INDEX(Assumptions!$C$94:$E$94,$B$3)+E40*INDEX(Assumptions!$C$95:$E$95,$B$3)+E41*INDEX(Assumptions!$C$96:$E$96,$B$3))*$N$3</f>
        <v>8468.63848920863</v>
      </c>
      <c r="F65" s="8" t="n">
        <f aca="false">(F39*INDEX(Assumptions!$C$94:$E$94,$B$3)+F40*INDEX(Assumptions!$C$95:$E$95,$B$3)+F41*INDEX(Assumptions!$C$96:$E$96,$B$3))*$N$3</f>
        <v>11123.035971223</v>
      </c>
      <c r="G65" s="8" t="n">
        <f aca="false">(G39*INDEX(Assumptions!$C$94:$E$94,$B$3)+G40*INDEX(Assumptions!$C$95:$E$95,$B$3)+G41*INDEX(Assumptions!$C$96:$E$96,$B$3))*$N$3</f>
        <v>11157.4748201439</v>
      </c>
      <c r="H65" s="8" t="n">
        <f aca="false">(H39*INDEX(Assumptions!$C$94:$E$94,$B$3)+H40*INDEX(Assumptions!$C$95:$E$95,$B$3)+H41*INDEX(Assumptions!$C$96:$E$96,$B$3))*$N$3</f>
        <v>12672.1942446043</v>
      </c>
      <c r="I65" s="8" t="n">
        <f aca="false">(I39*INDEX(Assumptions!$C$94:$E$94,$B$3)+I40*INDEX(Assumptions!$C$95:$E$95,$B$3)+I41*INDEX(Assumptions!$C$96:$E$96,$B$3))*$N$3</f>
        <v>14511.3525179856</v>
      </c>
      <c r="J65" s="8" t="n">
        <f aca="false">(J39*INDEX(Assumptions!$C$94:$E$94,$B$3)+J40*INDEX(Assumptions!$C$95:$E$95,$B$3)+J41*INDEX(Assumptions!$C$96:$E$96,$B$3))*$N$3</f>
        <v>15888.7122302158</v>
      </c>
      <c r="K65" s="8" t="n">
        <f aca="false">(K39*INDEX(Assumptions!$C$94:$E$94,$B$3)+K40*INDEX(Assumptions!$C$95:$E$95,$B$3)+K41*INDEX(Assumptions!$C$96:$E$96,$B$3))*$N$3</f>
        <v>15733.9928057554</v>
      </c>
      <c r="L65" s="8" t="n">
        <f aca="false">(L39*INDEX(Assumptions!$C$94:$E$94,$B$3)+L40*INDEX(Assumptions!$C$95:$E$95,$B$3)+L41*INDEX(Assumptions!$C$96:$E$96,$B$3))*$N$3</f>
        <v>16501.9136690648</v>
      </c>
      <c r="M65" s="8" t="n">
        <f aca="false">(M39*INDEX(Assumptions!$C$94:$E$94,$B$3)+M40*INDEX(Assumptions!$C$95:$E$95,$B$3)+M41*INDEX(Assumptions!$C$96:$E$96,$B$3))*$N$3</f>
        <v>17924.5539568345</v>
      </c>
      <c r="N65" s="8" t="n">
        <f aca="false">(N39*INDEX(Assumptions!$C$94:$E$94,$B$3)+N40*INDEX(Assumptions!$C$95:$E$95,$B$3)+N41*INDEX(Assumptions!$C$96:$E$96,$B$3))*$N$3</f>
        <v>19347.1942446043</v>
      </c>
      <c r="O65" s="37" t="n">
        <f aca="false">SUM(C65:N65)</f>
        <v>150934.394934053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0</v>
      </c>
      <c r="L66" s="8" t="n">
        <f aca="false">L42*INDEX(Assumptions!$C$84:$E$84,$B$3)</f>
        <v>0</v>
      </c>
      <c r="M66" s="8" t="n">
        <f aca="false">M42*INDEX(Assumptions!$C$84:$E$84,$B$3)</f>
        <v>0</v>
      </c>
      <c r="N66" s="8" t="n">
        <f aca="false">N42*INDEX(Assumptions!$C$84:$E$84,$B$3)</f>
        <v>0</v>
      </c>
      <c r="O66" s="37" t="n">
        <f aca="false">SUM(C66:N66)</f>
        <v>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131.25</v>
      </c>
      <c r="F67" s="8" t="n">
        <f aca="false">F44*INDEX(Assumptions!$C$97:$E$97,$B$3)</f>
        <v>262.5</v>
      </c>
      <c r="G67" s="8" t="n">
        <f aca="false">G44*INDEX(Assumptions!$C$97:$E$97,$B$3)</f>
        <v>393.75</v>
      </c>
      <c r="H67" s="8" t="n">
        <f aca="false">H44*INDEX(Assumptions!$C$97:$E$97,$B$3)</f>
        <v>525</v>
      </c>
      <c r="I67" s="8" t="n">
        <f aca="false">I44*INDEX(Assumptions!$C$97:$E$97,$B$3)</f>
        <v>656.25</v>
      </c>
      <c r="J67" s="8" t="n">
        <f aca="false">J44*INDEX(Assumptions!$C$97:$E$97,$B$3)</f>
        <v>787.5</v>
      </c>
      <c r="K67" s="8" t="n">
        <f aca="false">K44*INDEX(Assumptions!$C$97:$E$97,$B$3)</f>
        <v>787.5</v>
      </c>
      <c r="L67" s="8" t="n">
        <f aca="false">L44*INDEX(Assumptions!$C$97:$E$97,$B$3)</f>
        <v>787.5</v>
      </c>
      <c r="M67" s="8" t="n">
        <f aca="false">M44*INDEX(Assumptions!$C$97:$E$97,$B$3)</f>
        <v>787.5</v>
      </c>
      <c r="N67" s="8" t="n">
        <f aca="false">N44*INDEX(Assumptions!$C$97:$E$97,$B$3)</f>
        <v>787.5</v>
      </c>
      <c r="O67" s="37" t="n">
        <f aca="false">SUM(C67:N67)</f>
        <v>5906.25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2229.07488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2784.73960958633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3259.05642057086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4635.02782125612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5325.28401616691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6151.62906753957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7998.71056211799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8436.61469402015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7959.86615841727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10601.2078296317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10337.8973569669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10154.4607871799</v>
      </c>
      <c r="O68" s="37" t="n">
        <f aca="false">SUM(C68:N68)</f>
        <v>79873.5692034536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1343.99730215827</v>
      </c>
      <c r="E69" s="8" t="n">
        <f aca="false">E33*INDEX(Assumptions!$C$198:$E$198,$B$3)*INDEX(Assumptions!$C$69:$E$69,$B$3)</f>
        <v>1337.27697841727</v>
      </c>
      <c r="F69" s="8" t="n">
        <f aca="false">F33*INDEX(Assumptions!$C$198:$E$198,$B$3)*INDEX(Assumptions!$C$69:$E$69,$B$3)</f>
        <v>2046.07194244604</v>
      </c>
      <c r="G69" s="8" t="n">
        <f aca="false">G33*INDEX(Assumptions!$C$198:$E$198,$B$3)*INDEX(Assumptions!$C$69:$E$69,$B$3)</f>
        <v>2514.94964028777</v>
      </c>
      <c r="H69" s="8" t="n">
        <f aca="false">H33*INDEX(Assumptions!$C$198:$E$198,$B$3)*INDEX(Assumptions!$C$69:$E$69,$B$3)</f>
        <v>2944.38848920863</v>
      </c>
      <c r="I69" s="8" t="n">
        <f aca="false">I33*INDEX(Assumptions!$C$198:$E$198,$B$3)*INDEX(Assumptions!$C$69:$E$69,$B$3)</f>
        <v>4022.70503597122</v>
      </c>
      <c r="J69" s="8" t="n">
        <f aca="false">J33*INDEX(Assumptions!$C$198:$E$198,$B$3)*INDEX(Assumptions!$C$69:$E$69,$B$3)</f>
        <v>4177.42446043166</v>
      </c>
      <c r="K69" s="8" t="n">
        <f aca="false">K33*INDEX(Assumptions!$C$198:$E$198,$B$3)*INDEX(Assumptions!$C$69:$E$69,$B$3)</f>
        <v>3867.98561151079</v>
      </c>
      <c r="L69" s="8" t="n">
        <f aca="false">L33*INDEX(Assumptions!$C$198:$E$198,$B$3)*INDEX(Assumptions!$C$69:$E$69,$B$3)</f>
        <v>3403.8273381295</v>
      </c>
      <c r="M69" s="8" t="n">
        <f aca="false">M33*INDEX(Assumptions!$C$198:$E$198,$B$3)*INDEX(Assumptions!$C$69:$E$69,$B$3)</f>
        <v>3249.10791366907</v>
      </c>
      <c r="N69" s="8" t="n">
        <f aca="false">N33*INDEX(Assumptions!$C$198:$E$198,$B$3)*INDEX(Assumptions!$C$69:$E$69,$B$3)</f>
        <v>3094.38848920863</v>
      </c>
      <c r="O69" s="37" t="n">
        <f aca="false">SUM(C69:N69)</f>
        <v>33202.1232014389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21062.4082133333</v>
      </c>
      <c r="D70" s="37" t="n">
        <f aca="false">SUM(D62:D69)</f>
        <v>26314.7025142626</v>
      </c>
      <c r="E70" s="37" t="n">
        <f aca="false">SUM(E62:E69)</f>
        <v>30753.8625131968</v>
      </c>
      <c r="F70" s="37" t="n">
        <f aca="false">SUM(F62:F69)</f>
        <v>44301.1343860043</v>
      </c>
      <c r="G70" s="37" t="n">
        <f aca="false">SUM(G62:G69)</f>
        <v>51989.904519764</v>
      </c>
      <c r="H70" s="37" t="n">
        <f aca="false">SUM(H62:H69)</f>
        <v>60562.5517294101</v>
      </c>
      <c r="I70" s="37" t="n">
        <f aca="false">SUM(I62:I69)</f>
        <v>79043.4947347799</v>
      </c>
      <c r="J70" s="37" t="n">
        <f aca="false">SUM(J62:J69)</f>
        <v>83983.5679314302</v>
      </c>
      <c r="K70" s="37" t="n">
        <f aca="false">SUM(K62:K69)</f>
        <v>79387.4147195684</v>
      </c>
      <c r="L70" s="37" t="n">
        <f aca="false">SUM(L62:L69)</f>
        <v>50847.116103013</v>
      </c>
      <c r="M70" s="37" t="n">
        <f aca="false">SUM(M62:M69)</f>
        <v>50710.6707382619</v>
      </c>
      <c r="N70" s="37" t="n">
        <f aca="false">SUM(N62:N69)</f>
        <v>50924.8582691943</v>
      </c>
      <c r="O70" s="31" t="n">
        <f aca="false">SUM(C70:N70)</f>
        <v>629881.686372219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27986.8460239548</v>
      </c>
      <c r="D71" s="37" t="n">
        <f aca="false">D59-D70</f>
        <v>36942.4125307777</v>
      </c>
      <c r="E71" s="37" t="n">
        <f aca="false">E59-E70</f>
        <v>49195.3837336024</v>
      </c>
      <c r="F71" s="37" t="n">
        <f aca="false">F59-F70</f>
        <v>66725.404940907</v>
      </c>
      <c r="G71" s="37" t="n">
        <f aca="false">G59-G70</f>
        <v>70725.6188023918</v>
      </c>
      <c r="H71" s="37" t="n">
        <f aca="false">H59-H70</f>
        <v>79992.8182681512</v>
      </c>
      <c r="I71" s="37" t="n">
        <f aca="false">I59-I70</f>
        <v>99416.9586739508</v>
      </c>
      <c r="J71" s="37" t="n">
        <f aca="false">J59-J70</f>
        <v>104449.490910174</v>
      </c>
      <c r="K71" s="37" t="n">
        <f aca="false">K59-K70</f>
        <v>99620.844821951</v>
      </c>
      <c r="L71" s="37" t="n">
        <f aca="false">L59-L70</f>
        <v>165857.295469966</v>
      </c>
      <c r="M71" s="37" t="n">
        <f aca="false">M59-M70</f>
        <v>165420.192397941</v>
      </c>
      <c r="N71" s="37" t="n">
        <f aca="false">N59-N70</f>
        <v>165779.740298054</v>
      </c>
      <c r="O71" s="31" t="n">
        <f aca="false">SUM(C71:N71)</f>
        <v>1132113.00687182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0.570586575864362</v>
      </c>
      <c r="D72" s="7" t="n">
        <f aca="false">IFERROR(D71/D59,0)</f>
        <v>0.5840040682297</v>
      </c>
      <c r="E72" s="7" t="n">
        <f aca="false">IFERROR(E71/E59,0)</f>
        <v>0.615332677205471</v>
      </c>
      <c r="F72" s="7" t="n">
        <f aca="false">IFERROR(F71/F59,0)</f>
        <v>0.600986082655768</v>
      </c>
      <c r="G72" s="7" t="n">
        <f aca="false">IFERROR(G71/G59,0)</f>
        <v>0.576337996104382</v>
      </c>
      <c r="H72" s="7" t="n">
        <f aca="false">IFERROR(H71/H59,0)</f>
        <v>0.56911961648665</v>
      </c>
      <c r="I72" s="7" t="n">
        <f aca="false">IFERROR(I71/I59,0)</f>
        <v>0.557081172747301</v>
      </c>
      <c r="J72" s="7" t="n">
        <f aca="false">IFERROR(J71/J59,0)</f>
        <v>0.554305553135312</v>
      </c>
      <c r="K72" s="7" t="n">
        <f aca="false">IFERROR(K71/K59,0)</f>
        <v>0.556515353409404</v>
      </c>
      <c r="L72" s="7" t="n">
        <f aca="false">IFERROR(L71/L59,0)</f>
        <v>0.765361878265735</v>
      </c>
      <c r="M72" s="7" t="n">
        <f aca="false">IFERROR(M71/M59,0)</f>
        <v>0.76537052597479</v>
      </c>
      <c r="N72" s="7" t="n">
        <f aca="false">IFERROR(N71/N59,0)</f>
        <v>0.765003333543053</v>
      </c>
      <c r="O72" s="13" t="n">
        <f aca="false">IFERROR(O71/O59,0)</f>
        <v>0.642517830055134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1</v>
      </c>
      <c r="H74" s="8" t="n">
        <f aca="false">ROUNDUP(H35/(INDEX(Assumptions!$C$102:$E$102,$B$3)*$J$3),0)</f>
        <v>1</v>
      </c>
      <c r="I74" s="8" t="n">
        <f aca="false">ROUNDUP(I35/(INDEX(Assumptions!$C$102:$E$102,$B$3)*$J$3),0)</f>
        <v>1</v>
      </c>
      <c r="J74" s="8" t="n">
        <f aca="false">ROUNDUP(J35/(INDEX(Assumptions!$C$102:$E$102,$B$3)*$J$3),0)</f>
        <v>2</v>
      </c>
      <c r="K74" s="8" t="n">
        <f aca="false">ROUNDUP(K35/(INDEX(Assumptions!$C$102:$E$102,$B$3)*$J$3),0)</f>
        <v>2</v>
      </c>
      <c r="L74" s="8" t="n">
        <f aca="false">ROUNDUP(L35/(INDEX(Assumptions!$C$102:$E$102,$B$3)*$J$3),0)</f>
        <v>2</v>
      </c>
      <c r="M74" s="8" t="n">
        <f aca="false">ROUNDUP(M35/(INDEX(Assumptions!$C$102:$E$102,$B$3)*$J$3),0)</f>
        <v>2</v>
      </c>
      <c r="N74" s="8" t="n">
        <f aca="false">ROUNDUP(N35/(INDEX(Assumptions!$C$102:$E$102,$B$3)*$J$3),0)</f>
        <v>1</v>
      </c>
      <c r="O74" s="37" t="n">
        <f aca="false">MAX(C74:N74)</f>
        <v>2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0.0666666666666667</v>
      </c>
      <c r="D75" s="6" t="n">
        <f aca="false">D74*(1-D11)</f>
        <v>0.133333333333333</v>
      </c>
      <c r="E75" s="6" t="n">
        <f aca="false">E74*(1-E11)</f>
        <v>0.2</v>
      </c>
      <c r="F75" s="6" t="n">
        <f aca="false">F74*(1-F11)</f>
        <v>0.266666666666667</v>
      </c>
      <c r="G75" s="6" t="n">
        <f aca="false">G74*(1-G11)</f>
        <v>0.333333333333333</v>
      </c>
      <c r="H75" s="6" t="n">
        <f aca="false">H74*(1-H11)</f>
        <v>0.4</v>
      </c>
      <c r="I75" s="6" t="n">
        <f aca="false">I74*(1-I11)</f>
        <v>0.433333333333333</v>
      </c>
      <c r="J75" s="6" t="n">
        <f aca="false">J74*(1-J11)</f>
        <v>0.933333333333333</v>
      </c>
      <c r="K75" s="6" t="n">
        <f aca="false">K74*(1-K11)</f>
        <v>1</v>
      </c>
      <c r="L75" s="6" t="n">
        <f aca="false">L74*(1-L11)</f>
        <v>1.06666666666667</v>
      </c>
      <c r="M75" s="6" t="n">
        <f aca="false">M74*(1-M11)</f>
        <v>1.13333333333333</v>
      </c>
      <c r="N75" s="6" t="n">
        <f aca="false">N74*(1-N11)</f>
        <v>0.6</v>
      </c>
      <c r="O75" s="39" t="n">
        <f aca="false">MAX(C75:N75)</f>
        <v>1.13333333333333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0</v>
      </c>
      <c r="E76" s="6" t="n">
        <f aca="false">IF(3&gt;=INDEX(Assumptions!$C$161:$E$161,$D$3),INDEX(Assumptions!$C$162:$E$162,$D$3),0)</f>
        <v>0.5</v>
      </c>
      <c r="F76" s="6" t="n">
        <f aca="false">IF(4&gt;=INDEX(Assumptions!$C$161:$E$161,$D$3),INDEX(Assumptions!$C$162:$E$162,$D$3),0)</f>
        <v>0.5</v>
      </c>
      <c r="G76" s="6" t="n">
        <f aca="false">IF(5&gt;=INDEX(Assumptions!$C$161:$E$161,$D$3),INDEX(Assumptions!$C$162:$E$162,$D$3),0)</f>
        <v>0.5</v>
      </c>
      <c r="H76" s="6" t="n">
        <f aca="false">IF(6&gt;=INDEX(Assumptions!$C$161:$E$161,$D$3),INDEX(Assumptions!$C$162:$E$162,$D$3),0)</f>
        <v>0.5</v>
      </c>
      <c r="I76" s="6" t="n">
        <f aca="false">IF(7&gt;=INDEX(Assumptions!$C$161:$E$161,$D$3),INDEX(Assumptions!$C$162:$E$162,$D$3),0)</f>
        <v>0.5</v>
      </c>
      <c r="J76" s="6" t="n">
        <f aca="false">IF(8&gt;=INDEX(Assumptions!$C$161:$E$161,$D$3),INDEX(Assumptions!$C$162:$E$162,$D$3),0)</f>
        <v>0.5</v>
      </c>
      <c r="K76" s="6" t="n">
        <f aca="false">IF(9&gt;=INDEX(Assumptions!$C$161:$E$161,$D$3),INDEX(Assumptions!$C$162:$E$162,$D$3),0)</f>
        <v>0.5</v>
      </c>
      <c r="L76" s="6" t="n">
        <f aca="false">IF(10&gt;=INDEX(Assumptions!$C$161:$E$161,$D$3),INDEX(Assumptions!$C$162:$E$162,$D$3),0)</f>
        <v>0.5</v>
      </c>
      <c r="M76" s="6" t="n">
        <f aca="false">IF(11&gt;=INDEX(Assumptions!$C$161:$E$161,$D$3),INDEX(Assumptions!$C$162:$E$162,$D$3),0)</f>
        <v>0.5</v>
      </c>
      <c r="N76" s="6" t="n">
        <f aca="false">IF(12&gt;=INDEX(Assumptions!$C$161:$E$161,$D$3),INDEX(Assumptions!$C$162:$E$162,$D$3),0)</f>
        <v>0.5</v>
      </c>
      <c r="O76" s="39" t="n">
        <f aca="false">N76</f>
        <v>0.5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1</v>
      </c>
      <c r="J78" s="8" t="n">
        <f aca="false">ROUNDUP(J74/2,0)</f>
        <v>1</v>
      </c>
      <c r="K78" s="8" t="n">
        <f aca="false">ROUNDUP(K74/2,0)</f>
        <v>1</v>
      </c>
      <c r="L78" s="8" t="n">
        <f aca="false">ROUNDUP(L74/2,0)</f>
        <v>1</v>
      </c>
      <c r="M78" s="8" t="n">
        <f aca="false">ROUNDUP(M74/2,0)</f>
        <v>1</v>
      </c>
      <c r="N78" s="8" t="n">
        <f aca="false">ROUNDUP(N74/2,0)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20000</v>
      </c>
      <c r="D79" s="8" t="n">
        <f aca="false">D76*INDEX(Assumptions!$C$98:$E$98,$B$3)+D77*INDEX(Assumptions!$C$99:$E$99,$B$3)+D78*INDEX(Assumptions!$C$100:$E$100,$B$3)</f>
        <v>20000</v>
      </c>
      <c r="E79" s="8" t="n">
        <f aca="false">E76*INDEX(Assumptions!$C$98:$E$98,$B$3)+E77*INDEX(Assumptions!$C$99:$E$99,$B$3)+E78*INDEX(Assumptions!$C$100:$E$100,$B$3)</f>
        <v>57500</v>
      </c>
      <c r="F79" s="8" t="n">
        <f aca="false">F76*INDEX(Assumptions!$C$98:$E$98,$B$3)+F77*INDEX(Assumptions!$C$99:$E$99,$B$3)+F78*INDEX(Assumptions!$C$100:$E$100,$B$3)</f>
        <v>57500</v>
      </c>
      <c r="G79" s="8" t="n">
        <f aca="false">G76*INDEX(Assumptions!$C$98:$E$98,$B$3)+G77*INDEX(Assumptions!$C$99:$E$99,$B$3)+G78*INDEX(Assumptions!$C$100:$E$100,$B$3)</f>
        <v>57500</v>
      </c>
      <c r="H79" s="8" t="n">
        <f aca="false">H76*INDEX(Assumptions!$C$98:$E$98,$B$3)+H77*INDEX(Assumptions!$C$99:$E$99,$B$3)+H78*INDEX(Assumptions!$C$100:$E$100,$B$3)</f>
        <v>57500</v>
      </c>
      <c r="I79" s="8" t="n">
        <f aca="false">I76*INDEX(Assumptions!$C$98:$E$98,$B$3)+I77*INDEX(Assumptions!$C$99:$E$99,$B$3)+I78*INDEX(Assumptions!$C$100:$E$100,$B$3)</f>
        <v>57500</v>
      </c>
      <c r="J79" s="8" t="n">
        <f aca="false">J76*INDEX(Assumptions!$C$98:$E$98,$B$3)+J77*INDEX(Assumptions!$C$99:$E$99,$B$3)+J78*INDEX(Assumptions!$C$100:$E$100,$B$3)</f>
        <v>57500</v>
      </c>
      <c r="K79" s="8" t="n">
        <f aca="false">K76*INDEX(Assumptions!$C$98:$E$98,$B$3)+K77*INDEX(Assumptions!$C$99:$E$99,$B$3)+K78*INDEX(Assumptions!$C$100:$E$100,$B$3)</f>
        <v>57500</v>
      </c>
      <c r="L79" s="8" t="n">
        <f aca="false">L76*INDEX(Assumptions!$C$98:$E$98,$B$3)+L77*INDEX(Assumptions!$C$99:$E$99,$B$3)+L78*INDEX(Assumptions!$C$100:$E$100,$B$3)</f>
        <v>57500</v>
      </c>
      <c r="M79" s="8" t="n">
        <f aca="false">M76*INDEX(Assumptions!$C$98:$E$98,$B$3)+M77*INDEX(Assumptions!$C$99:$E$99,$B$3)+M78*INDEX(Assumptions!$C$100:$E$100,$B$3)</f>
        <v>57500</v>
      </c>
      <c r="N79" s="8" t="n">
        <f aca="false">N76*INDEX(Assumptions!$C$98:$E$98,$B$3)+N77*INDEX(Assumptions!$C$99:$E$99,$B$3)+N78*INDEX(Assumptions!$C$100:$E$100,$B$3)</f>
        <v>57500</v>
      </c>
      <c r="O79" s="37" t="n">
        <f aca="false">SUM(C79:N79)</f>
        <v>615000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0</v>
      </c>
      <c r="D80" s="8" t="n">
        <f aca="false">(IF(2&gt;=INDEX(Assumptions!$C$164:$E$164,$D$3),1,0)+IF(2&gt;=INDEX(Assumptions!$C$166:$E$166,$D$3),INDEX(Assumptions!$C$165:$E$165,$D$3),0))*INDEX(Assumptions!$C$108:$E$108,$D$3)</f>
        <v>0</v>
      </c>
      <c r="E80" s="8" t="n">
        <f aca="false">(IF(3&gt;=INDEX(Assumptions!$C$164:$E$164,$D$3),1,0)+IF(3&gt;=INDEX(Assumptions!$C$166:$E$166,$D$3),INDEX(Assumptions!$C$165:$E$165,$D$3),0))*INDEX(Assumptions!$C$108:$E$108,$D$3)</f>
        <v>20000</v>
      </c>
      <c r="F80" s="8" t="n">
        <f aca="false">(IF(4&gt;=INDEX(Assumptions!$C$164:$E$164,$D$3),1,0)+IF(4&gt;=INDEX(Assumptions!$C$166:$E$166,$D$3),INDEX(Assumptions!$C$165:$E$165,$D$3),0))*INDEX(Assumptions!$C$108:$E$108,$D$3)</f>
        <v>20000</v>
      </c>
      <c r="G80" s="8" t="n">
        <f aca="false">(IF(5&gt;=INDEX(Assumptions!$C$164:$E$164,$D$3),1,0)+IF(5&gt;=INDEX(Assumptions!$C$166:$E$166,$D$3),INDEX(Assumptions!$C$165:$E$165,$D$3),0))*INDEX(Assumptions!$C$108:$E$108,$D$3)</f>
        <v>20000</v>
      </c>
      <c r="H80" s="8" t="n">
        <f aca="false">(IF(6&gt;=INDEX(Assumptions!$C$164:$E$164,$D$3),1,0)+IF(6&gt;=INDEX(Assumptions!$C$166:$E$166,$D$3),INDEX(Assumptions!$C$165:$E$165,$D$3),0))*INDEX(Assumptions!$C$108:$E$108,$D$3)</f>
        <v>20000</v>
      </c>
      <c r="I80" s="8" t="n">
        <f aca="false">(IF(7&gt;=INDEX(Assumptions!$C$164:$E$164,$D$3),1,0)+IF(7&gt;=INDEX(Assumptions!$C$166:$E$166,$D$3),INDEX(Assumptions!$C$165:$E$165,$D$3),0))*INDEX(Assumptions!$C$108:$E$108,$D$3)</f>
        <v>20000</v>
      </c>
      <c r="J80" s="8" t="n">
        <f aca="false">(IF(8&gt;=INDEX(Assumptions!$C$164:$E$164,$D$3),1,0)+IF(8&gt;=INDEX(Assumptions!$C$166:$E$166,$D$3),INDEX(Assumptions!$C$165:$E$165,$D$3),0))*INDEX(Assumptions!$C$108:$E$108,$D$3)</f>
        <v>20000</v>
      </c>
      <c r="K80" s="8" t="n">
        <f aca="false">(IF(9&gt;=INDEX(Assumptions!$C$164:$E$164,$D$3),1,0)+IF(9&gt;=INDEX(Assumptions!$C$166:$E$166,$D$3),INDEX(Assumptions!$C$165:$E$165,$D$3),0))*INDEX(Assumptions!$C$108:$E$108,$D$3)</f>
        <v>20000</v>
      </c>
      <c r="L80" s="8" t="n">
        <f aca="false">(IF(10&gt;=INDEX(Assumptions!$C$164:$E$164,$D$3),1,0)+IF(10&gt;=INDEX(Assumptions!$C$166:$E$166,$D$3),INDEX(Assumptions!$C$165:$E$165,$D$3),0))*INDEX(Assumptions!$C$108:$E$108,$D$3)</f>
        <v>20000</v>
      </c>
      <c r="M80" s="8" t="n">
        <f aca="false">(IF(11&gt;=INDEX(Assumptions!$C$164:$E$164,$D$3),1,0)+IF(11&gt;=INDEX(Assumptions!$C$166:$E$166,$D$3),INDEX(Assumptions!$C$165:$E$165,$D$3),0))*INDEX(Assumptions!$C$108:$E$108,$D$3)</f>
        <v>20000</v>
      </c>
      <c r="N80" s="8" t="n">
        <f aca="false">(IF(12&gt;=INDEX(Assumptions!$C$164:$E$164,$D$3),1,0)+IF(12&gt;=INDEX(Assumptions!$C$166:$E$166,$D$3),INDEX(Assumptions!$C$165:$E$165,$D$3),0))*INDEX(Assumptions!$C$108:$E$108,$D$3)</f>
        <v>20000</v>
      </c>
      <c r="O80" s="37" t="n">
        <f aca="false">SUM(C80:N80)</f>
        <v>200000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12000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12000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12000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12000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12000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12000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12000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12000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12000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12000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12000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12000</v>
      </c>
      <c r="O81" s="37" t="n">
        <f aca="false">SUM(C81:N81)</f>
        <v>144000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0</v>
      </c>
      <c r="J82" s="8" t="n">
        <f aca="false">IF(8&gt;=INDEX(Assumptions!$C$173:$E$173,$D$3),INDEX(Assumptions!$C$185:$E$185,$D$3),0)</f>
        <v>0</v>
      </c>
      <c r="K82" s="8" t="n">
        <f aca="false">IF(9&gt;=INDEX(Assumptions!$C$173:$E$173,$D$3),INDEX(Assumptions!$C$185:$E$185,$D$3),0)</f>
        <v>0</v>
      </c>
      <c r="L82" s="8" t="n">
        <f aca="false">IF(10&gt;=INDEX(Assumptions!$C$173:$E$173,$D$3),INDEX(Assumptions!$C$185:$E$185,$D$3),0)</f>
        <v>0</v>
      </c>
      <c r="M82" s="8" t="n">
        <f aca="false">IF(11&gt;=INDEX(Assumptions!$C$173:$E$173,$D$3),INDEX(Assumptions!$C$185:$E$185,$D$3),0)</f>
        <v>0</v>
      </c>
      <c r="N82" s="8" t="n">
        <f aca="false">IF(12&gt;=INDEX(Assumptions!$C$173:$E$173,$D$3),INDEX(Assumptions!$C$185:$E$185,$D$3),0)</f>
        <v>0</v>
      </c>
      <c r="O82" s="37" t="n">
        <f aca="false">SUM(C82:N82)</f>
        <v>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32000</v>
      </c>
      <c r="D84" s="37" t="n">
        <f aca="false">SUM(D79:D83)</f>
        <v>32000</v>
      </c>
      <c r="E84" s="37" t="n">
        <f aca="false">SUM(E79:E83)</f>
        <v>89500</v>
      </c>
      <c r="F84" s="37" t="n">
        <f aca="false">SUM(F79:F83)</f>
        <v>89500</v>
      </c>
      <c r="G84" s="37" t="n">
        <f aca="false">SUM(G79:G83)</f>
        <v>89500</v>
      </c>
      <c r="H84" s="37" t="n">
        <f aca="false">SUM(H79:H83)</f>
        <v>89500</v>
      </c>
      <c r="I84" s="37" t="n">
        <f aca="false">SUM(I79:I83)</f>
        <v>89500</v>
      </c>
      <c r="J84" s="37" t="n">
        <f aca="false">SUM(J79:J83)</f>
        <v>89500</v>
      </c>
      <c r="K84" s="37" t="n">
        <f aca="false">SUM(K79:K83)</f>
        <v>89500</v>
      </c>
      <c r="L84" s="37" t="n">
        <f aca="false">SUM(L79:L83)</f>
        <v>89500</v>
      </c>
      <c r="M84" s="37" t="n">
        <f aca="false">SUM(M79:M83)</f>
        <v>89500</v>
      </c>
      <c r="N84" s="37" t="n">
        <f aca="false">SUM(N79:N83)</f>
        <v>89500</v>
      </c>
      <c r="O84" s="31" t="n">
        <f aca="false">SUM(C84:N84)</f>
        <v>959000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45000</v>
      </c>
      <c r="D86" s="8" t="n">
        <f aca="false">IF(2&gt;=INDEX(Assumptions!$C$173:$E$173,$D$3),INDEX(Assumptions!$C$174:$E$174,$D$3)*INDEX(Assumptions!$C$175:$E$175,$B$3),INDEX(Assumptions!$C$179:$E$179,$B$3))*$F$4</f>
        <v>45000</v>
      </c>
      <c r="E86" s="8" t="n">
        <f aca="false">IF(3&gt;=INDEX(Assumptions!$C$173:$E$173,$D$3),INDEX(Assumptions!$C$174:$E$174,$D$3)*INDEX(Assumptions!$C$175:$E$175,$B$3),INDEX(Assumptions!$C$179:$E$179,$B$3))*$F$4</f>
        <v>45000</v>
      </c>
      <c r="F86" s="8" t="n">
        <f aca="false">IF(4&gt;=INDEX(Assumptions!$C$173:$E$173,$D$3),INDEX(Assumptions!$C$174:$E$174,$D$3)*INDEX(Assumptions!$C$175:$E$175,$B$3),INDEX(Assumptions!$C$179:$E$179,$B$3))*$F$4</f>
        <v>45000</v>
      </c>
      <c r="G86" s="8" t="n">
        <f aca="false">IF(5&gt;=INDEX(Assumptions!$C$173:$E$173,$D$3),INDEX(Assumptions!$C$174:$E$174,$D$3)*INDEX(Assumptions!$C$175:$E$175,$B$3),INDEX(Assumptions!$C$179:$E$179,$B$3))*$F$4</f>
        <v>45000</v>
      </c>
      <c r="H86" s="8" t="n">
        <f aca="false">IF(6&gt;=INDEX(Assumptions!$C$173:$E$173,$D$3),INDEX(Assumptions!$C$174:$E$174,$D$3)*INDEX(Assumptions!$C$175:$E$175,$B$3),INDEX(Assumptions!$C$179:$E$179,$B$3))*$F$4</f>
        <v>45000</v>
      </c>
      <c r="I86" s="8" t="n">
        <f aca="false">IF(7&gt;=INDEX(Assumptions!$C$173:$E$173,$D$3),INDEX(Assumptions!$C$174:$E$174,$D$3)*INDEX(Assumptions!$C$175:$E$175,$B$3),INDEX(Assumptions!$C$179:$E$179,$B$3))*$F$4</f>
        <v>45000</v>
      </c>
      <c r="J86" s="8" t="n">
        <f aca="false">IF(8&gt;=INDEX(Assumptions!$C$173:$E$173,$D$3),INDEX(Assumptions!$C$174:$E$174,$D$3)*INDEX(Assumptions!$C$175:$E$175,$B$3),INDEX(Assumptions!$C$179:$E$179,$B$3))*$F$4</f>
        <v>45000</v>
      </c>
      <c r="K86" s="8" t="n">
        <f aca="false">IF(9&gt;=INDEX(Assumptions!$C$173:$E$173,$D$3),INDEX(Assumptions!$C$174:$E$174,$D$3)*INDEX(Assumptions!$C$175:$E$175,$B$3),INDEX(Assumptions!$C$179:$E$179,$B$3))*$F$4</f>
        <v>45000</v>
      </c>
      <c r="L86" s="8" t="n">
        <f aca="false">IF(10&gt;=INDEX(Assumptions!$C$173:$E$173,$D$3),INDEX(Assumptions!$C$174:$E$174,$D$3)*INDEX(Assumptions!$C$175:$E$175,$B$3),INDEX(Assumptions!$C$179:$E$179,$B$3))*$F$4</f>
        <v>45000</v>
      </c>
      <c r="M86" s="8" t="n">
        <f aca="false">IF(11&gt;=INDEX(Assumptions!$C$173:$E$173,$D$3),INDEX(Assumptions!$C$174:$E$174,$D$3)*INDEX(Assumptions!$C$175:$E$175,$B$3),INDEX(Assumptions!$C$179:$E$179,$B$3))*$F$4</f>
        <v>45000</v>
      </c>
      <c r="N86" s="8" t="n">
        <f aca="false">IF(12&gt;=INDEX(Assumptions!$C$173:$E$173,$D$3),INDEX(Assumptions!$C$174:$E$174,$D$3)*INDEX(Assumptions!$C$175:$E$175,$B$3),INDEX(Assumptions!$C$179:$E$179,$B$3))*$F$4</f>
        <v>45000</v>
      </c>
      <c r="O86" s="37" t="n">
        <f aca="false">SUM(C86:N86)</f>
        <v>540000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12000</v>
      </c>
      <c r="D87" s="8" t="n">
        <f aca="false">IF(2&gt;=INDEX(Assumptions!$C$173:$E$173,$D$3),INDEX(Assumptions!$C$174:$E$174,$D$3)*INDEX(Assumptions!$C$181:$E$181,$B$3),INDEX(Assumptions!$C$180:$E$180,$B$3))</f>
        <v>12000</v>
      </c>
      <c r="E87" s="8" t="n">
        <f aca="false">IF(3&gt;=INDEX(Assumptions!$C$173:$E$173,$D$3),INDEX(Assumptions!$C$174:$E$174,$D$3)*INDEX(Assumptions!$C$181:$E$181,$B$3),INDEX(Assumptions!$C$180:$E$180,$B$3))</f>
        <v>12000</v>
      </c>
      <c r="F87" s="8" t="n">
        <f aca="false">IF(4&gt;=INDEX(Assumptions!$C$173:$E$173,$D$3),INDEX(Assumptions!$C$174:$E$174,$D$3)*INDEX(Assumptions!$C$181:$E$181,$B$3),INDEX(Assumptions!$C$180:$E$180,$B$3))</f>
        <v>12000</v>
      </c>
      <c r="G87" s="8" t="n">
        <f aca="false">IF(5&gt;=INDEX(Assumptions!$C$173:$E$173,$D$3),INDEX(Assumptions!$C$174:$E$174,$D$3)*INDEX(Assumptions!$C$181:$E$181,$B$3),INDEX(Assumptions!$C$180:$E$180,$B$3))</f>
        <v>12000</v>
      </c>
      <c r="H87" s="8" t="n">
        <f aca="false">IF(6&gt;=INDEX(Assumptions!$C$173:$E$173,$D$3),INDEX(Assumptions!$C$174:$E$174,$D$3)*INDEX(Assumptions!$C$181:$E$181,$B$3),INDEX(Assumptions!$C$180:$E$180,$B$3))</f>
        <v>12000</v>
      </c>
      <c r="I87" s="8" t="n">
        <f aca="false">IF(7&gt;=INDEX(Assumptions!$C$173:$E$173,$D$3),INDEX(Assumptions!$C$174:$E$174,$D$3)*INDEX(Assumptions!$C$181:$E$181,$B$3),INDEX(Assumptions!$C$180:$E$180,$B$3))</f>
        <v>12000</v>
      </c>
      <c r="J87" s="8" t="n">
        <f aca="false">IF(8&gt;=INDEX(Assumptions!$C$173:$E$173,$D$3),INDEX(Assumptions!$C$174:$E$174,$D$3)*INDEX(Assumptions!$C$181:$E$181,$B$3),INDEX(Assumptions!$C$180:$E$180,$B$3))</f>
        <v>12000</v>
      </c>
      <c r="K87" s="8" t="n">
        <f aca="false">IF(9&gt;=INDEX(Assumptions!$C$173:$E$173,$D$3),INDEX(Assumptions!$C$174:$E$174,$D$3)*INDEX(Assumptions!$C$181:$E$181,$B$3),INDEX(Assumptions!$C$180:$E$180,$B$3))</f>
        <v>12000</v>
      </c>
      <c r="L87" s="8" t="n">
        <f aca="false">IF(10&gt;=INDEX(Assumptions!$C$173:$E$173,$D$3),INDEX(Assumptions!$C$174:$E$174,$D$3)*INDEX(Assumptions!$C$181:$E$181,$B$3),INDEX(Assumptions!$C$180:$E$180,$B$3))</f>
        <v>12000</v>
      </c>
      <c r="M87" s="8" t="n">
        <f aca="false">IF(11&gt;=INDEX(Assumptions!$C$173:$E$173,$D$3),INDEX(Assumptions!$C$174:$E$174,$D$3)*INDEX(Assumptions!$C$181:$E$181,$B$3),INDEX(Assumptions!$C$180:$E$180,$B$3))</f>
        <v>12000</v>
      </c>
      <c r="N87" s="8" t="n">
        <f aca="false">IF(12&gt;=INDEX(Assumptions!$C$173:$E$173,$D$3),INDEX(Assumptions!$C$174:$E$174,$D$3)*INDEX(Assumptions!$C$181:$E$181,$B$3),INDEX(Assumptions!$C$180:$E$180,$B$3))</f>
        <v>12000</v>
      </c>
      <c r="O87" s="37" t="n">
        <f aca="false">SUM(C87:N87)</f>
        <v>144000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8000</v>
      </c>
      <c r="D88" s="8" t="n">
        <f aca="false">INDEX(Assumptions!$C$107:$E$107,$D$3)+IF(2&gt;=INDEX(Assumptions!$C$189:$E$189,$D$3)-1,INDEX(Assumptions!$C$188:$E$188,$D$3),0)</f>
        <v>8000</v>
      </c>
      <c r="E88" s="8" t="n">
        <f aca="false">INDEX(Assumptions!$C$107:$E$107,$D$3)+IF(3&gt;=INDEX(Assumptions!$C$189:$E$189,$D$3)-1,INDEX(Assumptions!$C$188:$E$188,$D$3),0)</f>
        <v>8000</v>
      </c>
      <c r="F88" s="8" t="n">
        <f aca="false">INDEX(Assumptions!$C$107:$E$107,$D$3)+IF(4&gt;=INDEX(Assumptions!$C$189:$E$189,$D$3)-1,INDEX(Assumptions!$C$188:$E$188,$D$3),0)</f>
        <v>8000</v>
      </c>
      <c r="G88" s="8" t="n">
        <f aca="false">INDEX(Assumptions!$C$107:$E$107,$D$3)+IF(5&gt;=INDEX(Assumptions!$C$189:$E$189,$D$3)-1,INDEX(Assumptions!$C$188:$E$188,$D$3),0)</f>
        <v>8000</v>
      </c>
      <c r="H88" s="8" t="n">
        <f aca="false">INDEX(Assumptions!$C$107:$E$107,$D$3)+IF(6&gt;=INDEX(Assumptions!$C$189:$E$189,$D$3)-1,INDEX(Assumptions!$C$188:$E$188,$D$3),0)</f>
        <v>8000</v>
      </c>
      <c r="I88" s="8" t="n">
        <f aca="false">INDEX(Assumptions!$C$107:$E$107,$D$3)+IF(7&gt;=INDEX(Assumptions!$C$189:$E$189,$D$3)-1,INDEX(Assumptions!$C$188:$E$188,$D$3),0)</f>
        <v>8000</v>
      </c>
      <c r="J88" s="8" t="n">
        <f aca="false">INDEX(Assumptions!$C$107:$E$107,$D$3)+IF(8&gt;=INDEX(Assumptions!$C$189:$E$189,$D$3)-1,INDEX(Assumptions!$C$188:$E$188,$D$3),0)</f>
        <v>8000</v>
      </c>
      <c r="K88" s="8" t="n">
        <f aca="false">INDEX(Assumptions!$C$107:$E$107,$D$3)+IF(9&gt;=INDEX(Assumptions!$C$189:$E$189,$D$3)-1,INDEX(Assumptions!$C$188:$E$188,$D$3),0)</f>
        <v>8000</v>
      </c>
      <c r="L88" s="8" t="n">
        <f aca="false">INDEX(Assumptions!$C$107:$E$107,$D$3)+IF(10&gt;=INDEX(Assumptions!$C$189:$E$189,$D$3)-1,INDEX(Assumptions!$C$188:$E$188,$D$3),0)</f>
        <v>8000</v>
      </c>
      <c r="M88" s="8" t="n">
        <f aca="false">INDEX(Assumptions!$C$107:$E$107,$D$3)+IF(11&gt;=INDEX(Assumptions!$C$189:$E$189,$D$3)-1,INDEX(Assumptions!$C$188:$E$188,$D$3),0)</f>
        <v>8000</v>
      </c>
      <c r="N88" s="8" t="n">
        <f aca="false">INDEX(Assumptions!$C$107:$E$107,$D$3)+IF(12&gt;=INDEX(Assumptions!$C$189:$E$189,$D$3)-1,INDEX(Assumptions!$C$188:$E$188,$D$3),0)</f>
        <v>8000</v>
      </c>
      <c r="O88" s="37" t="n">
        <f aca="false">SUM(C88:N88)</f>
        <v>96000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10000</v>
      </c>
      <c r="D89" s="8" t="n">
        <f aca="false">D17</f>
        <v>25000</v>
      </c>
      <c r="E89" s="8" t="n">
        <f aca="false">E17</f>
        <v>30000</v>
      </c>
      <c r="F89" s="8" t="n">
        <f aca="false">F17</f>
        <v>35000</v>
      </c>
      <c r="G89" s="8" t="n">
        <f aca="false">G17</f>
        <v>40000</v>
      </c>
      <c r="H89" s="8" t="n">
        <f aca="false">H17</f>
        <v>40000</v>
      </c>
      <c r="I89" s="8" t="n">
        <f aca="false">I17</f>
        <v>40000</v>
      </c>
      <c r="J89" s="8" t="n">
        <f aca="false">J17</f>
        <v>40000</v>
      </c>
      <c r="K89" s="8" t="n">
        <f aca="false">K17</f>
        <v>40000</v>
      </c>
      <c r="L89" s="8" t="n">
        <f aca="false">L17</f>
        <v>40000</v>
      </c>
      <c r="M89" s="8" t="n">
        <f aca="false">M17</f>
        <v>40000</v>
      </c>
      <c r="N89" s="8" t="n">
        <f aca="false">N17</f>
        <v>40000</v>
      </c>
      <c r="O89" s="37" t="n">
        <f aca="false">SUM(C89:N89)</f>
        <v>420000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3333</v>
      </c>
      <c r="D90" s="8" t="n">
        <f aca="false">INDEX(Assumptions!$C$170:$E$170,$D$3)</f>
        <v>3333</v>
      </c>
      <c r="E90" s="8" t="n">
        <f aca="false">INDEX(Assumptions!$C$170:$E$170,$D$3)</f>
        <v>3333</v>
      </c>
      <c r="F90" s="8" t="n">
        <f aca="false">INDEX(Assumptions!$C$170:$E$170,$D$3)</f>
        <v>3333</v>
      </c>
      <c r="G90" s="8" t="n">
        <f aca="false">INDEX(Assumptions!$C$170:$E$170,$D$3)</f>
        <v>3333</v>
      </c>
      <c r="H90" s="8" t="n">
        <f aca="false">INDEX(Assumptions!$C$170:$E$170,$D$3)</f>
        <v>3333</v>
      </c>
      <c r="I90" s="8" t="n">
        <f aca="false">INDEX(Assumptions!$C$170:$E$170,$D$3)</f>
        <v>3333</v>
      </c>
      <c r="J90" s="8" t="n">
        <f aca="false">INDEX(Assumptions!$C$170:$E$170,$D$3)</f>
        <v>3333</v>
      </c>
      <c r="K90" s="8" t="n">
        <f aca="false">INDEX(Assumptions!$C$170:$E$170,$D$3)</f>
        <v>3333</v>
      </c>
      <c r="L90" s="8" t="n">
        <f aca="false">INDEX(Assumptions!$C$170:$E$170,$D$3)</f>
        <v>3333</v>
      </c>
      <c r="M90" s="8" t="n">
        <f aca="false">INDEX(Assumptions!$C$170:$E$170,$D$3)</f>
        <v>3333</v>
      </c>
      <c r="N90" s="8" t="n">
        <f aca="false">INDEX(Assumptions!$C$170:$E$170,$D$3)</f>
        <v>3333</v>
      </c>
      <c r="O90" s="37" t="n">
        <f aca="false">SUM(C90:N90)</f>
        <v>39996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12000</v>
      </c>
      <c r="D91" s="8" t="n">
        <f aca="false">INDEX(Assumptions!$C$195:$E$195,$D$3)</f>
        <v>12000</v>
      </c>
      <c r="E91" s="8" t="n">
        <f aca="false">INDEX(Assumptions!$C$195:$E$195,$D$3)</f>
        <v>12000</v>
      </c>
      <c r="F91" s="8" t="n">
        <f aca="false">INDEX(Assumptions!$C$195:$E$195,$D$3)</f>
        <v>12000</v>
      </c>
      <c r="G91" s="8" t="n">
        <f aca="false">INDEX(Assumptions!$C$195:$E$195,$D$3)</f>
        <v>12000</v>
      </c>
      <c r="H91" s="8" t="n">
        <f aca="false">INDEX(Assumptions!$C$195:$E$195,$D$3)</f>
        <v>12000</v>
      </c>
      <c r="I91" s="8" t="n">
        <f aca="false">INDEX(Assumptions!$C$195:$E$195,$D$3)</f>
        <v>12000</v>
      </c>
      <c r="J91" s="8" t="n">
        <f aca="false">INDEX(Assumptions!$C$195:$E$195,$D$3)</f>
        <v>12000</v>
      </c>
      <c r="K91" s="8" t="n">
        <f aca="false">INDEX(Assumptions!$C$195:$E$195,$D$3)</f>
        <v>12000</v>
      </c>
      <c r="L91" s="8" t="n">
        <f aca="false">INDEX(Assumptions!$C$195:$E$195,$D$3)</f>
        <v>12000</v>
      </c>
      <c r="M91" s="8" t="n">
        <f aca="false">INDEX(Assumptions!$C$195:$E$195,$D$3)</f>
        <v>12000</v>
      </c>
      <c r="N91" s="8" t="n">
        <f aca="false">INDEX(Assumptions!$C$195:$E$195,$D$3)</f>
        <v>12000</v>
      </c>
      <c r="O91" s="37" t="n">
        <f aca="false">SUM(C91:N91)</f>
        <v>144000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50000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100000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172333</v>
      </c>
      <c r="D93" s="37" t="n">
        <f aca="false">D84+SUM(D86:D92)</f>
        <v>137333</v>
      </c>
      <c r="E93" s="37" t="n">
        <f aca="false">E84+SUM(E86:E92)</f>
        <v>249833</v>
      </c>
      <c r="F93" s="37" t="n">
        <f aca="false">F84+SUM(F86:F92)</f>
        <v>204833</v>
      </c>
      <c r="G93" s="37" t="n">
        <f aca="false">G84+SUM(G86:G92)</f>
        <v>209833</v>
      </c>
      <c r="H93" s="37" t="n">
        <f aca="false">H84+SUM(H86:H92)</f>
        <v>209833</v>
      </c>
      <c r="I93" s="37" t="n">
        <f aca="false">I84+SUM(I86:I92)</f>
        <v>209833</v>
      </c>
      <c r="J93" s="37" t="n">
        <f aca="false">J84+SUM(J86:J92)</f>
        <v>209833</v>
      </c>
      <c r="K93" s="37" t="n">
        <f aca="false">K84+SUM(K86:K92)</f>
        <v>209833</v>
      </c>
      <c r="L93" s="37" t="n">
        <f aca="false">L84+SUM(L86:L92)</f>
        <v>209833</v>
      </c>
      <c r="M93" s="37" t="n">
        <f aca="false">M84+SUM(M86:M92)</f>
        <v>209833</v>
      </c>
      <c r="N93" s="37" t="n">
        <f aca="false">N84+SUM(N86:N92)</f>
        <v>209833</v>
      </c>
      <c r="O93" s="31" t="n">
        <f aca="false">SUM(C93:N93)</f>
        <v>2442996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-144346.153976045</v>
      </c>
      <c r="D94" s="37" t="n">
        <f aca="false">D71-D93</f>
        <v>-100390.587469222</v>
      </c>
      <c r="E94" s="37" t="n">
        <f aca="false">E71-E93</f>
        <v>-200637.616266398</v>
      </c>
      <c r="F94" s="37" t="n">
        <f aca="false">F71-F93</f>
        <v>-138107.595059093</v>
      </c>
      <c r="G94" s="37" t="n">
        <f aca="false">G71-G93</f>
        <v>-139107.381197608</v>
      </c>
      <c r="H94" s="37" t="n">
        <f aca="false">H71-H93</f>
        <v>-129840.181731849</v>
      </c>
      <c r="I94" s="37" t="n">
        <f aca="false">I71-I93</f>
        <v>-110416.041326049</v>
      </c>
      <c r="J94" s="37" t="n">
        <f aca="false">J71-J93</f>
        <v>-105383.509089826</v>
      </c>
      <c r="K94" s="37" t="n">
        <f aca="false">K71-K93</f>
        <v>-110212.155178049</v>
      </c>
      <c r="L94" s="37" t="n">
        <f aca="false">L71-L93</f>
        <v>-43975.704530034</v>
      </c>
      <c r="M94" s="37" t="n">
        <f aca="false">M71-M93</f>
        <v>-44412.8076020589</v>
      </c>
      <c r="N94" s="37" t="n">
        <f aca="false">N71-N93</f>
        <v>-44053.2597019463</v>
      </c>
      <c r="O94" s="31" t="n">
        <f aca="false">SUM(C94:N94)</f>
        <v>-1310882.99312818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-2.94288172614683</v>
      </c>
      <c r="D95" s="7" t="n">
        <f aca="false">IFERROR(D94/D59,0)</f>
        <v>-1.58702443824291</v>
      </c>
      <c r="E95" s="7" t="n">
        <f aca="false">IFERROR(E94/E59,0)</f>
        <v>-2.50956232466582</v>
      </c>
      <c r="F95" s="7" t="n">
        <f aca="false">IFERROR(F94/F59,0)</f>
        <v>-1.24391515664956</v>
      </c>
      <c r="G95" s="7" t="n">
        <f aca="false">IFERROR(G94/G59,0)</f>
        <v>-1.13357607441742</v>
      </c>
      <c r="H95" s="7" t="n">
        <f aca="false">IFERROR(H94/H59,0)</f>
        <v>-0.923765358336018</v>
      </c>
      <c r="I95" s="7" t="n">
        <f aca="false">IFERROR(I94/I59,0)</f>
        <v>-0.61871433820221</v>
      </c>
      <c r="J95" s="7" t="n">
        <f aca="false">IFERROR(J94/J59,0)</f>
        <v>-0.559262317014182</v>
      </c>
      <c r="K95" s="7" t="n">
        <f aca="false">IFERROR(K94/K59,0)</f>
        <v>-0.615681954901563</v>
      </c>
      <c r="L95" s="7" t="n">
        <f aca="false">IFERROR(L94/L59,0)</f>
        <v>-0.202929438357209</v>
      </c>
      <c r="M95" s="7" t="n">
        <f aca="false">IFERROR(M94/M59,0)</f>
        <v>-0.205490354119719</v>
      </c>
      <c r="N95" s="7" t="n">
        <f aca="false">IFERROR(N94/N59,0)</f>
        <v>-0.203287147541891</v>
      </c>
      <c r="O95" s="7" t="n">
        <f aca="false">IFERROR(O94/O59,0)</f>
        <v>-0.743976697633911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-219346.153976045</v>
      </c>
      <c r="D96" s="8" t="n">
        <f aca="false">D94-INDEX(Assumptions!$C$163:$E$163,$B$3)</f>
        <v>-175390.587469222</v>
      </c>
      <c r="E96" s="8" t="n">
        <f aca="false">E94-INDEX(Assumptions!$C$163:$E$163,$B$3)</f>
        <v>-275637.616266398</v>
      </c>
      <c r="F96" s="8" t="n">
        <f aca="false">F94-INDEX(Assumptions!$C$163:$E$163,$B$3)</f>
        <v>-213107.595059093</v>
      </c>
      <c r="G96" s="8" t="n">
        <f aca="false">G94-INDEX(Assumptions!$C$163:$E$163,$B$3)</f>
        <v>-214107.381197608</v>
      </c>
      <c r="H96" s="8" t="n">
        <f aca="false">H94-INDEX(Assumptions!$C$163:$E$163,$B$3)</f>
        <v>-204840.181731849</v>
      </c>
      <c r="I96" s="8" t="n">
        <f aca="false">I94-INDEX(Assumptions!$C$163:$E$163,$B$3)</f>
        <v>-185416.041326049</v>
      </c>
      <c r="J96" s="8" t="n">
        <f aca="false">J94-INDEX(Assumptions!$C$163:$E$163,$B$3)</f>
        <v>-180383.509089826</v>
      </c>
      <c r="K96" s="8" t="n">
        <f aca="false">K94-INDEX(Assumptions!$C$163:$E$163,$B$3)</f>
        <v>-185212.155178049</v>
      </c>
      <c r="L96" s="8" t="n">
        <f aca="false">L94-INDEX(Assumptions!$C$163:$E$163,$B$3)</f>
        <v>-118975.704530034</v>
      </c>
      <c r="M96" s="8" t="n">
        <f aca="false">M94-INDEX(Assumptions!$C$163:$E$163,$B$3)</f>
        <v>-119412.807602059</v>
      </c>
      <c r="N96" s="8" t="n">
        <f aca="false">N94-INDEX(Assumptions!$C$163:$E$163,$B$3)</f>
        <v>-119053.259701946</v>
      </c>
      <c r="O96" s="37" t="n">
        <f aca="false">SUM(C96:N96)</f>
        <v>-2210882.99312818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0</v>
      </c>
      <c r="I103" s="37" t="n">
        <f aca="false">SUM(I98:I102)</f>
        <v>0</v>
      </c>
      <c r="J103" s="37" t="n">
        <f aca="false">SUM(J98:J102)</f>
        <v>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50000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-23728.813559322</v>
      </c>
      <c r="D104" s="8" t="n">
        <f aca="false">((D60+IF(INDEX(Assumptions!$C$87:$E$87,$B$3)&gt;=2,C60,0)+IF(INDEX(Assumptions!$C$87:$E$87,$B$3)&gt;=3,0,0))/INDEX(Assumptions!$C$87:$E$87,$B$3))-D60</f>
        <v>-15559.2686867455</v>
      </c>
      <c r="E104" s="8" t="n">
        <f aca="false">((E60+IF(INDEX(Assumptions!$C$87:$E$87,$B$3)&gt;=2,D60,0)+IF(INDEX(Assumptions!$C$87:$E$87,$B$3)&gt;=3,C60,0))/INDEX(Assumptions!$C$87:$E$87,$B$3))-E60</f>
        <v>-1816.23620595049</v>
      </c>
      <c r="F104" s="8" t="n">
        <f aca="false">((F60+IF(INDEX(Assumptions!$C$87:$E$87,$B$3)&gt;=2,E60,0)+IF(INDEX(Assumptions!$C$87:$E$87,$B$3)&gt;=3,D60,0))/INDEX(Assumptions!$C$87:$E$87,$B$3))-F60</f>
        <v>-13995.3762625493</v>
      </c>
      <c r="G104" s="8" t="n">
        <f aca="false">((G60+IF(INDEX(Assumptions!$C$87:$E$87,$B$3)&gt;=2,F60,0)+IF(INDEX(Assumptions!$C$87:$E$87,$B$3)&gt;=3,E60,0))/INDEX(Assumptions!$C$87:$E$87,$B$3))-G60</f>
        <v>-16777.6411286225</v>
      </c>
      <c r="H104" s="8" t="n">
        <f aca="false">((H60+IF(INDEX(Assumptions!$C$87:$E$87,$B$3)&gt;=2,G60,0)+IF(INDEX(Assumptions!$C$87:$E$87,$B$3)&gt;=3,F60,0))/INDEX(Assumptions!$C$87:$E$87,$B$3))-H60</f>
        <v>-13708.9341238873</v>
      </c>
      <c r="I104" s="8" t="n">
        <f aca="false">((I60+IF(INDEX(Assumptions!$C$87:$E$87,$B$3)&gt;=2,H60,0)+IF(INDEX(Assumptions!$C$87:$E$87,$B$3)&gt;=3,G60,0))/INDEX(Assumptions!$C$87:$E$87,$B$3))-I60</f>
        <v>-26037.3480876316</v>
      </c>
      <c r="J104" s="8" t="n">
        <f aca="false">((J60+IF(INDEX(Assumptions!$C$87:$E$87,$B$3)&gt;=2,I60,0)+IF(INDEX(Assumptions!$C$87:$E$87,$B$3)&gt;=3,H60,0))/INDEX(Assumptions!$C$87:$E$87,$B$3))-J60</f>
        <v>-14633.9064341747</v>
      </c>
      <c r="K104" s="8" t="n">
        <f aca="false">((K60+IF(INDEX(Assumptions!$C$87:$E$87,$B$3)&gt;=2,J60,0)+IF(INDEX(Assumptions!$C$87:$E$87,$B$3)&gt;=3,I60,0))/INDEX(Assumptions!$C$87:$E$87,$B$3))-K60</f>
        <v>4099.10884851441</v>
      </c>
      <c r="L104" s="8" t="n">
        <f aca="false">((L60+IF(INDEX(Assumptions!$C$87:$E$87,$B$3)&gt;=2,K60,0)+IF(INDEX(Assumptions!$C$87:$E$87,$B$3)&gt;=3,J60,0))/INDEX(Assumptions!$C$87:$E$87,$B$3))-L60</f>
        <v>-18465.8070154046</v>
      </c>
      <c r="M104" s="8" t="n">
        <f aca="false">((M60+IF(INDEX(Assumptions!$C$87:$E$87,$B$3)&gt;=2,L60,0)+IF(INDEX(Assumptions!$C$87:$E$87,$B$3)&gt;=3,K60,0))/INDEX(Assumptions!$C$87:$E$87,$B$3))-M60</f>
        <v>-5435.94023086617</v>
      </c>
      <c r="N104" s="8" t="n">
        <f aca="false">((N60+IF(INDEX(Assumptions!$C$87:$E$87,$B$3)&gt;=2,M60,0)+IF(INDEX(Assumptions!$C$87:$E$87,$B$3)&gt;=3,L60,0))/INDEX(Assumptions!$C$87:$E$87,$B$3))-N60</f>
        <v>7184.18231516483</v>
      </c>
      <c r="O104" s="37" t="n">
        <f aca="false">SUM(C104:N104)</f>
        <v>-138875.980571475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-218074.967535367</v>
      </c>
      <c r="D105" s="37" t="n">
        <f aca="false">D94+D104-D103</f>
        <v>-115949.856155968</v>
      </c>
      <c r="E105" s="37" t="n">
        <f aca="false">E94+E104-E103</f>
        <v>-202453.852472348</v>
      </c>
      <c r="F105" s="37" t="n">
        <f aca="false">F94+F104-F103</f>
        <v>-152102.971321642</v>
      </c>
      <c r="G105" s="37" t="n">
        <f aca="false">G94+G104-G103</f>
        <v>-155885.022326231</v>
      </c>
      <c r="H105" s="37" t="n">
        <f aca="false">H94+H104-H103</f>
        <v>-143549.115855736</v>
      </c>
      <c r="I105" s="37" t="n">
        <f aca="false">I94+I104-I103</f>
        <v>-136453.389413681</v>
      </c>
      <c r="J105" s="37" t="n">
        <f aca="false">J94+J104-J103</f>
        <v>-120017.415524</v>
      </c>
      <c r="K105" s="37" t="n">
        <f aca="false">K94+K104-K103</f>
        <v>-106113.046329535</v>
      </c>
      <c r="L105" s="37" t="n">
        <f aca="false">L94+L104-L103</f>
        <v>-62441.5115454386</v>
      </c>
      <c r="M105" s="37" t="n">
        <f aca="false">M94+M104-M103</f>
        <v>-49848.7478329251</v>
      </c>
      <c r="N105" s="37" t="n">
        <f aca="false">N94+N104-N103</f>
        <v>-36869.0773867815</v>
      </c>
      <c r="O105" s="31" t="n">
        <f aca="false">SUM(C105:N105)</f>
        <v>-1499758.97369965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-218074.967535367</v>
      </c>
      <c r="D106" s="37" t="n">
        <f aca="false">C106+D105</f>
        <v>-334024.823691335</v>
      </c>
      <c r="E106" s="37" t="n">
        <f aca="false">D106+E105</f>
        <v>-536478.676163683</v>
      </c>
      <c r="F106" s="37" t="n">
        <f aca="false">E106+F105</f>
        <v>-688581.647485326</v>
      </c>
      <c r="G106" s="37" t="n">
        <f aca="false">F106+G105</f>
        <v>-844466.669811556</v>
      </c>
      <c r="H106" s="37" t="n">
        <f aca="false">G106+H105</f>
        <v>-988015.785667292</v>
      </c>
      <c r="I106" s="37" t="n">
        <f aca="false">H106+I105</f>
        <v>-1124469.17508097</v>
      </c>
      <c r="J106" s="37" t="n">
        <f aca="false">I106+J105</f>
        <v>-1244486.59060497</v>
      </c>
      <c r="K106" s="37" t="n">
        <f aca="false">J106+K105</f>
        <v>-1350599.63693451</v>
      </c>
      <c r="L106" s="37" t="n">
        <f aca="false">K106+L105</f>
        <v>-1413041.14847995</v>
      </c>
      <c r="M106" s="37" t="n">
        <f aca="false">L106+M105</f>
        <v>-1462889.89631287</v>
      </c>
      <c r="N106" s="37" t="n">
        <f aca="false">M106+N105</f>
        <v>-1499758.97369965</v>
      </c>
      <c r="O106" s="31" t="n">
        <f aca="false">N106</f>
        <v>-1499758.97369965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218074.967535367</v>
      </c>
      <c r="D107" s="37" t="n">
        <f aca="false">-MIN(0,MIN($C$106:D106))</f>
        <v>334024.823691335</v>
      </c>
      <c r="E107" s="37" t="n">
        <f aca="false">-MIN(0,MIN($C$106:E106))</f>
        <v>536478.676163683</v>
      </c>
      <c r="F107" s="37" t="n">
        <f aca="false">-MIN(0,MIN($C$106:F106))</f>
        <v>688581.647485326</v>
      </c>
      <c r="G107" s="37" t="n">
        <f aca="false">-MIN(0,MIN($C$106:G106))</f>
        <v>844466.669811556</v>
      </c>
      <c r="H107" s="37" t="n">
        <f aca="false">-MIN(0,MIN($C$106:H106))</f>
        <v>988015.785667292</v>
      </c>
      <c r="I107" s="37" t="n">
        <f aca="false">-MIN(0,MIN($C$106:I106))</f>
        <v>1124469.17508097</v>
      </c>
      <c r="J107" s="37" t="n">
        <f aca="false">-MIN(0,MIN($C$106:J106))</f>
        <v>1244486.59060497</v>
      </c>
      <c r="K107" s="37" t="n">
        <f aca="false">-MIN(0,MIN($C$106:K106))</f>
        <v>1350599.63693451</v>
      </c>
      <c r="L107" s="37" t="n">
        <f aca="false">-MIN(0,MIN($C$106:L106))</f>
        <v>1413041.14847995</v>
      </c>
      <c r="M107" s="37" t="n">
        <f aca="false">-MIN(0,MIN($C$106:M106))</f>
        <v>1462889.89631287</v>
      </c>
      <c r="N107" s="37" t="n">
        <f aca="false">-MIN(0,MIN($C$106:N106))</f>
        <v>1499758.97369965</v>
      </c>
      <c r="O107" s="31" t="n">
        <f aca="false">MAX(C107:N107)</f>
        <v>1499758.97369965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0</v>
      </c>
      <c r="J108" s="8" t="n">
        <f aca="false">IF(J94&gt;=0,1,0)</f>
        <v>0</v>
      </c>
      <c r="K108" s="8" t="n">
        <f aca="false">IF(K94&gt;=0,1,0)</f>
        <v>0</v>
      </c>
      <c r="L108" s="8" t="n">
        <f aca="false">IF(L94&gt;=0,1,0)</f>
        <v>0</v>
      </c>
      <c r="M108" s="8" t="n">
        <f aca="false">IF(M94&gt;=0,1,0)</f>
        <v>0</v>
      </c>
      <c r="N108" s="8" t="n">
        <f aca="false">IF(N94&gt;=0,1,0)</f>
        <v>0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1761994.69324404</v>
      </c>
    </row>
    <row r="112" customFormat="false" ht="15" hidden="false" customHeight="false" outlineLevel="0" collapsed="false">
      <c r="A112" s="3" t="s">
        <v>28</v>
      </c>
      <c r="B112" s="31" t="n">
        <f aca="false">O94</f>
        <v>-1310882.99312818</v>
      </c>
    </row>
    <row r="113" customFormat="false" ht="15" hidden="false" customHeight="false" outlineLevel="0" collapsed="false">
      <c r="A113" s="3" t="s">
        <v>29</v>
      </c>
      <c r="B113" s="30" t="n">
        <f aca="false">O95</f>
        <v>-0.743976697633911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-2210882.99312818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50000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1499758.97369965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1000000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-499758.973699653</v>
      </c>
    </row>
    <row r="119" customFormat="false" ht="15" hidden="false" customHeight="false" outlineLevel="0" collapsed="false">
      <c r="A119" s="3" t="s">
        <v>35</v>
      </c>
      <c r="B119" s="32" t="n">
        <f aca="false">O33</f>
        <v>33.2021232014389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3.63590647482014</v>
      </c>
    </row>
    <row r="121" customFormat="false" ht="15" hidden="false" customHeight="false" outlineLevel="0" collapsed="false">
      <c r="A121" s="3" t="s">
        <v>37</v>
      </c>
      <c r="B121" s="31" t="n">
        <f aca="false">O39</f>
        <v>67.5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0.483498201438849</v>
      </c>
    </row>
    <row r="123" customFormat="false" ht="15" hidden="false" customHeight="false" outlineLevel="0" collapsed="false">
      <c r="A123" s="3" t="s">
        <v>39</v>
      </c>
      <c r="B123" s="40" t="str">
        <f aca="false">IFERROR(MATCH(1,C37:N37,0),"not in Y1")</f>
        <v>not in Y1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0.4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1.5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34929.9645127119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209833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57692.860181452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4.35557670730471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52.2669204876565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0.233003652059393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0.650763530821488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7.52884009442716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-132441.771834039</v>
      </c>
    </row>
    <row r="136" customFormat="false" ht="15" hidden="false" customHeight="false" outlineLevel="0" collapsed="false">
      <c r="A136" s="3" t="s">
        <v>50</v>
      </c>
      <c r="B136" s="40" t="str">
        <f aca="false">IFERROR(MATCH(1,C108:N108,0),"not in Y1")</f>
        <v>not in Y1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-1499758.97369965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1211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-64086.1106493325</v>
      </c>
      <c r="G94" s="37" t="n">
        <f aca="false">G71-G93</f>
        <v>-24837.549215548</v>
      </c>
      <c r="H94" s="37" t="n">
        <f aca="false">H71-H93</f>
        <v>-55300.9091869309</v>
      </c>
      <c r="I94" s="37" t="n">
        <f aca="false">I71-I93</f>
        <v>304206.086462996</v>
      </c>
      <c r="J94" s="37" t="n">
        <f aca="false">J71-J93</f>
        <v>345971.2739035</v>
      </c>
      <c r="K94" s="37" t="n">
        <f aca="false">K71-K93</f>
        <v>92789.8368900374</v>
      </c>
      <c r="L94" s="37" t="n">
        <f aca="false">L71-L93</f>
        <v>206205.829945038</v>
      </c>
      <c r="M94" s="37" t="n">
        <f aca="false">M71-M93</f>
        <v>233854.335614711</v>
      </c>
      <c r="N94" s="37" t="n">
        <f aca="false">N71-N93</f>
        <v>226901.227051843</v>
      </c>
      <c r="O94" s="31" t="n">
        <f aca="false">SUM(C94:N94)</f>
        <v>598199.826597075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-0.170831334726804</v>
      </c>
      <c r="G95" s="7" t="n">
        <f aca="false">IFERROR(G94/G59,0)</f>
        <v>-0.0537700809325076</v>
      </c>
      <c r="H95" s="7" t="n">
        <f aca="false">IFERROR(H94/H59,0)</f>
        <v>-0.124377739677173</v>
      </c>
      <c r="I95" s="7" t="n">
        <f aca="false">IFERROR(I94/I59,0)</f>
        <v>0.322383162675481</v>
      </c>
      <c r="J95" s="7" t="n">
        <f aca="false">IFERROR(J94/J59,0)</f>
        <v>0.347589403405718</v>
      </c>
      <c r="K95" s="7" t="n">
        <f aca="false">IFERROR(K94/K59,0)</f>
        <v>0.126153869185509</v>
      </c>
      <c r="L95" s="7" t="n">
        <f aca="false">IFERROR(L94/L59,0)</f>
        <v>0.237602165500221</v>
      </c>
      <c r="M95" s="7" t="n">
        <f aca="false">IFERROR(M94/M59,0)</f>
        <v>0.259711423196139</v>
      </c>
      <c r="N95" s="7" t="n">
        <f aca="false">IFERROR(N94/N59,0)</f>
        <v>0.254379166733019</v>
      </c>
      <c r="O95" s="7" t="n">
        <f aca="false">IFERROR(O94/O59,0)</f>
        <v>0.0832810244159277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-139086.110649333</v>
      </c>
      <c r="G96" s="8" t="n">
        <f aca="false">G94-INDEX(Assumptions!$C$163:$E$163,$B$3)</f>
        <v>-99837.549215548</v>
      </c>
      <c r="H96" s="8" t="n">
        <f aca="false">H94-INDEX(Assumptions!$C$163:$E$163,$B$3)</f>
        <v>-130300.909186931</v>
      </c>
      <c r="I96" s="8" t="n">
        <f aca="false">I94-INDEX(Assumptions!$C$163:$E$163,$B$3)</f>
        <v>229206.086462996</v>
      </c>
      <c r="J96" s="8" t="n">
        <f aca="false">J94-INDEX(Assumptions!$C$163:$E$163,$B$3)</f>
        <v>270971.2739035</v>
      </c>
      <c r="K96" s="8" t="n">
        <f aca="false">K94-INDEX(Assumptions!$C$163:$E$163,$B$3)</f>
        <v>17789.8368900374</v>
      </c>
      <c r="L96" s="8" t="n">
        <f aca="false">L94-INDEX(Assumptions!$C$163:$E$163,$B$3)</f>
        <v>131205.829945038</v>
      </c>
      <c r="M96" s="8" t="n">
        <f aca="false">M94-INDEX(Assumptions!$C$163:$E$163,$B$3)</f>
        <v>158854.335614711</v>
      </c>
      <c r="N96" s="8" t="n">
        <f aca="false">N94-INDEX(Assumptions!$C$163:$E$163,$B$3)</f>
        <v>151901.227051843</v>
      </c>
      <c r="O96" s="37" t="n">
        <f aca="false">SUM(C96:N96)</f>
        <v>-301800.173402925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-97877.4210306885</v>
      </c>
      <c r="G105" s="37" t="n">
        <f aca="false">G94+G104-G103</f>
        <v>-64900.2610799548</v>
      </c>
      <c r="H105" s="37" t="n">
        <f aca="false">H94+H104-H103</f>
        <v>-1505703.18695092</v>
      </c>
      <c r="I105" s="37" t="n">
        <f aca="false">I94+I104-I103</f>
        <v>72197.7085110777</v>
      </c>
      <c r="J105" s="37" t="n">
        <f aca="false">J94+J104-J103</f>
        <v>-17480.1822338678</v>
      </c>
      <c r="K105" s="37" t="n">
        <f aca="false">K94+K104-K103</f>
        <v>231122.277534305</v>
      </c>
      <c r="L105" s="37" t="n">
        <f aca="false">L94+L104-L103</f>
        <v>146512.251914249</v>
      </c>
      <c r="M105" s="37" t="n">
        <f aca="false">M94+M104-M103</f>
        <v>226935.894209493</v>
      </c>
      <c r="N105" s="37" t="n">
        <f aca="false">N94+N104-N103</f>
        <v>240341.222781604</v>
      </c>
      <c r="O105" s="31" t="n">
        <f aca="false">SUM(C105:N105)</f>
        <v>-1666226.44458937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-995252.169275352</v>
      </c>
      <c r="G106" s="37" t="n">
        <f aca="false">F106+G105</f>
        <v>-1060152.43035531</v>
      </c>
      <c r="H106" s="37" t="n">
        <f aca="false">G106+H105</f>
        <v>-2565855.61730623</v>
      </c>
      <c r="I106" s="37" t="n">
        <f aca="false">H106+I105</f>
        <v>-2493657.90879515</v>
      </c>
      <c r="J106" s="37" t="n">
        <f aca="false">I106+J105</f>
        <v>-2511138.09102902</v>
      </c>
      <c r="K106" s="37" t="n">
        <f aca="false">J106+K105</f>
        <v>-2280015.81349471</v>
      </c>
      <c r="L106" s="37" t="n">
        <f aca="false">K106+L105</f>
        <v>-2133503.56158046</v>
      </c>
      <c r="M106" s="37" t="n">
        <f aca="false">L106+M105</f>
        <v>-1906567.66737097</v>
      </c>
      <c r="N106" s="37" t="n">
        <f aca="false">M106+N105</f>
        <v>-1666226.44458937</v>
      </c>
      <c r="O106" s="31" t="n">
        <f aca="false">N106</f>
        <v>-1666226.44458937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995252.169275352</v>
      </c>
      <c r="G107" s="37" t="n">
        <f aca="false">-MIN(0,MIN($C$106:G106))</f>
        <v>1060152.43035531</v>
      </c>
      <c r="H107" s="37" t="n">
        <f aca="false">-MIN(0,MIN($C$106:H106))</f>
        <v>2565855.61730623</v>
      </c>
      <c r="I107" s="37" t="n">
        <f aca="false">-MIN(0,MIN($C$106:I106))</f>
        <v>2565855.61730623</v>
      </c>
      <c r="J107" s="37" t="n">
        <f aca="false">-MIN(0,MIN($C$106:J106))</f>
        <v>2565855.61730623</v>
      </c>
      <c r="K107" s="37" t="n">
        <f aca="false">-MIN(0,MIN($C$106:K106))</f>
        <v>2565855.61730623</v>
      </c>
      <c r="L107" s="37" t="n">
        <f aca="false">-MIN(0,MIN($C$106:L106))</f>
        <v>2565855.61730623</v>
      </c>
      <c r="M107" s="37" t="n">
        <f aca="false">-MIN(0,MIN($C$106:M106))</f>
        <v>2565855.61730623</v>
      </c>
      <c r="N107" s="37" t="n">
        <f aca="false">-MIN(0,MIN($C$106:N106))</f>
        <v>2565855.61730623</v>
      </c>
      <c r="O107" s="31" t="n">
        <f aca="false">MAX(C107:N107)</f>
        <v>2565855.61730623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598199.826597075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0.0832810244159277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-301800.173402925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2565855.61730623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434144.382693774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5.47965738818625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65.755888658235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666961.392611592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-1666226.44458937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1212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3</v>
      </c>
      <c r="C3" s="13" t="s">
        <v>1088</v>
      </c>
      <c r="D3" s="34" t="n">
        <v>3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0.908333333333333</v>
      </c>
      <c r="D11" s="7" t="n">
        <f aca="false">IF(2&lt;=6,1-(1-INDEX(Assumptions!$C$157:$E$157,$D$3))*2/6,INDEX(Assumptions!$C$157:$E$157,$D$3)-(INDEX(Assumptions!$C$157:$E$157,$D$3)-INDEX(Assumptions!$C$158:$E$158,$D$3))*(2-6)/6)</f>
        <v>0.816666666666667</v>
      </c>
      <c r="E11" s="7" t="n">
        <f aca="false">IF(3&lt;=6,1-(1-INDEX(Assumptions!$C$157:$E$157,$D$3))*3/6,INDEX(Assumptions!$C$157:$E$157,$D$3)-(INDEX(Assumptions!$C$157:$E$157,$D$3)-INDEX(Assumptions!$C$158:$E$158,$D$3))*(3-6)/6)</f>
        <v>0.725</v>
      </c>
      <c r="F11" s="7" t="n">
        <f aca="false">IF(4&lt;=6,1-(1-INDEX(Assumptions!$C$157:$E$157,$D$3))*4/6,INDEX(Assumptions!$C$157:$E$157,$D$3)-(INDEX(Assumptions!$C$157:$E$157,$D$3)-INDEX(Assumptions!$C$158:$E$158,$D$3))*(4-6)/6)</f>
        <v>0.633333333333333</v>
      </c>
      <c r="G11" s="7" t="n">
        <f aca="false">IF(5&lt;=6,1-(1-INDEX(Assumptions!$C$157:$E$157,$D$3))*5/6,INDEX(Assumptions!$C$157:$E$157,$D$3)-(INDEX(Assumptions!$C$157:$E$157,$D$3)-INDEX(Assumptions!$C$158:$E$158,$D$3))*(5-6)/6)</f>
        <v>0.541666666666667</v>
      </c>
      <c r="H11" s="7" t="n">
        <f aca="false">IF(6&lt;=6,1-(1-INDEX(Assumptions!$C$157:$E$157,$D$3))*6/6,INDEX(Assumptions!$C$157:$E$157,$D$3)-(INDEX(Assumptions!$C$157:$E$157,$D$3)-INDEX(Assumptions!$C$158:$E$158,$D$3))*(6-6)/6)</f>
        <v>0.45</v>
      </c>
      <c r="I11" s="7" t="n">
        <f aca="false">IF(7&lt;=6,1-(1-INDEX(Assumptions!$C$157:$E$157,$D$3))*7/6,INDEX(Assumptions!$C$157:$E$157,$D$3)-(INDEX(Assumptions!$C$157:$E$157,$D$3)-INDEX(Assumptions!$C$158:$E$158,$D$3))*(7-6)/6)</f>
        <v>0.416666666666667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0.383333333333333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0.35</v>
      </c>
      <c r="L11" s="7" t="n">
        <f aca="false">IF(10&lt;=6,1-(1-INDEX(Assumptions!$C$157:$E$157,$D$3))*10/6,INDEX(Assumptions!$C$157:$E$157,$D$3)-(INDEX(Assumptions!$C$157:$E$157,$D$3)-INDEX(Assumptions!$C$158:$E$158,$D$3))*(10-6)/6)</f>
        <v>0.316666666666667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0.283333333333333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3</v>
      </c>
      <c r="D13" s="27" t="n">
        <f aca="false">INDEX(Assumptions!$C$9:$E$9,$B$3)*INDEX(Assumptions!$C$12:$E$12,$B$3)/12</f>
        <v>3</v>
      </c>
      <c r="E13" s="27" t="n">
        <f aca="false">INDEX(Assumptions!$C$9:$E$9,$B$3)*INDEX(Assumptions!$C$12:$E$12,$B$3)/12</f>
        <v>3</v>
      </c>
      <c r="F13" s="27" t="n">
        <f aca="false">INDEX(Assumptions!$C$9:$E$9,$B$3)*INDEX(Assumptions!$C$12:$E$12,$B$3)/12</f>
        <v>3</v>
      </c>
      <c r="G13" s="27" t="n">
        <f aca="false">INDEX(Assumptions!$C$9:$E$9,$B$3)*INDEX(Assumptions!$C$12:$E$12,$B$3)/12</f>
        <v>3</v>
      </c>
      <c r="H13" s="27" t="n">
        <f aca="false">INDEX(Assumptions!$C$9:$E$9,$B$3)*INDEX(Assumptions!$C$12:$E$12,$B$3)/12</f>
        <v>3</v>
      </c>
      <c r="I13" s="27" t="n">
        <f aca="false">INDEX(Assumptions!$C$9:$E$9,$B$3)*INDEX(Assumptions!$C$12:$E$12,$B$3)/12</f>
        <v>3</v>
      </c>
      <c r="J13" s="27" t="n">
        <f aca="false">INDEX(Assumptions!$C$9:$E$9,$B$3)*INDEX(Assumptions!$C$12:$E$12,$B$3)/12</f>
        <v>3</v>
      </c>
      <c r="K13" s="27" t="n">
        <f aca="false">INDEX(Assumptions!$C$9:$E$9,$B$3)*INDEX(Assumptions!$C$12:$E$12,$B$3)/12</f>
        <v>3</v>
      </c>
      <c r="L13" s="27" t="n">
        <f aca="false">INDEX(Assumptions!$C$9:$E$9,$B$3)*INDEX(Assumptions!$C$12:$E$12,$B$3)/12</f>
        <v>3</v>
      </c>
      <c r="M13" s="27" t="n">
        <f aca="false">INDEX(Assumptions!$C$9:$E$9,$B$3)*INDEX(Assumptions!$C$12:$E$12,$B$3)/12</f>
        <v>3</v>
      </c>
      <c r="N13" s="27" t="n">
        <f aca="false">INDEX(Assumptions!$C$9:$E$9,$B$3)*INDEX(Assumptions!$C$12:$E$12,$B$3)/12</f>
        <v>3</v>
      </c>
      <c r="O13" s="35" t="n">
        <f aca="false">SUM(C13:N13)</f>
        <v>36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3</v>
      </c>
      <c r="D14" s="27" t="n">
        <f aca="false">D13+(INDEX(Assumptions!$C$25:$E$25,$D$3)*(1-(INDEX(Assumptions!$C$27:$E$27,$B$3)+INDEX(Assumptions!$C$28:$E$28,$B$3)+INDEX(Assumptions!$C$31:$E$31,$B$3)))-D13)*MIN(1,(2-1)/6)</f>
        <v>3.5</v>
      </c>
      <c r="E14" s="27" t="n">
        <f aca="false">E13+(INDEX(Assumptions!$C$25:$E$25,$D$3)*(1-(INDEX(Assumptions!$C$27:$E$27,$B$3)+INDEX(Assumptions!$C$28:$E$28,$B$3)+INDEX(Assumptions!$C$31:$E$31,$B$3)))-E13)*MIN(1,(3-1)/6)</f>
        <v>4</v>
      </c>
      <c r="F14" s="27" t="n">
        <f aca="false">F13+(INDEX(Assumptions!$C$25:$E$25,$D$3)*(1-(INDEX(Assumptions!$C$27:$E$27,$B$3)+INDEX(Assumptions!$C$28:$E$28,$B$3)+INDEX(Assumptions!$C$31:$E$31,$B$3)))-F13)*MIN(1,(4-1)/6)</f>
        <v>4.5</v>
      </c>
      <c r="G14" s="27" t="n">
        <f aca="false">G13+(INDEX(Assumptions!$C$25:$E$25,$D$3)*(1-(INDEX(Assumptions!$C$27:$E$27,$B$3)+INDEX(Assumptions!$C$28:$E$28,$B$3)+INDEX(Assumptions!$C$31:$E$31,$B$3)))-G13)*MIN(1,(5-1)/6)</f>
        <v>5</v>
      </c>
      <c r="H14" s="27" t="n">
        <f aca="false">H13+(INDEX(Assumptions!$C$25:$E$25,$D$3)*(1-(INDEX(Assumptions!$C$27:$E$27,$B$3)+INDEX(Assumptions!$C$28:$E$28,$B$3)+INDEX(Assumptions!$C$31:$E$31,$B$3)))-H13)*MIN(1,(6-1)/6)</f>
        <v>5.5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61.5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3</v>
      </c>
      <c r="D16" s="27" t="n">
        <f aca="false">D14+D15</f>
        <v>5</v>
      </c>
      <c r="E16" s="27" t="n">
        <f aca="false">E14+E15</f>
        <v>7</v>
      </c>
      <c r="F16" s="27" t="n">
        <f aca="false">F14+F15</f>
        <v>9</v>
      </c>
      <c r="G16" s="27" t="n">
        <f aca="false">G14+G15</f>
        <v>11</v>
      </c>
      <c r="H16" s="27" t="n">
        <f aca="false">H14+H15</f>
        <v>13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138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50000</v>
      </c>
      <c r="E17" s="8" t="n">
        <f aca="false">INDEX(Assumptions!$C$123:$E$123,$D$3)*$J$4</f>
        <v>60000</v>
      </c>
      <c r="F17" s="8" t="n">
        <f aca="false">INDEX(Assumptions!$C$124:$E$124,$D$3)*$J$4</f>
        <v>70000</v>
      </c>
      <c r="G17" s="8" t="n">
        <f aca="false">INDEX(Assumptions!$C$125:$E$125,$D$3)*$J$4</f>
        <v>120000</v>
      </c>
      <c r="H17" s="8" t="n">
        <f aca="false">INDEX(Assumptions!$C$126:$E$126,$D$3)*$J$4</f>
        <v>170000</v>
      </c>
      <c r="I17" s="8" t="n">
        <f aca="false">INDEX(Assumptions!$C$127:$E$127,$D$3)*$J$4</f>
        <v>200000</v>
      </c>
      <c r="J17" s="8" t="n">
        <f aca="false">INDEX(Assumptions!$C$128:$E$128,$D$3)*$J$4</f>
        <v>200000</v>
      </c>
      <c r="K17" s="8" t="n">
        <f aca="false">INDEX(Assumptions!$C$129:$E$129,$D$3)*$J$4</f>
        <v>200000</v>
      </c>
      <c r="L17" s="8" t="n">
        <f aca="false">INDEX(Assumptions!$C$130:$E$130,$D$3)*$J$4</f>
        <v>200000</v>
      </c>
      <c r="M17" s="8" t="n">
        <f aca="false">INDEX(Assumptions!$C$131:$E$131,$D$3)*$J$4</f>
        <v>200000</v>
      </c>
      <c r="N17" s="8" t="n">
        <f aca="false">INDEX(Assumptions!$C$132:$E$132,$D$3)*$J$4</f>
        <v>200000</v>
      </c>
      <c r="O17" s="37" t="n">
        <f aca="false">SUM(C17:N17)</f>
        <v>1685000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3437.62950683796</v>
      </c>
      <c r="D18" s="8" t="n">
        <f aca="false">INDEX(Assumptions!$C$115:$E$115,$B$3)*INDEX(Assumptions!$C$120:$E$120,$B$3)*$L$3/$F$3</f>
        <v>3437.62950683796</v>
      </c>
      <c r="E18" s="8" t="n">
        <f aca="false">INDEX(Assumptions!$C$115:$E$115,$B$3)*INDEX(Assumptions!$C$120:$E$120,$B$3)*$L$3/$F$3</f>
        <v>3437.62950683796</v>
      </c>
      <c r="F18" s="8" t="n">
        <f aca="false">INDEX(Assumptions!$C$115:$E$115,$B$3)*INDEX(Assumptions!$C$120:$E$120,$B$3)*$L$3/$F$3</f>
        <v>3437.62950683796</v>
      </c>
      <c r="G18" s="8" t="n">
        <f aca="false">INDEX(Assumptions!$C$115:$E$115,$B$3)*INDEX(Assumptions!$C$120:$E$120,$B$3)*$L$3/$F$3</f>
        <v>3437.62950683796</v>
      </c>
      <c r="H18" s="8" t="n">
        <f aca="false">INDEX(Assumptions!$C$115:$E$115,$B$3)*INDEX(Assumptions!$C$120:$E$120,$B$3)*$L$3/$F$3</f>
        <v>3437.62950683796</v>
      </c>
      <c r="I18" s="8" t="n">
        <f aca="false">INDEX(Assumptions!$C$115:$E$115,$B$3)*INDEX(Assumptions!$C$120:$E$120,$B$3)*$L$3/$F$3</f>
        <v>3437.62950683796</v>
      </c>
      <c r="J18" s="8" t="n">
        <f aca="false">INDEX(Assumptions!$C$115:$E$115,$B$3)*INDEX(Assumptions!$C$120:$E$120,$B$3)*$L$3/$F$3</f>
        <v>3437.62950683796</v>
      </c>
      <c r="K18" s="8" t="n">
        <f aca="false">INDEX(Assumptions!$C$115:$E$115,$B$3)*INDEX(Assumptions!$C$120:$E$120,$B$3)*$L$3/$F$3</f>
        <v>3437.62950683796</v>
      </c>
      <c r="L18" s="8" t="n">
        <f aca="false">INDEX(Assumptions!$C$115:$E$115,$B$3)*INDEX(Assumptions!$C$120:$E$120,$B$3)*$L$3/$F$3</f>
        <v>3437.62950683796</v>
      </c>
      <c r="M18" s="8" t="n">
        <f aca="false">INDEX(Assumptions!$C$115:$E$115,$B$3)*INDEX(Assumptions!$C$120:$E$120,$B$3)*$L$3/$F$3</f>
        <v>3437.62950683796</v>
      </c>
      <c r="N18" s="8" t="n">
        <f aca="false">INDEX(Assumptions!$C$115:$E$115,$B$3)*INDEX(Assumptions!$C$120:$E$120,$B$3)*$L$3/$F$3</f>
        <v>3437.62950683796</v>
      </c>
      <c r="O18" s="37" t="n">
        <f aca="false">AVERAGE(C18:N18)</f>
        <v>3437.62950683796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0.77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0.980833333333333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3.05443037974684</v>
      </c>
      <c r="D20" s="27" t="n">
        <f aca="false">D17*INDEX(Assumptions!$C$119:$E$119,$B$3)/D18</f>
        <v>10.1814345991561</v>
      </c>
      <c r="E20" s="27" t="n">
        <f aca="false">E17*INDEX(Assumptions!$C$119:$E$119,$B$3)/E18</f>
        <v>12.2177215189873</v>
      </c>
      <c r="F20" s="27" t="n">
        <f aca="false">F17*INDEX(Assumptions!$C$119:$E$119,$B$3)/F18</f>
        <v>14.2540084388186</v>
      </c>
      <c r="G20" s="27" t="n">
        <f aca="false">G17*INDEX(Assumptions!$C$119:$E$119,$B$3)/G18</f>
        <v>24.4354430379747</v>
      </c>
      <c r="H20" s="27" t="n">
        <f aca="false">H17*INDEX(Assumptions!$C$119:$E$119,$B$3)/H18</f>
        <v>34.6168776371308</v>
      </c>
      <c r="I20" s="27" t="n">
        <f aca="false">I17*INDEX(Assumptions!$C$119:$E$119,$B$3)/I18</f>
        <v>40.7257383966245</v>
      </c>
      <c r="J20" s="27" t="n">
        <f aca="false">J17*INDEX(Assumptions!$C$119:$E$119,$B$3)/J18</f>
        <v>40.7257383966245</v>
      </c>
      <c r="K20" s="27" t="n">
        <f aca="false">K17*INDEX(Assumptions!$C$119:$E$119,$B$3)/K18</f>
        <v>40.7257383966245</v>
      </c>
      <c r="L20" s="27" t="n">
        <f aca="false">L17*INDEX(Assumptions!$C$119:$E$119,$B$3)/L18</f>
        <v>40.7257383966245</v>
      </c>
      <c r="M20" s="27" t="n">
        <f aca="false">M17*INDEX(Assumptions!$C$119:$E$119,$B$3)/M18</f>
        <v>40.7257383966245</v>
      </c>
      <c r="N20" s="27" t="n">
        <f aca="false">N17*INDEX(Assumptions!$C$119:$E$119,$B$3)/N18</f>
        <v>40.7257383966245</v>
      </c>
      <c r="O20" s="35" t="n">
        <f aca="false">SUM(C20:N20)</f>
        <v>343.114345991561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2.4</v>
      </c>
      <c r="D21" s="35" t="n">
        <f aca="false">D9*(D13*$F$3+(D14-D13)*$F$3*D19+MIN(D15,D20*D19))</f>
        <v>3.75</v>
      </c>
      <c r="E21" s="35" t="n">
        <f aca="false">E9*(E13*$F$3+(E14-E13)*$F$3*E19+MIN(E15,E20*E19))</f>
        <v>4.9</v>
      </c>
      <c r="F21" s="35" t="n">
        <f aca="false">F9*(F13*$F$3+(F14-F13)*$F$3*F19+MIN(F15,F20*F19))</f>
        <v>7.2</v>
      </c>
      <c r="G21" s="35" t="n">
        <f aca="false">G9*(G13*$F$3+(G14-G13)*$F$3*G19+MIN(G15,G20*G19))</f>
        <v>9.9</v>
      </c>
      <c r="H21" s="35" t="n">
        <f aca="false">H9*(H13*$F$3+(H14-H13)*$F$3*H19+MIN(H15,H20*H19))</f>
        <v>13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146.9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16</v>
      </c>
      <c r="G22" s="8" t="n">
        <f aca="false">IF(5&gt;=INDEX(Assumptions!$C$173:$E$173,$D$3),INDEX(Assumptions!$C$176:$E$176,$D$3),INDEX(Assumptions!$C$171:$E$171,$B$3))</f>
        <v>16</v>
      </c>
      <c r="H22" s="8" t="n">
        <f aca="false">IF(6&gt;=INDEX(Assumptions!$C$173:$E$173,$D$3),INDEX(Assumptions!$C$176:$E$176,$D$3),INDEX(Assumptions!$C$171:$E$171,$B$3))</f>
        <v>16</v>
      </c>
      <c r="I22" s="8" t="n">
        <f aca="false">IF(7&gt;=INDEX(Assumptions!$C$173:$E$173,$D$3),INDEX(Assumptions!$C$176:$E$176,$D$3),INDEX(Assumptions!$C$171:$E$171,$B$3))</f>
        <v>16</v>
      </c>
      <c r="J22" s="8" t="n">
        <f aca="false">IF(8&gt;=INDEX(Assumptions!$C$173:$E$173,$D$3),INDEX(Assumptions!$C$176:$E$176,$D$3),INDEX(Assumptions!$C$171:$E$171,$B$3))</f>
        <v>16</v>
      </c>
      <c r="K22" s="8" t="n">
        <f aca="false">IF(9&gt;=INDEX(Assumptions!$C$173:$E$173,$D$3),INDEX(Assumptions!$C$176:$E$176,$D$3),INDEX(Assumptions!$C$171:$E$171,$B$3))</f>
        <v>16</v>
      </c>
      <c r="L22" s="8" t="n">
        <f aca="false">IF(10&gt;=INDEX(Assumptions!$C$173:$E$173,$D$3),INDEX(Assumptions!$C$176:$E$176,$D$3),INDEX(Assumptions!$C$171:$E$171,$B$3))</f>
        <v>16</v>
      </c>
      <c r="M22" s="8" t="n">
        <f aca="false">IF(11&gt;=INDEX(Assumptions!$C$173:$E$173,$D$3),INDEX(Assumptions!$C$176:$E$176,$D$3),INDEX(Assumptions!$C$171:$E$171,$B$3))</f>
        <v>16</v>
      </c>
      <c r="N22" s="8" t="n">
        <f aca="false">IF(12&gt;=INDEX(Assumptions!$C$173:$E$173,$D$3),INDEX(Assumptions!$C$176:$E$176,$D$3),INDEX(Assumptions!$C$171:$E$171,$B$3))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2.5</v>
      </c>
      <c r="G23" s="6" t="n">
        <f aca="false">IF(5&gt;=INDEX(Assumptions!$C$173:$E$173,$D$3),INDEX(Assumptions!$C$177:$E$177,$D$3),INDEX(Assumptions!$C$172:$E$172,$D$3))</f>
        <v>2.5</v>
      </c>
      <c r="H23" s="6" t="n">
        <f aca="false">IF(6&gt;=INDEX(Assumptions!$C$173:$E$173,$D$3),INDEX(Assumptions!$C$177:$E$177,$D$3),INDEX(Assumptions!$C$172:$E$172,$D$3))</f>
        <v>2.5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36</v>
      </c>
      <c r="G24" s="6" t="n">
        <f aca="false">G22*G23*INDEX(Assumptions!$C$178:$E$178,$B$3)</f>
        <v>36</v>
      </c>
      <c r="H24" s="6" t="n">
        <f aca="false">H22*H23*INDEX(Assumptions!$C$178:$E$178,$B$3)</f>
        <v>36</v>
      </c>
      <c r="I24" s="6" t="n">
        <f aca="false">I22*I23*INDEX(Assumptions!$C$178:$E$178,$B$3)</f>
        <v>36</v>
      </c>
      <c r="J24" s="6" t="n">
        <f aca="false">J22*J23*INDEX(Assumptions!$C$178:$E$178,$B$3)</f>
        <v>36</v>
      </c>
      <c r="K24" s="6" t="n">
        <f aca="false">K22*K23*INDEX(Assumptions!$C$178:$E$178,$B$3)</f>
        <v>36</v>
      </c>
      <c r="L24" s="6" t="n">
        <f aca="false">L22*L23*INDEX(Assumptions!$C$178:$E$178,$B$3)</f>
        <v>36</v>
      </c>
      <c r="M24" s="6" t="n">
        <f aca="false">M22*M23*INDEX(Assumptions!$C$178:$E$178,$B$3)</f>
        <v>36</v>
      </c>
      <c r="N24" s="6" t="n">
        <f aca="false">N22*N23*INDEX(Assumptions!$C$178:$E$178,$B$3)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0.35</v>
      </c>
      <c r="K25" s="7" t="n">
        <f aca="false">IF(9&gt;=INDEX(Assumptions!$C$189:$E$189,$D$3),INDEX(Assumptions!$C$74:$E$74,$B$3),0)</f>
        <v>0.35</v>
      </c>
      <c r="L25" s="7" t="n">
        <f aca="false">IF(10&gt;=INDEX(Assumptions!$C$189:$E$189,$D$3),INDEX(Assumptions!$C$74:$E$74,$B$3),0)</f>
        <v>0.35</v>
      </c>
      <c r="M25" s="7" t="n">
        <f aca="false">IF(11&gt;=INDEX(Assumptions!$C$189:$E$189,$D$3),INDEX(Assumptions!$C$74:$E$74,$B$3),0)</f>
        <v>0.35</v>
      </c>
      <c r="N25" s="7" t="n">
        <f aca="false">IF(12&gt;=INDEX(Assumptions!$C$189:$E$189,$D$3),INDEX(Assumptions!$C$74:$E$74,$B$3),0)</f>
        <v>0.35</v>
      </c>
      <c r="O25" s="36" t="n">
        <f aca="false">N25</f>
        <v>0.35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1.68</v>
      </c>
      <c r="E26" s="6" t="n">
        <f aca="false">D29+C29+D32+C32+1.25*D30</f>
        <v>4.593</v>
      </c>
      <c r="F26" s="6" t="n">
        <f aca="false">E29+D29+E32+D32+1.25*E30</f>
        <v>6.793</v>
      </c>
      <c r="G26" s="6" t="n">
        <f aca="false">F29+E29+F32+E32+1.25*F30</f>
        <v>9.508</v>
      </c>
      <c r="H26" s="6" t="n">
        <f aca="false">G29+F29+G32+F32+1.25*G30</f>
        <v>13.422</v>
      </c>
      <c r="I26" s="6" t="n">
        <f aca="false">H29+G29+H32+G32+1.25*H30</f>
        <v>18.082</v>
      </c>
      <c r="J26" s="6" t="n">
        <f aca="false">I29+H29+I32+H32+1.25*I30</f>
        <v>23.2287777777778</v>
      </c>
      <c r="K26" s="6" t="n">
        <f aca="false">J29+I29+J32+I32+1.25*J30</f>
        <v>22.4078600748294</v>
      </c>
      <c r="L26" s="6" t="n">
        <f aca="false">K29+J29+K32+J32+1.25*K30</f>
        <v>16.0832559304507</v>
      </c>
      <c r="M26" s="6" t="n">
        <f aca="false">L29+K29+L32+K32+1.25*L30</f>
        <v>20.3129184419865</v>
      </c>
      <c r="N26" s="6" t="n">
        <f aca="false">M29+L29+M32+L32+1.25*M30</f>
        <v>20.6709367722005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4.038</v>
      </c>
      <c r="E27" s="6" t="n">
        <f aca="false">E21*(INDEX(Assumptions!$C$26:$E$26,$B$3)*(1-E25)+INDEX(Assumptions!$C$26:$E$26,$B$3)*E25*1.25+(1-INDEX(Assumptions!$C$26:$E$26,$B$3)))+D31*INDEX(Assumptions!$C$89:$E$89,$B$3)</f>
        <v>5.35</v>
      </c>
      <c r="F27" s="6" t="n">
        <f aca="false">F21*(INDEX(Assumptions!$C$26:$E$26,$B$3)*(1-F25)+INDEX(Assumptions!$C$26:$E$26,$B$3)*F25*1.25+(1-INDEX(Assumptions!$C$26:$E$26,$B$3)))+E31*INDEX(Assumptions!$C$89:$E$89,$B$3)</f>
        <v>7.788</v>
      </c>
      <c r="G27" s="6" t="n">
        <f aca="false">G21*(INDEX(Assumptions!$C$26:$E$26,$B$3)*(1-G25)+INDEX(Assumptions!$C$26:$E$26,$B$3)*G25*1.25+(1-INDEX(Assumptions!$C$26:$E$26,$B$3)))+F31*INDEX(Assumptions!$C$89:$E$89,$B$3)</f>
        <v>10.764</v>
      </c>
      <c r="H27" s="6" t="n">
        <f aca="false">H21*(INDEX(Assumptions!$C$26:$E$26,$B$3)*(1-H25)+INDEX(Assumptions!$C$26:$E$26,$B$3)*H25*1.25+(1-INDEX(Assumptions!$C$26:$E$26,$B$3)))+G31*INDEX(Assumptions!$C$89:$E$89,$B$3)</f>
        <v>14.188</v>
      </c>
      <c r="I27" s="6" t="n">
        <f aca="false">I21*(INDEX(Assumptions!$C$26:$E$26,$B$3)*(1-I25)+INDEX(Assumptions!$C$26:$E$26,$B$3)*I25*1.25+(1-INDEX(Assumptions!$C$26:$E$26,$B$3)))+H31*INDEX(Assumptions!$C$89:$E$89,$B$3)</f>
        <v>21.06</v>
      </c>
      <c r="J27" s="6" t="n">
        <f aca="false">J21*(INDEX(Assumptions!$C$26:$E$26,$B$3)*(1-J25)+INDEX(Assumptions!$C$26:$E$26,$B$3)*J25*1.25+(1-INDEX(Assumptions!$C$26:$E$26,$B$3)))+I31*INDEX(Assumptions!$C$89:$E$89,$B$3)</f>
        <v>23.4812013888889</v>
      </c>
      <c r="K27" s="6" t="n">
        <f aca="false">K21*(INDEX(Assumptions!$C$26:$E$26,$B$3)*(1-K25)+INDEX(Assumptions!$C$26:$E$26,$B$3)*K25*1.25+(1-INDEX(Assumptions!$C$26:$E$26,$B$3)))+J31*INDEX(Assumptions!$C$89:$E$89,$B$3)</f>
        <v>21.2200934700683</v>
      </c>
      <c r="L27" s="6" t="n">
        <f aca="false">L21*(INDEX(Assumptions!$C$26:$E$26,$B$3)*(1-L25)+INDEX(Assumptions!$C$26:$E$26,$B$3)*L25*1.25+(1-INDEX(Assumptions!$C$26:$E$26,$B$3)))+K31*INDEX(Assumptions!$C$89:$E$89,$B$3)</f>
        <v>18.951821047264</v>
      </c>
      <c r="M27" s="6" t="n">
        <f aca="false">M21*(INDEX(Assumptions!$C$26:$E$26,$B$3)*(1-M25)+INDEX(Assumptions!$C$26:$E$26,$B$3)*M25*1.25+(1-INDEX(Assumptions!$C$26:$E$26,$B$3)))+L31*INDEX(Assumptions!$C$89:$E$89,$B$3)</f>
        <v>18.6946875</v>
      </c>
      <c r="N27" s="6" t="n">
        <f aca="false">N21*(INDEX(Assumptions!$C$26:$E$26,$B$3)*(1-N25)+INDEX(Assumptions!$C$26:$E$26,$B$3)*N25*1.25+(1-INDEX(Assumptions!$C$26:$E$26,$B$3)))+M31*INDEX(Assumptions!$C$89:$E$89,$B$3)</f>
        <v>17.5046863332308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0.850807217473884</v>
      </c>
      <c r="J28" s="7" t="n">
        <f aca="false">IF(J27&lt;=0,1,MAX(0,MIN(1,(J24-J26)/J27)))</f>
        <v>0.543891345707101</v>
      </c>
      <c r="K28" s="7" t="n">
        <f aca="false">IF(K27&lt;=0,1,MAX(0,MIN(1,(K24-K26)/K27)))</f>
        <v>0.640531576561756</v>
      </c>
      <c r="L28" s="7" t="n">
        <f aca="false">IF(L27&lt;=0,1,MAX(0,MIN(1,(L24-L26)/L27)))</f>
        <v>1</v>
      </c>
      <c r="M28" s="7" t="n">
        <f aca="false">IF(M27&lt;=0,1,MAX(0,MIN(1,(M24-M26)/M27)))</f>
        <v>0.839119753032165</v>
      </c>
      <c r="N28" s="7" t="n">
        <f aca="false">IF(N27&lt;=0,1,MAX(0,MIN(1,(N24-N26)/N27)))</f>
        <v>0.875711962841569</v>
      </c>
      <c r="O28" s="7" t="n">
        <f aca="false">MIN(C28:N28)</f>
        <v>0.543891345707101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1.68</v>
      </c>
      <c r="D29" s="35" t="n">
        <f aca="false">D21*INDEX(Assumptions!$C$26:$E$26,$B$3)*(1-D25)*D28</f>
        <v>2.625</v>
      </c>
      <c r="E29" s="35" t="n">
        <f aca="false">E21*INDEX(Assumptions!$C$26:$E$26,$B$3)*(1-E25)*E28</f>
        <v>3.43</v>
      </c>
      <c r="F29" s="35" t="n">
        <f aca="false">F21*INDEX(Assumptions!$C$26:$E$26,$B$3)*(1-F25)*F28</f>
        <v>5.04</v>
      </c>
      <c r="G29" s="35" t="n">
        <f aca="false">G21*INDEX(Assumptions!$C$26:$E$26,$B$3)*(1-G25)*G28</f>
        <v>6.93</v>
      </c>
      <c r="H29" s="35" t="n">
        <f aca="false">H21*INDEX(Assumptions!$C$26:$E$26,$B$3)*(1-H25)*H28</f>
        <v>9.1</v>
      </c>
      <c r="I29" s="35" t="n">
        <f aca="false">I21*INDEX(Assumptions!$C$26:$E$26,$B$3)*(1-I25)*I28</f>
        <v>11.6135185185185</v>
      </c>
      <c r="J29" s="35" t="n">
        <f aca="false">J21*INDEX(Assumptions!$C$26:$E$26,$B$3)*(1-J25)*J28</f>
        <v>5.0112788865088</v>
      </c>
      <c r="K29" s="35" t="n">
        <f aca="false">K21*INDEX(Assumptions!$C$26:$E$26,$B$3)*(1-K25)*K28</f>
        <v>5.46453501254248</v>
      </c>
      <c r="L29" s="35" t="n">
        <f aca="false">L21*INDEX(Assumptions!$C$26:$E$26,$B$3)*(1-L25)*L28</f>
        <v>7.5075</v>
      </c>
      <c r="M29" s="35" t="n">
        <f aca="false">M21*INDEX(Assumptions!$C$26:$E$26,$B$3)*(1-M25)*M28</f>
        <v>6.01334193016675</v>
      </c>
      <c r="N29" s="35" t="n">
        <f aca="false">N21*INDEX(Assumptions!$C$26:$E$26,$B$3)*(1-N25)*N28</f>
        <v>5.97673414639371</v>
      </c>
      <c r="O29" s="38" t="n">
        <f aca="false">SUM(C29:N29)</f>
        <v>70.3919084941303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2.69838093888935</v>
      </c>
      <c r="K30" s="27" t="n">
        <f aca="false">K21*INDEX(Assumptions!$C$26:$E$26,$B$3)*K25*K28</f>
        <v>2.94244192983057</v>
      </c>
      <c r="L30" s="27" t="n">
        <f aca="false">L21*INDEX(Assumptions!$C$26:$E$26,$B$3)*L25*L28</f>
        <v>4.0425</v>
      </c>
      <c r="M30" s="27" t="n">
        <f aca="false">M21*INDEX(Assumptions!$C$26:$E$26,$B$3)*M25*M28</f>
        <v>3.23795334701286</v>
      </c>
      <c r="N30" s="27" t="n">
        <f aca="false">N21*INDEX(Assumptions!$C$26:$E$26,$B$3)*N25*N28</f>
        <v>3.21824146344277</v>
      </c>
      <c r="O30" s="35" t="n">
        <f aca="false">SUM(C30:N30)</f>
        <v>16.1395176791756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0.72</v>
      </c>
      <c r="D31" s="27" t="n">
        <f aca="false">D21*(1-INDEX(Assumptions!$C$26:$E$26,$B$3))*D28</f>
        <v>1.125</v>
      </c>
      <c r="E31" s="27" t="n">
        <f aca="false">E21*(1-INDEX(Assumptions!$C$26:$E$26,$B$3))*E28</f>
        <v>1.47</v>
      </c>
      <c r="F31" s="27" t="n">
        <f aca="false">F21*(1-INDEX(Assumptions!$C$26:$E$26,$B$3))*F28</f>
        <v>2.16</v>
      </c>
      <c r="G31" s="27" t="n">
        <f aca="false">G21*(1-INDEX(Assumptions!$C$26:$E$26,$B$3))*G28</f>
        <v>2.97</v>
      </c>
      <c r="H31" s="27" t="n">
        <f aca="false">H21*(1-INDEX(Assumptions!$C$26:$E$26,$B$3))*H28</f>
        <v>3.9</v>
      </c>
      <c r="I31" s="27" t="n">
        <f aca="false">I21*(1-INDEX(Assumptions!$C$26:$E$26,$B$3))*I28</f>
        <v>4.97722222222222</v>
      </c>
      <c r="J31" s="27" t="n">
        <f aca="false">J21*(1-INDEX(Assumptions!$C$26:$E$26,$B$3))*J28</f>
        <v>3.30413992517064</v>
      </c>
      <c r="K31" s="27" t="n">
        <f aca="false">K21*(1-INDEX(Assumptions!$C$26:$E$26,$B$3))*K28</f>
        <v>3.60299011815988</v>
      </c>
      <c r="L31" s="27" t="n">
        <f aca="false">L21*(1-INDEX(Assumptions!$C$26:$E$26,$B$3))*L28</f>
        <v>4.95</v>
      </c>
      <c r="M31" s="27" t="n">
        <f aca="false">M21*(1-INDEX(Assumptions!$C$26:$E$26,$B$3))*M28</f>
        <v>3.96484083307698</v>
      </c>
      <c r="N31" s="27" t="n">
        <f aca="false">N21*(1-INDEX(Assumptions!$C$26:$E$26,$B$3))*N28</f>
        <v>3.94070383278706</v>
      </c>
      <c r="O31" s="35" t="n">
        <f aca="false">SUM(C31:N31)</f>
        <v>37.0848969314168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0.45</v>
      </c>
      <c r="F32" s="27" t="n">
        <f aca="false">E31*INDEX(Assumptions!$C$89:$E$89,$B$3)*F28</f>
        <v>0.588</v>
      </c>
      <c r="G32" s="27" t="n">
        <f aca="false">F31*INDEX(Assumptions!$C$89:$E$89,$B$3)*G28</f>
        <v>0.864</v>
      </c>
      <c r="H32" s="27" t="n">
        <f aca="false">G31*INDEX(Assumptions!$C$89:$E$89,$B$3)*H28</f>
        <v>1.188</v>
      </c>
      <c r="I32" s="27" t="n">
        <f aca="false">H31*INDEX(Assumptions!$C$89:$E$89,$B$3)*I28</f>
        <v>1.32725925925926</v>
      </c>
      <c r="J32" s="27" t="n">
        <f aca="false">I31*INDEX(Assumptions!$C$89:$E$89,$B$3)*J28</f>
        <v>1.08282723693109</v>
      </c>
      <c r="K32" s="27" t="n">
        <f aca="false">J31*INDEX(Assumptions!$C$89:$E$89,$B$3)*K28</f>
        <v>0.846562382180076</v>
      </c>
      <c r="L32" s="27" t="n">
        <f aca="false">K31*INDEX(Assumptions!$C$89:$E$89,$B$3)*L28</f>
        <v>1.44119604726395</v>
      </c>
      <c r="M32" s="27" t="n">
        <f aca="false">L31*INDEX(Assumptions!$C$89:$E$89,$B$3)*M28</f>
        <v>1.66145711100369</v>
      </c>
      <c r="N32" s="27" t="n">
        <f aca="false">M31*INDEX(Assumptions!$C$89:$E$89,$B$3)*N28</f>
        <v>1.3888234193153</v>
      </c>
      <c r="O32" s="35" t="n">
        <f aca="false">SUM(C32:N32)</f>
        <v>11.1261254559534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2.4</v>
      </c>
      <c r="D33" s="35" t="n">
        <f aca="false">D29+D30+D31</f>
        <v>3.75</v>
      </c>
      <c r="E33" s="35" t="n">
        <f aca="false">E29+E30+E31</f>
        <v>4.9</v>
      </c>
      <c r="F33" s="35" t="n">
        <f aca="false">F29+F30+F31</f>
        <v>7.2</v>
      </c>
      <c r="G33" s="35" t="n">
        <f aca="false">G29+G30+G31</f>
        <v>9.9</v>
      </c>
      <c r="H33" s="35" t="n">
        <f aca="false">H29+H30+H31</f>
        <v>13</v>
      </c>
      <c r="I33" s="35" t="n">
        <f aca="false">I29+I30+I31</f>
        <v>16.5907407407407</v>
      </c>
      <c r="J33" s="35" t="n">
        <f aca="false">J29+J30+J31</f>
        <v>11.0137997505688</v>
      </c>
      <c r="K33" s="35" t="n">
        <f aca="false">K29+K30+K31</f>
        <v>12.0099670605329</v>
      </c>
      <c r="L33" s="35" t="n">
        <f aca="false">L29+L30+L31</f>
        <v>16.5</v>
      </c>
      <c r="M33" s="35" t="n">
        <f aca="false">M29+M30+M31</f>
        <v>13.2161361102566</v>
      </c>
      <c r="N33" s="35" t="n">
        <f aca="false">N29+N30+N31</f>
        <v>13.1356794426235</v>
      </c>
      <c r="O33" s="38" t="n">
        <f aca="false">SUM(C33:N33)</f>
        <v>123.616323104723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0.84</v>
      </c>
      <c r="D34" s="27" t="n">
        <f aca="false">D33*INDEX(Assumptions!$C$74:$E$74,$B$3)</f>
        <v>1.3125</v>
      </c>
      <c r="E34" s="27" t="n">
        <f aca="false">E33*INDEX(Assumptions!$C$74:$E$74,$B$3)</f>
        <v>1.715</v>
      </c>
      <c r="F34" s="27" t="n">
        <f aca="false">F33*INDEX(Assumptions!$C$74:$E$74,$B$3)</f>
        <v>2.52</v>
      </c>
      <c r="G34" s="27" t="n">
        <f aca="false">G33*INDEX(Assumptions!$C$74:$E$74,$B$3)</f>
        <v>3.465</v>
      </c>
      <c r="H34" s="27" t="n">
        <f aca="false">H33*INDEX(Assumptions!$C$74:$E$74,$B$3)</f>
        <v>4.55</v>
      </c>
      <c r="I34" s="27" t="n">
        <f aca="false">I33*INDEX(Assumptions!$C$74:$E$74,$B$3)</f>
        <v>5.80675925925926</v>
      </c>
      <c r="J34" s="27" t="n">
        <f aca="false">J33*INDEX(Assumptions!$C$74:$E$74,$B$3)</f>
        <v>3.85482991269908</v>
      </c>
      <c r="K34" s="27" t="n">
        <f aca="false">K33*INDEX(Assumptions!$C$74:$E$74,$B$3)</f>
        <v>4.20348847118652</v>
      </c>
      <c r="L34" s="27" t="n">
        <f aca="false">L33*INDEX(Assumptions!$C$74:$E$74,$B$3)</f>
        <v>5.775</v>
      </c>
      <c r="M34" s="27" t="n">
        <f aca="false">M33*INDEX(Assumptions!$C$74:$E$74,$B$3)</f>
        <v>4.62564763858981</v>
      </c>
      <c r="N34" s="27" t="n">
        <f aca="false">N33*INDEX(Assumptions!$C$74:$E$74,$B$3)</f>
        <v>4.59748780491824</v>
      </c>
      <c r="O34" s="35" t="n">
        <f aca="false">SUM(C34:N34)</f>
        <v>43.2657130866529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2.4</v>
      </c>
      <c r="D35" s="6" t="n">
        <f aca="false">D26+D29+D32+D31+1.25*D30</f>
        <v>5.718</v>
      </c>
      <c r="E35" s="6" t="n">
        <f aca="false">E26+E29+E32+E31+1.25*E30</f>
        <v>9.943</v>
      </c>
      <c r="F35" s="6" t="n">
        <f aca="false">F26+F29+F32+F31+1.25*F30</f>
        <v>14.581</v>
      </c>
      <c r="G35" s="6" t="n">
        <f aca="false">G26+G29+G32+G31+1.25*G30</f>
        <v>20.272</v>
      </c>
      <c r="H35" s="6" t="n">
        <f aca="false">H26+H29+H32+H31+1.25*H30</f>
        <v>27.61</v>
      </c>
      <c r="I35" s="6" t="n">
        <f aca="false">I26+I29+I32+I31+1.25*I30</f>
        <v>36</v>
      </c>
      <c r="J35" s="6" t="n">
        <f aca="false">J26+J29+J32+J31+1.25*J30</f>
        <v>36</v>
      </c>
      <c r="K35" s="6" t="n">
        <f aca="false">K26+K29+K32+K31+1.25*K30</f>
        <v>36</v>
      </c>
      <c r="L35" s="6" t="n">
        <f aca="false">L26+L29+L32+L31+1.25*L30</f>
        <v>35.0350769777146</v>
      </c>
      <c r="M35" s="6" t="n">
        <f aca="false">M26+M29+M32+M31+1.25*M30</f>
        <v>36</v>
      </c>
      <c r="N35" s="6" t="n">
        <f aca="false">N26+N29+N32+N31+1.25*N30</f>
        <v>36</v>
      </c>
      <c r="O35" s="39" t="n">
        <f aca="false">AVERAGE(C35:N35)</f>
        <v>24.6299230814762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0.15</v>
      </c>
      <c r="D36" s="36" t="n">
        <f aca="false">D35/(D22*D23)</f>
        <v>0.357375</v>
      </c>
      <c r="E36" s="36" t="n">
        <f aca="false">E35/(E22*E23)</f>
        <v>0.6214375</v>
      </c>
      <c r="F36" s="36" t="n">
        <f aca="false">F35/(F22*F23)</f>
        <v>0.364525</v>
      </c>
      <c r="G36" s="36" t="n">
        <f aca="false">G35/(G22*G23)</f>
        <v>0.5068</v>
      </c>
      <c r="H36" s="36" t="n">
        <f aca="false">H35/(H22*H23)</f>
        <v>0.69025</v>
      </c>
      <c r="I36" s="36" t="n">
        <f aca="false">I35/(I22*I23)</f>
        <v>0.9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0.875876924442865</v>
      </c>
      <c r="M36" s="36" t="n">
        <f aca="false">M35/(M22*M23)</f>
        <v>0.9</v>
      </c>
      <c r="N36" s="36" t="n">
        <f aca="false">N35/(N22*N23)</f>
        <v>0.9</v>
      </c>
      <c r="O36" s="30" t="n">
        <f aca="false">N36</f>
        <v>0.9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0</v>
      </c>
      <c r="I37" s="8" t="n">
        <f aca="false">IF(I28&lt;0.999,1,0)</f>
        <v>1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0</v>
      </c>
      <c r="M37" s="8" t="n">
        <f aca="false">IF(M28&lt;0.999,1,0)</f>
        <v>1</v>
      </c>
      <c r="N37" s="8" t="n">
        <f aca="false">IF(N28&lt;0.999,1,0)</f>
        <v>1</v>
      </c>
      <c r="O37" s="37" t="n">
        <f aca="false">SUM(C37:N37)</f>
        <v>5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4.5</v>
      </c>
      <c r="F39" s="6" t="n">
        <f aca="false">IF(4&gt;=3,INDEX(Assumptions!$C$192:$E$192,$D$3)*INDEX(Assumptions!$C$193:$E$193,$B$3)*MIN(1,(4-2)/6),0)*$F$3</f>
        <v>9</v>
      </c>
      <c r="G39" s="6" t="n">
        <f aca="false">IF(5&gt;=3,INDEX(Assumptions!$C$192:$E$192,$D$3)*INDEX(Assumptions!$C$193:$E$193,$B$3)*MIN(1,(5-2)/6),0)*$F$3</f>
        <v>13.5</v>
      </c>
      <c r="H39" s="6" t="n">
        <f aca="false">IF(6&gt;=3,INDEX(Assumptions!$C$192:$E$192,$D$3)*INDEX(Assumptions!$C$193:$E$193,$B$3)*MIN(1,(6-2)/6),0)*$F$3</f>
        <v>18</v>
      </c>
      <c r="I39" s="6" t="n">
        <f aca="false">IF(7&gt;=3,INDEX(Assumptions!$C$192:$E$192,$D$3)*INDEX(Assumptions!$C$193:$E$193,$B$3)*MIN(1,(7-2)/6),0)*$F$3</f>
        <v>22.5</v>
      </c>
      <c r="J39" s="6" t="n">
        <f aca="false">IF(8&gt;=3,INDEX(Assumptions!$C$192:$E$192,$D$3)*INDEX(Assumptions!$C$193:$E$193,$B$3)*MIN(1,(8-2)/6),0)*$F$3</f>
        <v>27</v>
      </c>
      <c r="K39" s="6" t="n">
        <f aca="false">IF(9&gt;=3,INDEX(Assumptions!$C$192:$E$192,$D$3)*INDEX(Assumptions!$C$193:$E$193,$B$3)*MIN(1,(9-2)/6),0)*$F$3</f>
        <v>27</v>
      </c>
      <c r="L39" s="6" t="n">
        <f aca="false">IF(10&gt;=3,INDEX(Assumptions!$C$192:$E$192,$D$3)*INDEX(Assumptions!$C$193:$E$193,$B$3)*MIN(1,(10-2)/6),0)*$F$3</f>
        <v>27</v>
      </c>
      <c r="M39" s="6" t="n">
        <f aca="false">IF(11&gt;=3,INDEX(Assumptions!$C$192:$E$192,$D$3)*INDEX(Assumptions!$C$193:$E$193,$B$3)*MIN(1,(11-2)/6),0)*$F$3</f>
        <v>27</v>
      </c>
      <c r="N39" s="6" t="n">
        <f aca="false">IF(12&gt;=3,INDEX(Assumptions!$C$192:$E$192,$D$3)*INDEX(Assumptions!$C$193:$E$193,$B$3)*MIN(1,(12-2)/6),0)*$F$3</f>
        <v>27</v>
      </c>
      <c r="O39" s="39" t="n">
        <f aca="false">SUM(C39:N39)</f>
        <v>202.5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10.2666666666667</v>
      </c>
      <c r="D40" s="6" t="n">
        <f aca="false">INDEX(Assumptions!$C$194:$E$194,$D$3)*D10*MIN(1,2/3)*$F$3</f>
        <v>17.6</v>
      </c>
      <c r="E40" s="6" t="n">
        <f aca="false">INDEX(Assumptions!$C$194:$E$194,$D$3)*E10*MIN(1,3/3)*$F$3</f>
        <v>26.4</v>
      </c>
      <c r="F40" s="6" t="n">
        <f aca="false">INDEX(Assumptions!$C$194:$E$194,$D$3)*F10*MIN(1,4/3)*$F$3</f>
        <v>28.6</v>
      </c>
      <c r="G40" s="6" t="n">
        <f aca="false">INDEX(Assumptions!$C$194:$E$194,$D$3)*G10*MIN(1,5/3)*$F$3</f>
        <v>19.8</v>
      </c>
      <c r="H40" s="6" t="n">
        <f aca="false">INDEX(Assumptions!$C$194:$E$194,$D$3)*H10*MIN(1,6/3)*$F$3</f>
        <v>17.6</v>
      </c>
      <c r="I40" s="6" t="n">
        <f aca="false">INDEX(Assumptions!$C$194:$E$194,$D$3)*I10*MIN(1,7/3)*$F$3</f>
        <v>15.4</v>
      </c>
      <c r="J40" s="6" t="n">
        <f aca="false">INDEX(Assumptions!$C$194:$E$194,$D$3)*J10*MIN(1,8/3)*$F$3</f>
        <v>13.2</v>
      </c>
      <c r="K40" s="6" t="n">
        <f aca="false">INDEX(Assumptions!$C$194:$E$194,$D$3)*K10*MIN(1,9/3)*$F$3</f>
        <v>13.2</v>
      </c>
      <c r="L40" s="6" t="n">
        <f aca="false">INDEX(Assumptions!$C$194:$E$194,$D$3)*L10*MIN(1,10/3)*$F$3</f>
        <v>17.6</v>
      </c>
      <c r="M40" s="6" t="n">
        <f aca="false">INDEX(Assumptions!$C$194:$E$194,$D$3)*M10*MIN(1,11/3)*$F$3</f>
        <v>24.2</v>
      </c>
      <c r="N40" s="6" t="n">
        <f aca="false">INDEX(Assumptions!$C$194:$E$194,$D$3)*N10*MIN(1,12/3)*$F$3</f>
        <v>30.8</v>
      </c>
      <c r="O40" s="39" t="n">
        <f aca="false">SUM(C40:N40)</f>
        <v>234.666666666667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1.33333333333333</v>
      </c>
      <c r="D41" s="6" t="n">
        <f aca="false">D21*INDEX(Assumptions!$C$31:$E$31,$B$3)/(INDEX(Assumptions!$C$56:$E$56,$B$3)*INDEX(Assumptions!$C$57:$E$57,$B$3)*INDEX(Assumptions!$C$58:$E$58,$B$3))</f>
        <v>2.08333333333333</v>
      </c>
      <c r="E41" s="6" t="n">
        <f aca="false">E21*INDEX(Assumptions!$C$31:$E$31,$B$3)/(INDEX(Assumptions!$C$56:$E$56,$B$3)*INDEX(Assumptions!$C$57:$E$57,$B$3)*INDEX(Assumptions!$C$58:$E$58,$B$3))</f>
        <v>2.72222222222222</v>
      </c>
      <c r="F41" s="6" t="n">
        <f aca="false">F21*INDEX(Assumptions!$C$31:$E$31,$B$3)/(INDEX(Assumptions!$C$56:$E$56,$B$3)*INDEX(Assumptions!$C$57:$E$57,$B$3)*INDEX(Assumptions!$C$58:$E$58,$B$3))</f>
        <v>4</v>
      </c>
      <c r="G41" s="6" t="n">
        <f aca="false">G21*INDEX(Assumptions!$C$31:$E$31,$B$3)/(INDEX(Assumptions!$C$56:$E$56,$B$3)*INDEX(Assumptions!$C$57:$E$57,$B$3)*INDEX(Assumptions!$C$58:$E$58,$B$3))</f>
        <v>5.5</v>
      </c>
      <c r="H41" s="6" t="n">
        <f aca="false">H21*INDEX(Assumptions!$C$31:$E$31,$B$3)/(INDEX(Assumptions!$C$56:$E$56,$B$3)*INDEX(Assumptions!$C$57:$E$57,$B$3)*INDEX(Assumptions!$C$58:$E$58,$B$3))</f>
        <v>7.22222222222222</v>
      </c>
      <c r="I41" s="6" t="n">
        <f aca="false">I21*INDEX(Assumptions!$C$31:$E$31,$B$3)/(INDEX(Assumptions!$C$56:$E$56,$B$3)*INDEX(Assumptions!$C$57:$E$57,$B$3)*INDEX(Assumptions!$C$58:$E$58,$B$3))</f>
        <v>10.8333333333333</v>
      </c>
      <c r="J41" s="6" t="n">
        <f aca="false">J21*INDEX(Assumptions!$C$31:$E$31,$B$3)/(INDEX(Assumptions!$C$56:$E$56,$B$3)*INDEX(Assumptions!$C$57:$E$57,$B$3)*INDEX(Assumptions!$C$58:$E$58,$B$3))</f>
        <v>11.25</v>
      </c>
      <c r="K41" s="6" t="n">
        <f aca="false">K21*INDEX(Assumptions!$C$31:$E$31,$B$3)/(INDEX(Assumptions!$C$56:$E$56,$B$3)*INDEX(Assumptions!$C$57:$E$57,$B$3)*INDEX(Assumptions!$C$58:$E$58,$B$3))</f>
        <v>10.4166666666667</v>
      </c>
      <c r="L41" s="6" t="n">
        <f aca="false">L21*INDEX(Assumptions!$C$31:$E$31,$B$3)/(INDEX(Assumptions!$C$56:$E$56,$B$3)*INDEX(Assumptions!$C$57:$E$57,$B$3)*INDEX(Assumptions!$C$58:$E$58,$B$3))</f>
        <v>9.16666666666667</v>
      </c>
      <c r="M41" s="6" t="n">
        <f aca="false">M21*INDEX(Assumptions!$C$31:$E$31,$B$3)/(INDEX(Assumptions!$C$56:$E$56,$B$3)*INDEX(Assumptions!$C$57:$E$57,$B$3)*INDEX(Assumptions!$C$58:$E$58,$B$3))</f>
        <v>8.75</v>
      </c>
      <c r="N41" s="6" t="n">
        <f aca="false">N21*INDEX(Assumptions!$C$31:$E$31,$B$3)/(INDEX(Assumptions!$C$56:$E$56,$B$3)*INDEX(Assumptions!$C$57:$E$57,$B$3)*INDEX(Assumptions!$C$58:$E$58,$B$3))</f>
        <v>8.33333333333333</v>
      </c>
      <c r="O41" s="39" t="n">
        <f aca="false">SUM(C41:N41)</f>
        <v>81.6111111111111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1</v>
      </c>
      <c r="I42" s="27" t="n">
        <f aca="false">IF(7&gt;=INDEX(Assumptions!$C$191:$E$191,$D$3),MAX(INDEX(Assumptions!$C$86:$E$86,$D$3),0.5),0)</f>
        <v>1</v>
      </c>
      <c r="J42" s="27" t="n">
        <f aca="false">IF(8&gt;=INDEX(Assumptions!$C$191:$E$191,$D$3),MAX(INDEX(Assumptions!$C$86:$E$86,$D$3),0.5),0)</f>
        <v>1</v>
      </c>
      <c r="K42" s="27" t="n">
        <f aca="false">IF(9&gt;=INDEX(Assumptions!$C$191:$E$191,$D$3),MAX(INDEX(Assumptions!$C$86:$E$86,$D$3),0.5),0)</f>
        <v>1</v>
      </c>
      <c r="L42" s="27" t="n">
        <f aca="false">IF(10&gt;=INDEX(Assumptions!$C$191:$E$191,$D$3),MAX(INDEX(Assumptions!$C$86:$E$86,$D$3),0.5),0)</f>
        <v>1</v>
      </c>
      <c r="M42" s="27" t="n">
        <f aca="false">IF(11&gt;=INDEX(Assumptions!$C$191:$E$191,$D$3),MAX(INDEX(Assumptions!$C$86:$E$86,$D$3),0.5),0)</f>
        <v>1</v>
      </c>
      <c r="N42" s="27" t="n">
        <f aca="false">IF(12&gt;=INDEX(Assumptions!$C$191:$E$191,$D$3),MAX(INDEX(Assumptions!$C$86:$E$86,$D$3),0.5),0)</f>
        <v>1</v>
      </c>
      <c r="O42" s="35" t="n">
        <f aca="false">SUM(C42:N42)</f>
        <v>7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40</v>
      </c>
      <c r="I43" s="6" t="n">
        <f aca="false">I42*INDEX(Assumptions!$C$82:$E$82,$B$3)*$F$3</f>
        <v>40</v>
      </c>
      <c r="J43" s="6" t="n">
        <f aca="false">J42*INDEX(Assumptions!$C$82:$E$82,$B$3)*$F$3</f>
        <v>40</v>
      </c>
      <c r="K43" s="6" t="n">
        <f aca="false">K42*INDEX(Assumptions!$C$82:$E$82,$B$3)*$F$3</f>
        <v>40</v>
      </c>
      <c r="L43" s="6" t="n">
        <f aca="false">L42*INDEX(Assumptions!$C$82:$E$82,$B$3)*$F$3</f>
        <v>40</v>
      </c>
      <c r="M43" s="6" t="n">
        <f aca="false">M42*INDEX(Assumptions!$C$82:$E$82,$B$3)*$F$3</f>
        <v>40</v>
      </c>
      <c r="N43" s="6" t="n">
        <f aca="false">N42*INDEX(Assumptions!$C$82:$E$82,$B$3)*$F$3</f>
        <v>40</v>
      </c>
      <c r="O43" s="39" t="n">
        <f aca="false">SUM(C43:N43)</f>
        <v>280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0.63</v>
      </c>
      <c r="F44" s="27" t="n">
        <f aca="false">F39*0.7*INDEX(Assumptions!$C$73:$E$73,$B$3)</f>
        <v>1.26</v>
      </c>
      <c r="G44" s="27" t="n">
        <f aca="false">G39*0.7*INDEX(Assumptions!$C$73:$E$73,$B$3)</f>
        <v>1.89</v>
      </c>
      <c r="H44" s="27" t="n">
        <f aca="false">H39*0.7*INDEX(Assumptions!$C$73:$E$73,$B$3)</f>
        <v>2.52</v>
      </c>
      <c r="I44" s="27" t="n">
        <f aca="false">I39*0.7*INDEX(Assumptions!$C$73:$E$73,$B$3)</f>
        <v>3.15</v>
      </c>
      <c r="J44" s="27" t="n">
        <f aca="false">J39*0.7*INDEX(Assumptions!$C$73:$E$73,$B$3)</f>
        <v>3.78</v>
      </c>
      <c r="K44" s="27" t="n">
        <f aca="false">K39*0.7*INDEX(Assumptions!$C$73:$E$73,$B$3)</f>
        <v>3.78</v>
      </c>
      <c r="L44" s="27" t="n">
        <f aca="false">L39*0.7*INDEX(Assumptions!$C$73:$E$73,$B$3)</f>
        <v>3.78</v>
      </c>
      <c r="M44" s="27" t="n">
        <f aca="false">M39*0.7*INDEX(Assumptions!$C$73:$E$73,$B$3)</f>
        <v>3.78</v>
      </c>
      <c r="N44" s="27" t="n">
        <f aca="false">N39*0.7*INDEX(Assumptions!$C$73:$E$73,$B$3)</f>
        <v>3.78</v>
      </c>
      <c r="O44" s="35" t="n">
        <f aca="false">SUM(C44:N44)</f>
        <v>28.35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75000</v>
      </c>
      <c r="D46" s="8" t="n">
        <f aca="false">IF(2&gt;=INDEX(Assumptions!$C$105:$E$105,$B$3),INDEX(Assumptions!$C$20:$E$20,$B$3),INDEX(Assumptions!$C$10:$E$10,$B$3))*$H$3</f>
        <v>75000</v>
      </c>
      <c r="E46" s="8" t="n">
        <f aca="false">IF(3&gt;=INDEX(Assumptions!$C$105:$E$105,$B$3),INDEX(Assumptions!$C$20:$E$20,$B$3),INDEX(Assumptions!$C$10:$E$10,$B$3))*$H$3</f>
        <v>75000</v>
      </c>
      <c r="F46" s="8" t="n">
        <f aca="false">IF(4&gt;=INDEX(Assumptions!$C$105:$E$105,$B$3),INDEX(Assumptions!$C$20:$E$20,$B$3),INDEX(Assumptions!$C$10:$E$10,$B$3))*$H$3</f>
        <v>75000</v>
      </c>
      <c r="G46" s="8" t="n">
        <f aca="false">IF(5&gt;=INDEX(Assumptions!$C$105:$E$105,$B$3),INDEX(Assumptions!$C$20:$E$20,$B$3),INDEX(Assumptions!$C$10:$E$10,$B$3))*$H$3</f>
        <v>100000</v>
      </c>
      <c r="H46" s="8" t="n">
        <f aca="false">IF(6&gt;=INDEX(Assumptions!$C$105:$E$105,$B$3),INDEX(Assumptions!$C$20:$E$20,$B$3),INDEX(Assumptions!$C$10:$E$10,$B$3))*$H$3</f>
        <v>100000</v>
      </c>
      <c r="I46" s="8" t="n">
        <f aca="false">IF(7&gt;=INDEX(Assumptions!$C$105:$E$105,$B$3),INDEX(Assumptions!$C$20:$E$20,$B$3),INDEX(Assumptions!$C$10:$E$10,$B$3))*$H$3</f>
        <v>100000</v>
      </c>
      <c r="J46" s="8" t="n">
        <f aca="false">IF(8&gt;=INDEX(Assumptions!$C$105:$E$105,$B$3),INDEX(Assumptions!$C$20:$E$20,$B$3),INDEX(Assumptions!$C$10:$E$10,$B$3))*$H$3</f>
        <v>100000</v>
      </c>
      <c r="K46" s="8" t="n">
        <f aca="false">IF(9&gt;=INDEX(Assumptions!$C$105:$E$105,$B$3),INDEX(Assumptions!$C$20:$E$20,$B$3),INDEX(Assumptions!$C$10:$E$10,$B$3))*$H$3</f>
        <v>100000</v>
      </c>
      <c r="L46" s="8" t="n">
        <f aca="false">IF(10&gt;=INDEX(Assumptions!$C$105:$E$105,$B$3),INDEX(Assumptions!$C$20:$E$20,$B$3),INDEX(Assumptions!$C$10:$E$10,$B$3))*$H$3</f>
        <v>100000</v>
      </c>
      <c r="M46" s="8" t="n">
        <f aca="false">IF(11&gt;=INDEX(Assumptions!$C$105:$E$105,$B$3),INDEX(Assumptions!$C$20:$E$20,$B$3),INDEX(Assumptions!$C$10:$E$10,$B$3))*$H$3</f>
        <v>100000</v>
      </c>
      <c r="N46" s="8" t="n">
        <f aca="false">IF(12&gt;=INDEX(Assumptions!$C$105:$E$105,$B$3),INDEX(Assumptions!$C$20:$E$20,$B$3),INDEX(Assumptions!$C$10:$E$10,$B$3))*$H$3</f>
        <v>100000</v>
      </c>
      <c r="O46" s="37" t="n">
        <f aca="false">AVERAGE(C46:N46)</f>
        <v>91666.6666666667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0</v>
      </c>
      <c r="H47" s="8" t="n">
        <f aca="false">IF(6&gt;=INDEX(Assumptions!$C$105:$E$105,$B$3),0,1)</f>
        <v>0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106779.661016949</v>
      </c>
      <c r="D49" s="8" t="n">
        <f aca="false">D29*D46/(1+INDEX(Assumptions!$C$15:$E$15,$B$3)*$H$4)</f>
        <v>166843.220338983</v>
      </c>
      <c r="E49" s="8" t="n">
        <f aca="false">E29*E46/(1+INDEX(Assumptions!$C$15:$E$15,$B$3)*$H$4)</f>
        <v>218008.474576271</v>
      </c>
      <c r="F49" s="8" t="n">
        <f aca="false">F29*F46/(1+INDEX(Assumptions!$C$15:$E$15,$B$3)*$H$4)</f>
        <v>320338.983050848</v>
      </c>
      <c r="G49" s="8" t="n">
        <f aca="false">G29*G46/(1+INDEX(Assumptions!$C$15:$E$15,$B$3)*$H$4)</f>
        <v>587288.13559322</v>
      </c>
      <c r="H49" s="8" t="n">
        <f aca="false">H29*H46/(1+INDEX(Assumptions!$C$15:$E$15,$B$3)*$H$4)</f>
        <v>771186.440677966</v>
      </c>
      <c r="I49" s="8" t="n">
        <f aca="false">I29*I46/(1+INDEX(Assumptions!$C$15:$E$15,$B$3)*$H$4)</f>
        <v>984196.484620213</v>
      </c>
      <c r="J49" s="8" t="n">
        <f aca="false">J29*J46/(1+INDEX(Assumptions!$C$15:$E$15,$B$3)*$H$4)</f>
        <v>424684.651399051</v>
      </c>
      <c r="K49" s="8" t="n">
        <f aca="false">K29*K46/(1+INDEX(Assumptions!$C$15:$E$15,$B$3)*$H$4)</f>
        <v>463096.1875036</v>
      </c>
      <c r="L49" s="8" t="n">
        <f aca="false">L29*L46/(1+INDEX(Assumptions!$C$15:$E$15,$B$3)*$H$4)</f>
        <v>636228.813559322</v>
      </c>
      <c r="M49" s="8" t="n">
        <f aca="false">M29*M46/(1+INDEX(Assumptions!$C$15:$E$15,$B$3)*$H$4)</f>
        <v>509605.248319216</v>
      </c>
      <c r="N49" s="8" t="n">
        <f aca="false">N29*N46/(1+INDEX(Assumptions!$C$15:$E$15,$B$3)*$H$4)</f>
        <v>506502.893762179</v>
      </c>
      <c r="O49" s="37" t="n">
        <f aca="false">SUM(C49:N49)</f>
        <v>5694759.19441782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228676.350753335</v>
      </c>
      <c r="K50" s="8" t="n">
        <f aca="false">K30*K46/(1+INDEX(Assumptions!$C$15:$E$15,$B$3)*$H$4)</f>
        <v>249359.485578862</v>
      </c>
      <c r="L50" s="8" t="n">
        <f aca="false">L30*L46/(1+INDEX(Assumptions!$C$15:$E$15,$B$3)*$H$4)</f>
        <v>342584.745762712</v>
      </c>
      <c r="M50" s="8" t="n">
        <f aca="false">M30*M46/(1+INDEX(Assumptions!$C$15:$E$15,$B$3)*$H$4)</f>
        <v>274402.826018039</v>
      </c>
      <c r="N50" s="8" t="n">
        <f aca="false">N30*N46/(1+INDEX(Assumptions!$C$15:$E$15,$B$3)*$H$4)</f>
        <v>272732.327410404</v>
      </c>
      <c r="O50" s="37" t="n">
        <f aca="false">SUM(C50:N50)</f>
        <v>1367755.73552335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7322.03389830509</v>
      </c>
      <c r="E51" s="8" t="n">
        <f aca="false">E32*MAX(0,E46-INDEX(Assumptions!$C$18:$E$18,$B$3)*$H$3)/(1+INDEX(Assumptions!$C$15:$E$15,$B$3)*$H$4)</f>
        <v>11440.6779661017</v>
      </c>
      <c r="F51" s="8" t="n">
        <f aca="false">F32*MAX(0,F46-INDEX(Assumptions!$C$18:$E$18,$B$3)*$H$3)/(1+INDEX(Assumptions!$C$15:$E$15,$B$3)*$H$4)</f>
        <v>14949.1525423729</v>
      </c>
      <c r="G51" s="8" t="n">
        <f aca="false">G32*MAX(0,G46-INDEX(Assumptions!$C$18:$E$18,$B$3)*$H$3)/(1+INDEX(Assumptions!$C$15:$E$15,$B$3)*$H$4)</f>
        <v>40271.186440678</v>
      </c>
      <c r="H51" s="8" t="n">
        <f aca="false">H32*MAX(0,H46-INDEX(Assumptions!$C$18:$E$18,$B$3)*$H$3)/(1+INDEX(Assumptions!$C$15:$E$15,$B$3)*$H$4)</f>
        <v>55372.8813559322</v>
      </c>
      <c r="I51" s="8" t="n">
        <f aca="false">I32*MAX(0,I46-INDEX(Assumptions!$C$18:$E$18,$B$3)*$H$3)/(1+INDEX(Assumptions!$C$15:$E$15,$B$3)*$H$4)</f>
        <v>61863.7790332706</v>
      </c>
      <c r="J51" s="8" t="n">
        <f aca="false">J32*MAX(0,J46-INDEX(Assumptions!$C$18:$E$18,$B$3)*$H$3)/(1+INDEX(Assumptions!$C$15:$E$15,$B$3)*$H$4)</f>
        <v>50470.7610433984</v>
      </c>
      <c r="K51" s="8" t="n">
        <f aca="false">K32*MAX(0,K46-INDEX(Assumptions!$C$18:$E$18,$B$3)*$H$3)/(1+INDEX(Assumptions!$C$15:$E$15,$B$3)*$H$4)</f>
        <v>39458.4161185629</v>
      </c>
      <c r="L51" s="8" t="n">
        <f aca="false">L32*MAX(0,L46-INDEX(Assumptions!$C$18:$E$18,$B$3)*$H$3)/(1+INDEX(Assumptions!$C$15:$E$15,$B$3)*$H$4)</f>
        <v>67174.3920334892</v>
      </c>
      <c r="M51" s="8" t="n">
        <f aca="false">M32*MAX(0,M46-INDEX(Assumptions!$C$18:$E$18,$B$3)*$H$3)/(1+INDEX(Assumptions!$C$15:$E$15,$B$3)*$H$4)</f>
        <v>77440.797546782</v>
      </c>
      <c r="N51" s="8" t="n">
        <f aca="false">N32*MAX(0,N46-INDEX(Assumptions!$C$18:$E$18,$B$3)*$H$3)/(1+INDEX(Assumptions!$C$15:$E$15,$B$3)*$H$4)</f>
        <v>64733.2949680859</v>
      </c>
      <c r="O51" s="37" t="n">
        <f aca="false">SUM(C51:N51)</f>
        <v>490497.372946979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27457.6271186441</v>
      </c>
      <c r="D52" s="8" t="n">
        <f aca="false">D31*INDEX(Assumptions!$C$18:$E$18,$B$3)*$H$3/(1+INDEX(Assumptions!$C$15:$E$15,$B$3)*$H$4)</f>
        <v>42902.5423728814</v>
      </c>
      <c r="E52" s="8" t="n">
        <f aca="false">E31*INDEX(Assumptions!$C$18:$E$18,$B$3)*$H$3/(1+INDEX(Assumptions!$C$15:$E$15,$B$3)*$H$4)</f>
        <v>56059.3220338983</v>
      </c>
      <c r="F52" s="8" t="n">
        <f aca="false">F31*INDEX(Assumptions!$C$18:$E$18,$B$3)*$H$3/(1+INDEX(Assumptions!$C$15:$E$15,$B$3)*$H$4)</f>
        <v>82372.8813559322</v>
      </c>
      <c r="G52" s="8" t="n">
        <f aca="false">G31*INDEX(Assumptions!$C$18:$E$18,$B$3)*$H$3/(1+INDEX(Assumptions!$C$15:$E$15,$B$3)*$H$4)</f>
        <v>113262.711864407</v>
      </c>
      <c r="H52" s="8" t="n">
        <f aca="false">H31*INDEX(Assumptions!$C$18:$E$18,$B$3)*$H$3/(1+INDEX(Assumptions!$C$15:$E$15,$B$3)*$H$4)</f>
        <v>148728.813559322</v>
      </c>
      <c r="I52" s="8" t="n">
        <f aca="false">I31*INDEX(Assumptions!$C$18:$E$18,$B$3)*$H$3/(1+INDEX(Assumptions!$C$15:$E$15,$B$3)*$H$4)</f>
        <v>189809.322033898</v>
      </c>
      <c r="J52" s="8" t="n">
        <f aca="false">J31*INDEX(Assumptions!$C$18:$E$18,$B$3)*$H$3/(1+INDEX(Assumptions!$C$15:$E$15,$B$3)*$H$4)</f>
        <v>126005.336129389</v>
      </c>
      <c r="K52" s="8" t="n">
        <f aca="false">K31*INDEX(Assumptions!$C$18:$E$18,$B$3)*$H$3/(1+INDEX(Assumptions!$C$15:$E$15,$B$3)*$H$4)</f>
        <v>137402.165523046</v>
      </c>
      <c r="L52" s="8" t="n">
        <f aca="false">L31*INDEX(Assumptions!$C$18:$E$18,$B$3)*$H$3/(1+INDEX(Assumptions!$C$15:$E$15,$B$3)*$H$4)</f>
        <v>188771.186440678</v>
      </c>
      <c r="M52" s="8" t="n">
        <f aca="false">M31*INDEX(Assumptions!$C$18:$E$18,$B$3)*$H$3/(1+INDEX(Assumptions!$C$15:$E$15,$B$3)*$H$4)</f>
        <v>151201.557193614</v>
      </c>
      <c r="N52" s="8" t="n">
        <f aca="false">N31*INDEX(Assumptions!$C$18:$E$18,$B$3)*$H$3/(1+INDEX(Assumptions!$C$15:$E$15,$B$3)*$H$4)</f>
        <v>150281.078368998</v>
      </c>
      <c r="O52" s="37" t="n">
        <f aca="false">SUM(C52:N52)</f>
        <v>1414254.54399471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925.627118644068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1446.29237288136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1889.8220338983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2776.8813559322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3818.21186440678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5013.81355932203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7520.72033898305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7809.97881355932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7231.46186440678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6363.68644067797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6074.4279661017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5785.16949152542</v>
      </c>
      <c r="O53" s="37" t="n">
        <f aca="false">SUM(C53:N53)</f>
        <v>56656.093220339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53389.8305084746</v>
      </c>
      <c r="F54" s="8" t="n">
        <f aca="false">F39*INDEX(Assumptions!$C$21:$E$21,$B$3)*$H$3/(1+INDEX(Assumptions!$C$15:$E$15,$B$3)*$H$4)</f>
        <v>106779.661016949</v>
      </c>
      <c r="G54" s="8" t="n">
        <f aca="false">G39*INDEX(Assumptions!$C$21:$E$21,$B$3)*$H$3/(1+INDEX(Assumptions!$C$15:$E$15,$B$3)*$H$4)</f>
        <v>160169.491525424</v>
      </c>
      <c r="H54" s="8" t="n">
        <f aca="false">H39*INDEX(Assumptions!$C$21:$E$21,$B$3)*$H$3/(1+INDEX(Assumptions!$C$15:$E$15,$B$3)*$H$4)</f>
        <v>213559.322033898</v>
      </c>
      <c r="I54" s="8" t="n">
        <f aca="false">I39*INDEX(Assumptions!$C$21:$E$21,$B$3)*$H$3/(1+INDEX(Assumptions!$C$15:$E$15,$B$3)*$H$4)</f>
        <v>266949.152542373</v>
      </c>
      <c r="J54" s="8" t="n">
        <f aca="false">J39*INDEX(Assumptions!$C$21:$E$21,$B$3)*$H$3/(1+INDEX(Assumptions!$C$15:$E$15,$B$3)*$H$4)</f>
        <v>320338.983050848</v>
      </c>
      <c r="K54" s="8" t="n">
        <f aca="false">K39*INDEX(Assumptions!$C$21:$E$21,$B$3)*$H$3/(1+INDEX(Assumptions!$C$15:$E$15,$B$3)*$H$4)</f>
        <v>320338.983050848</v>
      </c>
      <c r="L54" s="8" t="n">
        <f aca="false">L39*INDEX(Assumptions!$C$21:$E$21,$B$3)*$H$3/(1+INDEX(Assumptions!$C$15:$E$15,$B$3)*$H$4)</f>
        <v>320338.983050848</v>
      </c>
      <c r="M54" s="8" t="n">
        <f aca="false">M39*INDEX(Assumptions!$C$21:$E$21,$B$3)*$H$3/(1+INDEX(Assumptions!$C$15:$E$15,$B$3)*$H$4)</f>
        <v>320338.983050848</v>
      </c>
      <c r="N54" s="8" t="n">
        <f aca="false">N39*INDEX(Assumptions!$C$21:$E$21,$B$3)*$H$3/(1+INDEX(Assumptions!$C$15:$E$15,$B$3)*$H$4)</f>
        <v>320338.983050848</v>
      </c>
      <c r="O54" s="37" t="n">
        <f aca="false">SUM(C54:N54)</f>
        <v>2402542.37288136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56553.6723163842</v>
      </c>
      <c r="D55" s="8" t="n">
        <f aca="false">D40*INDEX(Assumptions!$C$22:$E$22,$B$3)*$H$3/(1+INDEX(Assumptions!$C$15:$E$15,$B$3)*$H$4)</f>
        <v>96949.1525423729</v>
      </c>
      <c r="E55" s="8" t="n">
        <f aca="false">E40*INDEX(Assumptions!$C$22:$E$22,$B$3)*$H$3/(1+INDEX(Assumptions!$C$15:$E$15,$B$3)*$H$4)</f>
        <v>145423.728813559</v>
      </c>
      <c r="F55" s="8" t="n">
        <f aca="false">F40*INDEX(Assumptions!$C$22:$E$22,$B$3)*$H$3/(1+INDEX(Assumptions!$C$15:$E$15,$B$3)*$H$4)</f>
        <v>157542.372881356</v>
      </c>
      <c r="G55" s="8" t="n">
        <f aca="false">G40*INDEX(Assumptions!$C$22:$E$22,$B$3)*$H$3/(1+INDEX(Assumptions!$C$15:$E$15,$B$3)*$H$4)</f>
        <v>109067.796610169</v>
      </c>
      <c r="H55" s="8" t="n">
        <f aca="false">H40*INDEX(Assumptions!$C$22:$E$22,$B$3)*$H$3/(1+INDEX(Assumptions!$C$15:$E$15,$B$3)*$H$4)</f>
        <v>96949.1525423729</v>
      </c>
      <c r="I55" s="8" t="n">
        <f aca="false">I40*INDEX(Assumptions!$C$22:$E$22,$B$3)*$H$3/(1+INDEX(Assumptions!$C$15:$E$15,$B$3)*$H$4)</f>
        <v>84830.5084745763</v>
      </c>
      <c r="J55" s="8" t="n">
        <f aca="false">J40*INDEX(Assumptions!$C$22:$E$22,$B$3)*$H$3/(1+INDEX(Assumptions!$C$15:$E$15,$B$3)*$H$4)</f>
        <v>72711.8644067797</v>
      </c>
      <c r="K55" s="8" t="n">
        <f aca="false">K40*INDEX(Assumptions!$C$22:$E$22,$B$3)*$H$3/(1+INDEX(Assumptions!$C$15:$E$15,$B$3)*$H$4)</f>
        <v>72711.8644067797</v>
      </c>
      <c r="L55" s="8" t="n">
        <f aca="false">L40*INDEX(Assumptions!$C$22:$E$22,$B$3)*$H$3/(1+INDEX(Assumptions!$C$15:$E$15,$B$3)*$H$4)</f>
        <v>96949.1525423729</v>
      </c>
      <c r="M55" s="8" t="n">
        <f aca="false">M40*INDEX(Assumptions!$C$22:$E$22,$B$3)*$H$3/(1+INDEX(Assumptions!$C$15:$E$15,$B$3)*$H$4)</f>
        <v>133305.084745763</v>
      </c>
      <c r="N55" s="8" t="n">
        <f aca="false">N40*INDEX(Assumptions!$C$22:$E$22,$B$3)*$H$3/(1+INDEX(Assumptions!$C$15:$E$15,$B$3)*$H$4)</f>
        <v>169661.016949153</v>
      </c>
      <c r="O55" s="37" t="n">
        <f aca="false">SUM(C55:N55)</f>
        <v>1292655.36723164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50813.5593220339</v>
      </c>
      <c r="I56" s="8" t="n">
        <f aca="false">I43*INDEX(Assumptions!$C$83:$E$83,$B$3)/(1+INDEX(Assumptions!$C$15:$E$15,$B$3)*$H$4)</f>
        <v>50813.5593220339</v>
      </c>
      <c r="J56" s="8" t="n">
        <f aca="false">J43*INDEX(Assumptions!$C$83:$E$83,$B$3)/(1+INDEX(Assumptions!$C$15:$E$15,$B$3)*$H$4)</f>
        <v>50813.5593220339</v>
      </c>
      <c r="K56" s="8" t="n">
        <f aca="false">K43*INDEX(Assumptions!$C$83:$E$83,$B$3)/(1+INDEX(Assumptions!$C$15:$E$15,$B$3)*$H$4)</f>
        <v>50813.5593220339</v>
      </c>
      <c r="L56" s="8" t="n">
        <f aca="false">L43*INDEX(Assumptions!$C$83:$E$83,$B$3)/(1+INDEX(Assumptions!$C$15:$E$15,$B$3)*$H$4)</f>
        <v>50813.5593220339</v>
      </c>
      <c r="M56" s="8" t="n">
        <f aca="false">M43*INDEX(Assumptions!$C$83:$E$83,$B$3)/(1+INDEX(Assumptions!$C$15:$E$15,$B$3)*$H$4)</f>
        <v>50813.5593220339</v>
      </c>
      <c r="N56" s="8" t="n">
        <f aca="false">N43*INDEX(Assumptions!$C$83:$E$83,$B$3)/(1+INDEX(Assumptions!$C$15:$E$15,$B$3)*$H$4)</f>
        <v>50813.5593220339</v>
      </c>
      <c r="O56" s="37" t="n">
        <f aca="false">SUM(C56:N56)</f>
        <v>355694.915254237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6673.19491525424</v>
      </c>
      <c r="F57" s="8" t="n">
        <f aca="false">F44*INDEX(Assumptions!$C$23:$E$23,$B$3)/(1+INDEX(Assumptions!$C$15:$E$15,$B$3)*$H$4)</f>
        <v>13346.3898305085</v>
      </c>
      <c r="G57" s="8" t="n">
        <f aca="false">G44*INDEX(Assumptions!$C$23:$E$23,$B$3)/(1+INDEX(Assumptions!$C$15:$E$15,$B$3)*$H$4)</f>
        <v>20019.5847457627</v>
      </c>
      <c r="H57" s="8" t="n">
        <f aca="false">H44*INDEX(Assumptions!$C$23:$E$23,$B$3)/(1+INDEX(Assumptions!$C$15:$E$15,$B$3)*$H$4)</f>
        <v>26692.779661017</v>
      </c>
      <c r="I57" s="8" t="n">
        <f aca="false">I44*INDEX(Assumptions!$C$23:$E$23,$B$3)/(1+INDEX(Assumptions!$C$15:$E$15,$B$3)*$H$4)</f>
        <v>33365.9745762712</v>
      </c>
      <c r="J57" s="8" t="n">
        <f aca="false">J44*INDEX(Assumptions!$C$23:$E$23,$B$3)/(1+INDEX(Assumptions!$C$15:$E$15,$B$3)*$H$4)</f>
        <v>40039.1694915254</v>
      </c>
      <c r="K57" s="8" t="n">
        <f aca="false">K44*INDEX(Assumptions!$C$23:$E$23,$B$3)/(1+INDEX(Assumptions!$C$15:$E$15,$B$3)*$H$4)</f>
        <v>40039.1694915254</v>
      </c>
      <c r="L57" s="8" t="n">
        <f aca="false">L44*INDEX(Assumptions!$C$23:$E$23,$B$3)/(1+INDEX(Assumptions!$C$15:$E$15,$B$3)*$H$4)</f>
        <v>40039.1694915254</v>
      </c>
      <c r="M57" s="8" t="n">
        <f aca="false">M44*INDEX(Assumptions!$C$23:$E$23,$B$3)/(1+INDEX(Assumptions!$C$15:$E$15,$B$3)*$H$4)</f>
        <v>40039.1694915254</v>
      </c>
      <c r="N57" s="8" t="n">
        <f aca="false">N44*INDEX(Assumptions!$C$23:$E$23,$B$3)/(1+INDEX(Assumptions!$C$15:$E$15,$B$3)*$H$4)</f>
        <v>40039.1694915254</v>
      </c>
      <c r="O57" s="37" t="n">
        <f aca="false">SUM(C57:N57)</f>
        <v>300293.771186441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9702</v>
      </c>
      <c r="H58" s="8" t="n">
        <f aca="false">(H29+H30)*(1-H47)*INDEX(Assumptions!$C$90:$E$90,$B$3)</f>
        <v>12740</v>
      </c>
      <c r="I58" s="8" t="n">
        <f aca="false">(I29+I30)*(1-I47)*INDEX(Assumptions!$C$90:$E$90,$B$3)</f>
        <v>16258.9259259259</v>
      </c>
      <c r="J58" s="8" t="n">
        <f aca="false">(J29+J30)*(1-J47)*INDEX(Assumptions!$C$90:$E$90,$B$3)</f>
        <v>10793.5237555574</v>
      </c>
      <c r="K58" s="8" t="n">
        <f aca="false">(K29+K30)*(1-K47)*INDEX(Assumptions!$C$90:$E$90,$B$3)</f>
        <v>11769.7677193223</v>
      </c>
      <c r="L58" s="8" t="n">
        <f aca="false">(L29+L30)*(1-L47)*INDEX(Assumptions!$C$90:$E$90,$B$3)</f>
        <v>16170</v>
      </c>
      <c r="M58" s="8" t="n">
        <f aca="false">(M29+M30)*(1-M47)*INDEX(Assumptions!$C$90:$E$90,$B$3)</f>
        <v>12951.8133880515</v>
      </c>
      <c r="N58" s="8" t="n">
        <f aca="false">(N29+N30)*(1-N47)*INDEX(Assumptions!$C$90:$E$90,$B$3)</f>
        <v>12872.9658537711</v>
      </c>
      <c r="O58" s="37" t="n">
        <f aca="false">SUM(C58:N58)</f>
        <v>103258.996642628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191716.587570622</v>
      </c>
      <c r="D59" s="37" t="n">
        <f aca="false">SUM(D49:D58)</f>
        <v>315463.241525424</v>
      </c>
      <c r="E59" s="37" t="n">
        <f aca="false">SUM(E49:E58)</f>
        <v>492885.050847458</v>
      </c>
      <c r="F59" s="37" t="n">
        <f aca="false">SUM(F49:F58)</f>
        <v>698106.322033898</v>
      </c>
      <c r="G59" s="37" t="n">
        <f aca="false">SUM(G49:G58)</f>
        <v>1043599.11864407</v>
      </c>
      <c r="H59" s="37" t="n">
        <f aca="false">SUM(H49:H58)</f>
        <v>1381056.76271186</v>
      </c>
      <c r="I59" s="37" t="n">
        <f aca="false">SUM(I49:I58)</f>
        <v>1695608.42686755</v>
      </c>
      <c r="J59" s="37" t="n">
        <f aca="false">SUM(J49:J58)</f>
        <v>1332344.17816548</v>
      </c>
      <c r="K59" s="37" t="n">
        <f aca="false">SUM(K49:K58)</f>
        <v>1392221.06057899</v>
      </c>
      <c r="L59" s="37" t="n">
        <f aca="false">SUM(L49:L58)</f>
        <v>1765433.68864366</v>
      </c>
      <c r="M59" s="37" t="n">
        <f aca="false">SUM(M49:M58)</f>
        <v>1576173.46704197</v>
      </c>
      <c r="N59" s="37" t="n">
        <f aca="false">SUM(N49:N58)</f>
        <v>1593760.45866852</v>
      </c>
      <c r="O59" s="31" t="n">
        <f aca="false">SUM(C59:N59)</f>
        <v>13478368.3632995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134237.288135593</v>
      </c>
      <c r="D60" s="8" t="n">
        <f aca="false">D49+D50+D51+D52</f>
        <v>217067.79661017</v>
      </c>
      <c r="E60" s="8" t="n">
        <f aca="false">E49+E50+E51+E52</f>
        <v>285508.474576271</v>
      </c>
      <c r="F60" s="8" t="n">
        <f aca="false">F49+F50+F51+F52</f>
        <v>417661.016949153</v>
      </c>
      <c r="G60" s="8" t="n">
        <f aca="false">G49+G50+G51+G52</f>
        <v>740822.033898305</v>
      </c>
      <c r="H60" s="8" t="n">
        <f aca="false">H49+H50+H51+H52</f>
        <v>975288.13559322</v>
      </c>
      <c r="I60" s="8" t="n">
        <f aca="false">I49+I50+I51+I52</f>
        <v>1235869.58568738</v>
      </c>
      <c r="J60" s="8" t="n">
        <f aca="false">J49+J50+J51+J52</f>
        <v>829837.099325173</v>
      </c>
      <c r="K60" s="8" t="n">
        <f aca="false">K49+K50+K51+K52</f>
        <v>889316.25472407</v>
      </c>
      <c r="L60" s="8" t="n">
        <f aca="false">L49+L50+L51+L52</f>
        <v>1234759.1377962</v>
      </c>
      <c r="M60" s="8" t="n">
        <f aca="false">M49+M50+M51+M52</f>
        <v>1012650.42907765</v>
      </c>
      <c r="N60" s="8" t="n">
        <f aca="false">N49+N50+N51+N52</f>
        <v>994249.594509667</v>
      </c>
      <c r="O60" s="37" t="n">
        <f aca="false">SUM(C60:N60)</f>
        <v>8967266.84688286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8400</v>
      </c>
      <c r="D62" s="8" t="n">
        <f aca="false">((D29+D32)*INDEX(Assumptions!$C$91:$E$91,$B$3)+D30*INDEX(Assumptions!$C$93:$E$93,$B$3))*$N$3</f>
        <v>14565</v>
      </c>
      <c r="E62" s="8" t="n">
        <f aca="false">((E29+E32)*INDEX(Assumptions!$C$91:$E$91,$B$3)+E30*INDEX(Assumptions!$C$93:$E$93,$B$3))*$N$3</f>
        <v>19400</v>
      </c>
      <c r="F62" s="8" t="n">
        <f aca="false">((F29+F32)*INDEX(Assumptions!$C$91:$E$91,$B$3)+F30*INDEX(Assumptions!$C$93:$E$93,$B$3))*$N$3</f>
        <v>28140</v>
      </c>
      <c r="G62" s="8" t="n">
        <f aca="false">((G29+G32)*INDEX(Assumptions!$C$91:$E$91,$B$3)+G30*INDEX(Assumptions!$C$93:$E$93,$B$3))*$N$3</f>
        <v>38970</v>
      </c>
      <c r="H62" s="8" t="n">
        <f aca="false">((H29+H32)*INDEX(Assumptions!$C$91:$E$91,$B$3)+H30*INDEX(Assumptions!$C$93:$E$93,$B$3))*$N$3</f>
        <v>51440</v>
      </c>
      <c r="I62" s="8" t="n">
        <f aca="false">((I29+I32)*INDEX(Assumptions!$C$91:$E$91,$B$3)+I30*INDEX(Assumptions!$C$93:$E$93,$B$3))*$N$3</f>
        <v>64703.8888888889</v>
      </c>
      <c r="J62" s="8" t="n">
        <f aca="false">((J29+J32)*INDEX(Assumptions!$C$91:$E$91,$B$3)+J30*INDEX(Assumptions!$C$93:$E$93,$B$3))*$N$3</f>
        <v>46660.8162505356</v>
      </c>
      <c r="K62" s="8" t="n">
        <f aca="false">((K29+K32)*INDEX(Assumptions!$C$91:$E$91,$B$3)+K30*INDEX(Assumptions!$C$93:$E$93,$B$3))*$N$3</f>
        <v>49210.1385525962</v>
      </c>
      <c r="L62" s="8" t="n">
        <f aca="false">((L29+L32)*INDEX(Assumptions!$C$91:$E$91,$B$3)+L30*INDEX(Assumptions!$C$93:$E$93,$B$3))*$N$3</f>
        <v>68998.4802363198</v>
      </c>
      <c r="M62" s="8" t="n">
        <f aca="false">((M29+M32)*INDEX(Assumptions!$C$91:$E$91,$B$3)+M30*INDEX(Assumptions!$C$93:$E$93,$B$3))*$N$3</f>
        <v>57801.7152879294</v>
      </c>
      <c r="N62" s="8" t="n">
        <f aca="false">((N29+N32)*INDEX(Assumptions!$C$91:$E$91,$B$3)+N30*INDEX(Assumptions!$C$93:$E$93,$B$3))*$N$3</f>
        <v>56137.2366092016</v>
      </c>
      <c r="O62" s="37" t="n">
        <f aca="false">SUM(C62:N62)</f>
        <v>504427.275825471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16800</v>
      </c>
      <c r="D63" s="8" t="n">
        <f aca="false">(D29+D30)*D47*INDEX(Assumptions!$C$14:$E$14,$B$3)*$N$3</f>
        <v>26250</v>
      </c>
      <c r="E63" s="8" t="n">
        <f aca="false">(E29+E30)*E47*INDEX(Assumptions!$C$14:$E$14,$B$3)*$N$3</f>
        <v>34300</v>
      </c>
      <c r="F63" s="8" t="n">
        <f aca="false">(F29+F30)*F47*INDEX(Assumptions!$C$14:$E$14,$B$3)*$N$3</f>
        <v>50400</v>
      </c>
      <c r="G63" s="8" t="n">
        <f aca="false">(G29+G30)*G47*INDEX(Assumptions!$C$14:$E$14,$B$3)*$N$3</f>
        <v>0</v>
      </c>
      <c r="H63" s="8" t="n">
        <f aca="false">(H29+H30)*H47*INDEX(Assumptions!$C$14:$E$14,$B$3)*$N$3</f>
        <v>0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127750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1080</v>
      </c>
      <c r="D64" s="8" t="n">
        <f aca="false">D31*INDEX(Assumptions!$C$92:$E$92,$B$3)*$N$3</f>
        <v>1687.5</v>
      </c>
      <c r="E64" s="8" t="n">
        <f aca="false">E31*INDEX(Assumptions!$C$92:$E$92,$B$3)*$N$3</f>
        <v>2205</v>
      </c>
      <c r="F64" s="8" t="n">
        <f aca="false">F31*INDEX(Assumptions!$C$92:$E$92,$B$3)*$N$3</f>
        <v>3240</v>
      </c>
      <c r="G64" s="8" t="n">
        <f aca="false">G31*INDEX(Assumptions!$C$92:$E$92,$B$3)*$N$3</f>
        <v>4455</v>
      </c>
      <c r="H64" s="8" t="n">
        <f aca="false">H31*INDEX(Assumptions!$C$92:$E$92,$B$3)*$N$3</f>
        <v>5850</v>
      </c>
      <c r="I64" s="8" t="n">
        <f aca="false">I31*INDEX(Assumptions!$C$92:$E$92,$B$3)*$N$3</f>
        <v>7465.83333333333</v>
      </c>
      <c r="J64" s="8" t="n">
        <f aca="false">J31*INDEX(Assumptions!$C$92:$E$92,$B$3)*$N$3</f>
        <v>4956.20988775596</v>
      </c>
      <c r="K64" s="8" t="n">
        <f aca="false">K31*INDEX(Assumptions!$C$92:$E$92,$B$3)*$N$3</f>
        <v>5404.48517723982</v>
      </c>
      <c r="L64" s="8" t="n">
        <f aca="false">L31*INDEX(Assumptions!$C$92:$E$92,$B$3)*$N$3</f>
        <v>7425</v>
      </c>
      <c r="M64" s="8" t="n">
        <f aca="false">M31*INDEX(Assumptions!$C$92:$E$92,$B$3)*$N$3</f>
        <v>5947.26124961547</v>
      </c>
      <c r="N64" s="8" t="n">
        <f aca="false">N31*INDEX(Assumptions!$C$92:$E$92,$B$3)*$N$3</f>
        <v>5911.05574918059</v>
      </c>
      <c r="O64" s="37" t="n">
        <f aca="false">SUM(C64:N64)</f>
        <v>55627.3453971252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3346.66666666667</v>
      </c>
      <c r="D65" s="8" t="n">
        <f aca="false">(D39*INDEX(Assumptions!$C$94:$E$94,$B$3)+D40*INDEX(Assumptions!$C$95:$E$95,$B$3)+D41*INDEX(Assumptions!$C$96:$E$96,$B$3))*$N$3</f>
        <v>5696.66666666667</v>
      </c>
      <c r="E65" s="8" t="n">
        <f aca="false">(E39*INDEX(Assumptions!$C$94:$E$94,$B$3)+E40*INDEX(Assumptions!$C$95:$E$95,$B$3)+E41*INDEX(Assumptions!$C$96:$E$96,$B$3))*$N$3</f>
        <v>12064.4444444444</v>
      </c>
      <c r="F65" s="8" t="n">
        <f aca="false">(F39*INDEX(Assumptions!$C$94:$E$94,$B$3)+F40*INDEX(Assumptions!$C$95:$E$95,$B$3)+F41*INDEX(Assumptions!$C$96:$E$96,$B$3))*$N$3</f>
        <v>16580</v>
      </c>
      <c r="G65" s="8" t="n">
        <f aca="false">(G39*INDEX(Assumptions!$C$94:$E$94,$B$3)+G40*INDEX(Assumptions!$C$95:$E$95,$B$3)+G41*INDEX(Assumptions!$C$96:$E$96,$B$3))*$N$3</f>
        <v>17840</v>
      </c>
      <c r="H65" s="8" t="n">
        <f aca="false">(H39*INDEX(Assumptions!$C$94:$E$94,$B$3)+H40*INDEX(Assumptions!$C$95:$E$95,$B$3)+H41*INDEX(Assumptions!$C$96:$E$96,$B$3))*$N$3</f>
        <v>21124.4444444444</v>
      </c>
      <c r="I65" s="8" t="n">
        <f aca="false">(I39*INDEX(Assumptions!$C$94:$E$94,$B$3)+I40*INDEX(Assumptions!$C$95:$E$95,$B$3)+I41*INDEX(Assumptions!$C$96:$E$96,$B$3))*$N$3</f>
        <v>24786.6666666667</v>
      </c>
      <c r="J65" s="8" t="n">
        <f aca="false">(J39*INDEX(Assumptions!$C$94:$E$94,$B$3)+J40*INDEX(Assumptions!$C$95:$E$95,$B$3)+J41*INDEX(Assumptions!$C$96:$E$96,$B$3))*$N$3</f>
        <v>27810</v>
      </c>
      <c r="K65" s="8" t="n">
        <f aca="false">(K39*INDEX(Assumptions!$C$94:$E$94,$B$3)+K40*INDEX(Assumptions!$C$95:$E$95,$B$3)+K41*INDEX(Assumptions!$C$96:$E$96,$B$3))*$N$3</f>
        <v>27643.3333333333</v>
      </c>
      <c r="L65" s="8" t="n">
        <f aca="false">(L39*INDEX(Assumptions!$C$94:$E$94,$B$3)+L40*INDEX(Assumptions!$C$95:$E$95,$B$3)+L41*INDEX(Assumptions!$C$96:$E$96,$B$3))*$N$3</f>
        <v>28713.3333333333</v>
      </c>
      <c r="M65" s="8" t="n">
        <f aca="false">(M39*INDEX(Assumptions!$C$94:$E$94,$B$3)+M40*INDEX(Assumptions!$C$95:$E$95,$B$3)+M41*INDEX(Assumptions!$C$96:$E$96,$B$3))*$N$3</f>
        <v>30610</v>
      </c>
      <c r="N65" s="8" t="n">
        <f aca="false">(N39*INDEX(Assumptions!$C$94:$E$94,$B$3)+N40*INDEX(Assumptions!$C$95:$E$95,$B$3)+N41*INDEX(Assumptions!$C$96:$E$96,$B$3))*$N$3</f>
        <v>32506.6666666667</v>
      </c>
      <c r="O65" s="37" t="n">
        <f aca="false">SUM(C65:N65)</f>
        <v>248722.222222222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45000</v>
      </c>
      <c r="I66" s="8" t="n">
        <f aca="false">I42*INDEX(Assumptions!$C$84:$E$84,$B$3)</f>
        <v>45000</v>
      </c>
      <c r="J66" s="8" t="n">
        <f aca="false">J42*INDEX(Assumptions!$C$84:$E$84,$B$3)</f>
        <v>45000</v>
      </c>
      <c r="K66" s="8" t="n">
        <f aca="false">K42*INDEX(Assumptions!$C$84:$E$84,$B$3)</f>
        <v>45000</v>
      </c>
      <c r="L66" s="8" t="n">
        <f aca="false">L42*INDEX(Assumptions!$C$84:$E$84,$B$3)</f>
        <v>45000</v>
      </c>
      <c r="M66" s="8" t="n">
        <f aca="false">M42*INDEX(Assumptions!$C$84:$E$84,$B$3)</f>
        <v>45000</v>
      </c>
      <c r="N66" s="8" t="n">
        <f aca="false">N42*INDEX(Assumptions!$C$84:$E$84,$B$3)</f>
        <v>45000</v>
      </c>
      <c r="O66" s="37" t="n">
        <f aca="false">SUM(C66:N66)</f>
        <v>315000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945</v>
      </c>
      <c r="F67" s="8" t="n">
        <f aca="false">F44*INDEX(Assumptions!$C$97:$E$97,$B$3)</f>
        <v>1890</v>
      </c>
      <c r="G67" s="8" t="n">
        <f aca="false">G44*INDEX(Assumptions!$C$97:$E$97,$B$3)</f>
        <v>2835</v>
      </c>
      <c r="H67" s="8" t="n">
        <f aca="false">H44*INDEX(Assumptions!$C$97:$E$97,$B$3)</f>
        <v>3780</v>
      </c>
      <c r="I67" s="8" t="n">
        <f aca="false">I44*INDEX(Assumptions!$C$97:$E$97,$B$3)</f>
        <v>4725</v>
      </c>
      <c r="J67" s="8" t="n">
        <f aca="false">J44*INDEX(Assumptions!$C$97:$E$97,$B$3)</f>
        <v>5670</v>
      </c>
      <c r="K67" s="8" t="n">
        <f aca="false">K44*INDEX(Assumptions!$C$97:$E$97,$B$3)</f>
        <v>5670</v>
      </c>
      <c r="L67" s="8" t="n">
        <f aca="false">L44*INDEX(Assumptions!$C$97:$E$97,$B$3)</f>
        <v>5670</v>
      </c>
      <c r="M67" s="8" t="n">
        <f aca="false">M44*INDEX(Assumptions!$C$97:$E$97,$B$3)</f>
        <v>5670</v>
      </c>
      <c r="N67" s="8" t="n">
        <f aca="false">N44*INDEX(Assumptions!$C$97:$E$97,$B$3)</f>
        <v>5670</v>
      </c>
      <c r="O67" s="37" t="n">
        <f aca="false">SUM(C67:N67)</f>
        <v>42525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4828.06032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7933.52925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12093.37848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17201.61828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26609.16528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35185.68564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43420.8296533333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33282.1192276609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34894.3270782409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44903.4062423884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39576.9824529105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39826.7692363954</v>
      </c>
      <c r="O68" s="37" t="n">
        <f aca="false">SUM(C68:N68)</f>
        <v>339755.871140929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960</v>
      </c>
      <c r="D69" s="8" t="n">
        <f aca="false">D33*INDEX(Assumptions!$C$198:$E$198,$B$3)*INDEX(Assumptions!$C$69:$E$69,$B$3)</f>
        <v>1500</v>
      </c>
      <c r="E69" s="8" t="n">
        <f aca="false">E33*INDEX(Assumptions!$C$198:$E$198,$B$3)*INDEX(Assumptions!$C$69:$E$69,$B$3)</f>
        <v>1960</v>
      </c>
      <c r="F69" s="8" t="n">
        <f aca="false">F33*INDEX(Assumptions!$C$198:$E$198,$B$3)*INDEX(Assumptions!$C$69:$E$69,$B$3)</f>
        <v>2880</v>
      </c>
      <c r="G69" s="8" t="n">
        <f aca="false">G33*INDEX(Assumptions!$C$198:$E$198,$B$3)*INDEX(Assumptions!$C$69:$E$69,$B$3)</f>
        <v>3960</v>
      </c>
      <c r="H69" s="8" t="n">
        <f aca="false">H33*INDEX(Assumptions!$C$198:$E$198,$B$3)*INDEX(Assumptions!$C$69:$E$69,$B$3)</f>
        <v>5200</v>
      </c>
      <c r="I69" s="8" t="n">
        <f aca="false">I33*INDEX(Assumptions!$C$198:$E$198,$B$3)*INDEX(Assumptions!$C$69:$E$69,$B$3)</f>
        <v>6636.2962962963</v>
      </c>
      <c r="J69" s="8" t="n">
        <f aca="false">J33*INDEX(Assumptions!$C$198:$E$198,$B$3)*INDEX(Assumptions!$C$69:$E$69,$B$3)</f>
        <v>4405.51990022752</v>
      </c>
      <c r="K69" s="8" t="n">
        <f aca="false">K33*INDEX(Assumptions!$C$198:$E$198,$B$3)*INDEX(Assumptions!$C$69:$E$69,$B$3)</f>
        <v>4803.98682421317</v>
      </c>
      <c r="L69" s="8" t="n">
        <f aca="false">L33*INDEX(Assumptions!$C$198:$E$198,$B$3)*INDEX(Assumptions!$C$69:$E$69,$B$3)</f>
        <v>6600</v>
      </c>
      <c r="M69" s="8" t="n">
        <f aca="false">M33*INDEX(Assumptions!$C$198:$E$198,$B$3)*INDEX(Assumptions!$C$69:$E$69,$B$3)</f>
        <v>5286.45444410264</v>
      </c>
      <c r="N69" s="8" t="n">
        <f aca="false">N33*INDEX(Assumptions!$C$198:$E$198,$B$3)*INDEX(Assumptions!$C$69:$E$69,$B$3)</f>
        <v>5254.27177704942</v>
      </c>
      <c r="O69" s="37" t="n">
        <f aca="false">SUM(C69:N69)</f>
        <v>49446.529241889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35414.7269866667</v>
      </c>
      <c r="D70" s="37" t="n">
        <f aca="false">SUM(D62:D69)</f>
        <v>57632.6959166667</v>
      </c>
      <c r="E70" s="37" t="n">
        <f aca="false">SUM(E62:E69)</f>
        <v>82967.8229244444</v>
      </c>
      <c r="F70" s="37" t="n">
        <f aca="false">SUM(F62:F69)</f>
        <v>120331.61828</v>
      </c>
      <c r="G70" s="37" t="n">
        <f aca="false">SUM(G62:G69)</f>
        <v>94669.16528</v>
      </c>
      <c r="H70" s="37" t="n">
        <f aca="false">SUM(H62:H69)</f>
        <v>167580.130084444</v>
      </c>
      <c r="I70" s="37" t="n">
        <f aca="false">SUM(I62:I69)</f>
        <v>196738.514838519</v>
      </c>
      <c r="J70" s="37" t="n">
        <f aca="false">SUM(J62:J69)</f>
        <v>167784.66526618</v>
      </c>
      <c r="K70" s="37" t="n">
        <f aca="false">SUM(K62:K69)</f>
        <v>172626.270965623</v>
      </c>
      <c r="L70" s="37" t="n">
        <f aca="false">SUM(L62:L69)</f>
        <v>207310.219812042</v>
      </c>
      <c r="M70" s="37" t="n">
        <f aca="false">SUM(M62:M69)</f>
        <v>189892.413434558</v>
      </c>
      <c r="N70" s="37" t="n">
        <f aca="false">SUM(N62:N69)</f>
        <v>190306.000038494</v>
      </c>
      <c r="O70" s="31" t="n">
        <f aca="false">SUM(C70:N70)</f>
        <v>1683254.24382764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156301.860583955</v>
      </c>
      <c r="D71" s="37" t="n">
        <f aca="false">D59-D70</f>
        <v>257830.545608757</v>
      </c>
      <c r="E71" s="37" t="n">
        <f aca="false">E59-E70</f>
        <v>409917.227923013</v>
      </c>
      <c r="F71" s="37" t="n">
        <f aca="false">F59-F70</f>
        <v>577774.703753898</v>
      </c>
      <c r="G71" s="37" t="n">
        <f aca="false">G59-G70</f>
        <v>948929.953364068</v>
      </c>
      <c r="H71" s="37" t="n">
        <f aca="false">H59-H70</f>
        <v>1213476.63262742</v>
      </c>
      <c r="I71" s="37" t="n">
        <f aca="false">I59-I70</f>
        <v>1498869.91202903</v>
      </c>
      <c r="J71" s="37" t="n">
        <f aca="false">J59-J70</f>
        <v>1164559.5128993</v>
      </c>
      <c r="K71" s="37" t="n">
        <f aca="false">K59-K70</f>
        <v>1219594.78961336</v>
      </c>
      <c r="L71" s="37" t="n">
        <f aca="false">L59-L70</f>
        <v>1558123.46883162</v>
      </c>
      <c r="M71" s="37" t="n">
        <f aca="false">M59-M70</f>
        <v>1386281.05360742</v>
      </c>
      <c r="N71" s="37" t="n">
        <f aca="false">N59-N70</f>
        <v>1403454.45863003</v>
      </c>
      <c r="O71" s="31" t="n">
        <f aca="false">SUM(C71:N71)</f>
        <v>11795114.1194719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0.815275624110401</v>
      </c>
      <c r="D72" s="7" t="n">
        <f aca="false">IFERROR(D71/D59,0)</f>
        <v>0.817307729299986</v>
      </c>
      <c r="E72" s="7" t="n">
        <f aca="false">IFERROR(E71/E59,0)</f>
        <v>0.831669021444673</v>
      </c>
      <c r="F72" s="7" t="n">
        <f aca="false">IFERROR(F71/F59,0)</f>
        <v>0.827631387251415</v>
      </c>
      <c r="G72" s="7" t="n">
        <f aca="false">IFERROR(G71/G59,0)</f>
        <v>0.909285889966061</v>
      </c>
      <c r="H72" s="7" t="n">
        <f aca="false">IFERROR(H71/H59,0)</f>
        <v>0.878658043167334</v>
      </c>
      <c r="I72" s="7" t="n">
        <f aca="false">IFERROR(I71/I59,0)</f>
        <v>0.883971728542319</v>
      </c>
      <c r="J72" s="7" t="n">
        <f aca="false">IFERROR(J71/J59,0)</f>
        <v>0.874068076390588</v>
      </c>
      <c r="K72" s="7" t="n">
        <f aca="false">IFERROR(K71/K59,0)</f>
        <v>0.876006565441674</v>
      </c>
      <c r="L72" s="7" t="n">
        <f aca="false">IFERROR(L71/L59,0)</f>
        <v>0.88257263858417</v>
      </c>
      <c r="M72" s="7" t="n">
        <f aca="false">IFERROR(M71/M59,0)</f>
        <v>0.879523150588919</v>
      </c>
      <c r="N72" s="7" t="n">
        <f aca="false">IFERROR(N71/N59,0)</f>
        <v>0.880593097285472</v>
      </c>
      <c r="O72" s="13" t="n">
        <f aca="false">IFERROR(O71/O59,0)</f>
        <v>0.875114390818179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2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3</v>
      </c>
      <c r="I74" s="8" t="n">
        <f aca="false">ROUNDUP(I35/(INDEX(Assumptions!$C$102:$E$102,$B$3)*$J$3),0)</f>
        <v>4</v>
      </c>
      <c r="J74" s="8" t="n">
        <f aca="false">ROUNDUP(J35/(INDEX(Assumptions!$C$102:$E$102,$B$3)*$J$3),0)</f>
        <v>4</v>
      </c>
      <c r="K74" s="8" t="n">
        <f aca="false">ROUNDUP(K35/(INDEX(Assumptions!$C$102:$E$102,$B$3)*$J$3),0)</f>
        <v>4</v>
      </c>
      <c r="L74" s="8" t="n">
        <f aca="false">ROUNDUP(L35/(INDEX(Assumptions!$C$102:$E$102,$B$3)*$J$3),0)</f>
        <v>4</v>
      </c>
      <c r="M74" s="8" t="n">
        <f aca="false">ROUNDUP(M35/(INDEX(Assumptions!$C$102:$E$102,$B$3)*$J$3),0)</f>
        <v>4</v>
      </c>
      <c r="N74" s="8" t="n">
        <f aca="false">ROUNDUP(N35/(INDEX(Assumptions!$C$102:$E$102,$B$3)*$J$3),0)</f>
        <v>4</v>
      </c>
      <c r="O74" s="37" t="n">
        <f aca="false">MAX(C74:N74)</f>
        <v>4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0.0916666666666667</v>
      </c>
      <c r="D75" s="6" t="n">
        <f aca="false">D74*(1-D11)</f>
        <v>0.183333333333333</v>
      </c>
      <c r="E75" s="6" t="n">
        <f aca="false">E74*(1-E11)</f>
        <v>0.275</v>
      </c>
      <c r="F75" s="6" t="n">
        <f aca="false">F74*(1-F11)</f>
        <v>0.733333333333333</v>
      </c>
      <c r="G75" s="6" t="n">
        <f aca="false">G74*(1-G11)</f>
        <v>0.916666666666667</v>
      </c>
      <c r="H75" s="6" t="n">
        <f aca="false">H74*(1-H11)</f>
        <v>1.65</v>
      </c>
      <c r="I75" s="6" t="n">
        <f aca="false">I74*(1-I11)</f>
        <v>2.33333333333333</v>
      </c>
      <c r="J75" s="6" t="n">
        <f aca="false">J74*(1-J11)</f>
        <v>2.46666666666667</v>
      </c>
      <c r="K75" s="6" t="n">
        <f aca="false">K74*(1-K11)</f>
        <v>2.6</v>
      </c>
      <c r="L75" s="6" t="n">
        <f aca="false">L74*(1-L11)</f>
        <v>2.73333333333333</v>
      </c>
      <c r="M75" s="6" t="n">
        <f aca="false">M74*(1-M11)</f>
        <v>2.86666666666667</v>
      </c>
      <c r="N75" s="6" t="n">
        <f aca="false">N74*(1-N11)</f>
        <v>3</v>
      </c>
      <c r="O75" s="39" t="n">
        <f aca="false">MAX(C75:N75)</f>
        <v>3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1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1</v>
      </c>
      <c r="J77" s="8" t="n">
        <f aca="false">IF(J76=0,0,MAX(0,ROUNDUP((J75-J76*INDEX(Assumptions!$C$101:$E$101,$B$3))/INDEX(Assumptions!$C$101:$E$101,$B$3)-0.1,0)))</f>
        <v>1</v>
      </c>
      <c r="K77" s="8" t="n">
        <f aca="false">IF(K76=0,0,MAX(0,ROUNDUP((K75-K76*INDEX(Assumptions!$C$101:$E$101,$B$3))/INDEX(Assumptions!$C$101:$E$101,$B$3)-0.1,0)))</f>
        <v>1</v>
      </c>
      <c r="L77" s="8" t="n">
        <f aca="false">IF(L76=0,0,MAX(0,ROUNDUP((L75-L76*INDEX(Assumptions!$C$101:$E$101,$B$3))/INDEX(Assumptions!$C$101:$E$101,$B$3)-0.1,0)))</f>
        <v>1</v>
      </c>
      <c r="M77" s="8" t="n">
        <f aca="false">IF(M76=0,0,MAX(0,ROUNDUP((M75-M76*INDEX(Assumptions!$C$101:$E$101,$B$3))/INDEX(Assumptions!$C$101:$E$101,$B$3)-0.1,0)))</f>
        <v>1</v>
      </c>
      <c r="N77" s="8" t="n">
        <f aca="false">IF(N76=0,0,MAX(0,ROUNDUP((N75-N76*INDEX(Assumptions!$C$101:$E$101,$B$3))/INDEX(Assumptions!$C$101:$E$101,$B$3)-0.1,0)))</f>
        <v>1</v>
      </c>
      <c r="O77" s="37" t="n">
        <f aca="false">MAX(C77:N77)</f>
        <v>1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2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71000</v>
      </c>
      <c r="D79" s="8" t="n">
        <f aca="false">D76*INDEX(Assumptions!$C$98:$E$98,$B$3)+D77*INDEX(Assumptions!$C$99:$E$99,$B$3)+D78*INDEX(Assumptions!$C$100:$E$100,$B$3)</f>
        <v>71000</v>
      </c>
      <c r="E79" s="8" t="n">
        <f aca="false">E76*INDEX(Assumptions!$C$98:$E$98,$B$3)+E77*INDEX(Assumptions!$C$99:$E$99,$B$3)+E78*INDEX(Assumptions!$C$100:$E$100,$B$3)</f>
        <v>71000</v>
      </c>
      <c r="F79" s="8" t="n">
        <f aca="false">F76*INDEX(Assumptions!$C$98:$E$98,$B$3)+F77*INDEX(Assumptions!$C$99:$E$99,$B$3)+F78*INDEX(Assumptions!$C$100:$E$100,$B$3)</f>
        <v>71000</v>
      </c>
      <c r="G79" s="8" t="n">
        <f aca="false">G76*INDEX(Assumptions!$C$98:$E$98,$B$3)+G77*INDEX(Assumptions!$C$99:$E$99,$B$3)+G78*INDEX(Assumptions!$C$100:$E$100,$B$3)</f>
        <v>71000</v>
      </c>
      <c r="H79" s="8" t="n">
        <f aca="false">H76*INDEX(Assumptions!$C$98:$E$98,$B$3)+H77*INDEX(Assumptions!$C$99:$E$99,$B$3)+H78*INDEX(Assumptions!$C$100:$E$100,$B$3)</f>
        <v>87000</v>
      </c>
      <c r="I79" s="8" t="n">
        <f aca="false">I76*INDEX(Assumptions!$C$98:$E$98,$B$3)+I77*INDEX(Assumptions!$C$99:$E$99,$B$3)+I78*INDEX(Assumptions!$C$100:$E$100,$B$3)</f>
        <v>119000</v>
      </c>
      <c r="J79" s="8" t="n">
        <f aca="false">J76*INDEX(Assumptions!$C$98:$E$98,$B$3)+J77*INDEX(Assumptions!$C$99:$E$99,$B$3)+J78*INDEX(Assumptions!$C$100:$E$100,$B$3)</f>
        <v>119000</v>
      </c>
      <c r="K79" s="8" t="n">
        <f aca="false">K76*INDEX(Assumptions!$C$98:$E$98,$B$3)+K77*INDEX(Assumptions!$C$99:$E$99,$B$3)+K78*INDEX(Assumptions!$C$100:$E$100,$B$3)</f>
        <v>119000</v>
      </c>
      <c r="L79" s="8" t="n">
        <f aca="false">L76*INDEX(Assumptions!$C$98:$E$98,$B$3)+L77*INDEX(Assumptions!$C$99:$E$99,$B$3)+L78*INDEX(Assumptions!$C$100:$E$100,$B$3)</f>
        <v>119000</v>
      </c>
      <c r="M79" s="8" t="n">
        <f aca="false">M76*INDEX(Assumptions!$C$98:$E$98,$B$3)+M77*INDEX(Assumptions!$C$99:$E$99,$B$3)+M78*INDEX(Assumptions!$C$100:$E$100,$B$3)</f>
        <v>119000</v>
      </c>
      <c r="N79" s="8" t="n">
        <f aca="false">N76*INDEX(Assumptions!$C$98:$E$98,$B$3)+N77*INDEX(Assumptions!$C$99:$E$99,$B$3)+N78*INDEX(Assumptions!$C$100:$E$100,$B$3)</f>
        <v>119000</v>
      </c>
      <c r="O79" s="37" t="n">
        <f aca="false">SUM(C79:N79)</f>
        <v>1156000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50000</v>
      </c>
      <c r="G80" s="8" t="n">
        <f aca="false">(IF(5&gt;=INDEX(Assumptions!$C$164:$E$164,$D$3),1,0)+IF(5&gt;=INDEX(Assumptions!$C$166:$E$166,$D$3),INDEX(Assumptions!$C$165:$E$165,$D$3),0))*INDEX(Assumptions!$C$108:$E$108,$D$3)</f>
        <v>50000</v>
      </c>
      <c r="H80" s="8" t="n">
        <f aca="false">(IF(6&gt;=INDEX(Assumptions!$C$164:$E$164,$D$3),1,0)+IF(6&gt;=INDEX(Assumptions!$C$166:$E$166,$D$3),INDEX(Assumptions!$C$165:$E$165,$D$3),0))*INDEX(Assumptions!$C$108:$E$108,$D$3)</f>
        <v>50000</v>
      </c>
      <c r="I80" s="8" t="n">
        <f aca="false">(IF(7&gt;=INDEX(Assumptions!$C$164:$E$164,$D$3),1,0)+IF(7&gt;=INDEX(Assumptions!$C$166:$E$166,$D$3),INDEX(Assumptions!$C$165:$E$165,$D$3),0))*INDEX(Assumptions!$C$108:$E$108,$D$3)</f>
        <v>50000</v>
      </c>
      <c r="J80" s="8" t="n">
        <f aca="false">(IF(8&gt;=INDEX(Assumptions!$C$164:$E$164,$D$3),1,0)+IF(8&gt;=INDEX(Assumptions!$C$166:$E$166,$D$3),INDEX(Assumptions!$C$165:$E$165,$D$3),0))*INDEX(Assumptions!$C$108:$E$108,$D$3)</f>
        <v>50000</v>
      </c>
      <c r="K80" s="8" t="n">
        <f aca="false">(IF(9&gt;=INDEX(Assumptions!$C$164:$E$164,$D$3),1,0)+IF(9&gt;=INDEX(Assumptions!$C$166:$E$166,$D$3),INDEX(Assumptions!$C$165:$E$165,$D$3),0))*INDEX(Assumptions!$C$108:$E$108,$D$3)</f>
        <v>50000</v>
      </c>
      <c r="L80" s="8" t="n">
        <f aca="false">(IF(10&gt;=INDEX(Assumptions!$C$164:$E$164,$D$3),1,0)+IF(10&gt;=INDEX(Assumptions!$C$166:$E$166,$D$3),INDEX(Assumptions!$C$165:$E$165,$D$3),0))*INDEX(Assumptions!$C$108:$E$108,$D$3)</f>
        <v>50000</v>
      </c>
      <c r="M80" s="8" t="n">
        <f aca="false">(IF(11&gt;=INDEX(Assumptions!$C$164:$E$164,$D$3),1,0)+IF(11&gt;=INDEX(Assumptions!$C$166:$E$166,$D$3),INDEX(Assumptions!$C$165:$E$165,$D$3),0))*INDEX(Assumptions!$C$108:$E$108,$D$3)</f>
        <v>50000</v>
      </c>
      <c r="N80" s="8" t="n">
        <f aca="false">(IF(12&gt;=INDEX(Assumptions!$C$164:$E$164,$D$3),1,0)+IF(12&gt;=INDEX(Assumptions!$C$166:$E$166,$D$3),INDEX(Assumptions!$C$165:$E$165,$D$3),0))*INDEX(Assumptions!$C$108:$E$108,$D$3)</f>
        <v>50000</v>
      </c>
      <c r="O80" s="37" t="n">
        <f aca="false">SUM(C80:N80)</f>
        <v>525000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25000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135000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160000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160000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160000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160000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160000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160000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160000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160000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160000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160000</v>
      </c>
      <c r="O81" s="37" t="n">
        <f aca="false">SUM(C81:N81)</f>
        <v>1760000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18000</v>
      </c>
      <c r="G82" s="8" t="n">
        <f aca="false">IF(5&gt;=INDEX(Assumptions!$C$173:$E$173,$D$3),INDEX(Assumptions!$C$185:$E$185,$D$3),0)</f>
        <v>18000</v>
      </c>
      <c r="H82" s="8" t="n">
        <f aca="false">IF(6&gt;=INDEX(Assumptions!$C$173:$E$173,$D$3),INDEX(Assumptions!$C$185:$E$185,$D$3),0)</f>
        <v>18000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162000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65000</v>
      </c>
      <c r="M83" s="8" t="n">
        <f aca="false">IF(11&gt;=INDEX(Assumptions!$C$187:$E$187,$D$3),INDEX(Assumptions!$C$186:$E$186,$B$3),0)</f>
        <v>65000</v>
      </c>
      <c r="N83" s="8" t="n">
        <f aca="false">IF(12&gt;=INDEX(Assumptions!$C$187:$E$187,$D$3),INDEX(Assumptions!$C$186:$E$186,$B$3),0)</f>
        <v>65000</v>
      </c>
      <c r="O83" s="37" t="n">
        <f aca="false">SUM(C83:N83)</f>
        <v>195000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121000</v>
      </c>
      <c r="D84" s="37" t="n">
        <f aca="false">SUM(D79:D83)</f>
        <v>231000</v>
      </c>
      <c r="E84" s="37" t="n">
        <f aca="false">SUM(E79:E83)</f>
        <v>256000</v>
      </c>
      <c r="F84" s="37" t="n">
        <f aca="false">SUM(F79:F83)</f>
        <v>299000</v>
      </c>
      <c r="G84" s="37" t="n">
        <f aca="false">SUM(G79:G83)</f>
        <v>299000</v>
      </c>
      <c r="H84" s="37" t="n">
        <f aca="false">SUM(H79:H83)</f>
        <v>315000</v>
      </c>
      <c r="I84" s="37" t="n">
        <f aca="false">SUM(I79:I83)</f>
        <v>347000</v>
      </c>
      <c r="J84" s="37" t="n">
        <f aca="false">SUM(J79:J83)</f>
        <v>347000</v>
      </c>
      <c r="K84" s="37" t="n">
        <f aca="false">SUM(K79:K83)</f>
        <v>347000</v>
      </c>
      <c r="L84" s="37" t="n">
        <f aca="false">SUM(L79:L83)</f>
        <v>412000</v>
      </c>
      <c r="M84" s="37" t="n">
        <f aca="false">SUM(M79:M83)</f>
        <v>412000</v>
      </c>
      <c r="N84" s="37" t="n">
        <f aca="false">SUM(N79:N83)</f>
        <v>412000</v>
      </c>
      <c r="O84" s="31" t="n">
        <f aca="false">SUM(C84:N84)</f>
        <v>3798000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128000</v>
      </c>
      <c r="G86" s="8" t="n">
        <f aca="false">IF(5&gt;=INDEX(Assumptions!$C$173:$E$173,$D$3),INDEX(Assumptions!$C$174:$E$174,$D$3)*INDEX(Assumptions!$C$175:$E$175,$B$3),INDEX(Assumptions!$C$179:$E$179,$B$3))*$F$4</f>
        <v>128000</v>
      </c>
      <c r="H86" s="8" t="n">
        <f aca="false">IF(6&gt;=INDEX(Assumptions!$C$173:$E$173,$D$3),INDEX(Assumptions!$C$174:$E$174,$D$3)*INDEX(Assumptions!$C$175:$E$175,$B$3),INDEX(Assumptions!$C$179:$E$179,$B$3))*$F$4</f>
        <v>128000</v>
      </c>
      <c r="I86" s="8" t="n">
        <f aca="false">IF(7&gt;=INDEX(Assumptions!$C$173:$E$173,$D$3),INDEX(Assumptions!$C$174:$E$174,$D$3)*INDEX(Assumptions!$C$175:$E$175,$B$3),INDEX(Assumptions!$C$179:$E$179,$B$3))*$F$4</f>
        <v>128000</v>
      </c>
      <c r="J86" s="8" t="n">
        <f aca="false">IF(8&gt;=INDEX(Assumptions!$C$173:$E$173,$D$3),INDEX(Assumptions!$C$174:$E$174,$D$3)*INDEX(Assumptions!$C$175:$E$175,$B$3),INDEX(Assumptions!$C$179:$E$179,$B$3))*$F$4</f>
        <v>128000</v>
      </c>
      <c r="K86" s="8" t="n">
        <f aca="false">IF(9&gt;=INDEX(Assumptions!$C$173:$E$173,$D$3),INDEX(Assumptions!$C$174:$E$174,$D$3)*INDEX(Assumptions!$C$175:$E$175,$B$3),INDEX(Assumptions!$C$179:$E$179,$B$3))*$F$4</f>
        <v>128000</v>
      </c>
      <c r="L86" s="8" t="n">
        <f aca="false">IF(10&gt;=INDEX(Assumptions!$C$173:$E$173,$D$3),INDEX(Assumptions!$C$174:$E$174,$D$3)*INDEX(Assumptions!$C$175:$E$175,$B$3),INDEX(Assumptions!$C$179:$E$179,$B$3))*$F$4</f>
        <v>128000</v>
      </c>
      <c r="M86" s="8" t="n">
        <f aca="false">IF(11&gt;=INDEX(Assumptions!$C$173:$E$173,$D$3),INDEX(Assumptions!$C$174:$E$174,$D$3)*INDEX(Assumptions!$C$175:$E$175,$B$3),INDEX(Assumptions!$C$179:$E$179,$B$3))*$F$4</f>
        <v>128000</v>
      </c>
      <c r="N86" s="8" t="n">
        <f aca="false">IF(12&gt;=INDEX(Assumptions!$C$173:$E$173,$D$3),INDEX(Assumptions!$C$174:$E$174,$D$3)*INDEX(Assumptions!$C$175:$E$175,$B$3),INDEX(Assumptions!$C$179:$E$179,$B$3))*$F$4</f>
        <v>128000</v>
      </c>
      <c r="O86" s="37" t="n">
        <f aca="false">SUM(C86:N86)</f>
        <v>1257000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19200</v>
      </c>
      <c r="G87" s="8" t="n">
        <f aca="false">IF(5&gt;=INDEX(Assumptions!$C$173:$E$173,$D$3),INDEX(Assumptions!$C$174:$E$174,$D$3)*INDEX(Assumptions!$C$181:$E$181,$B$3),INDEX(Assumptions!$C$180:$E$180,$B$3))</f>
        <v>19200</v>
      </c>
      <c r="H87" s="8" t="n">
        <f aca="false">IF(6&gt;=INDEX(Assumptions!$C$173:$E$173,$D$3),INDEX(Assumptions!$C$174:$E$174,$D$3)*INDEX(Assumptions!$C$181:$E$181,$B$3),INDEX(Assumptions!$C$180:$E$180,$B$3))</f>
        <v>19200</v>
      </c>
      <c r="I87" s="8" t="n">
        <f aca="false">IF(7&gt;=INDEX(Assumptions!$C$173:$E$173,$D$3),INDEX(Assumptions!$C$174:$E$174,$D$3)*INDEX(Assumptions!$C$181:$E$181,$B$3),INDEX(Assumptions!$C$180:$E$180,$B$3))</f>
        <v>19200</v>
      </c>
      <c r="J87" s="8" t="n">
        <f aca="false">IF(8&gt;=INDEX(Assumptions!$C$173:$E$173,$D$3),INDEX(Assumptions!$C$174:$E$174,$D$3)*INDEX(Assumptions!$C$181:$E$181,$B$3),INDEX(Assumptions!$C$180:$E$180,$B$3))</f>
        <v>19200</v>
      </c>
      <c r="K87" s="8" t="n">
        <f aca="false">IF(9&gt;=INDEX(Assumptions!$C$173:$E$173,$D$3),INDEX(Assumptions!$C$174:$E$174,$D$3)*INDEX(Assumptions!$C$181:$E$181,$B$3),INDEX(Assumptions!$C$180:$E$180,$B$3))</f>
        <v>19200</v>
      </c>
      <c r="L87" s="8" t="n">
        <f aca="false">IF(10&gt;=INDEX(Assumptions!$C$173:$E$173,$D$3),INDEX(Assumptions!$C$174:$E$174,$D$3)*INDEX(Assumptions!$C$181:$E$181,$B$3),INDEX(Assumptions!$C$180:$E$180,$B$3))</f>
        <v>19200</v>
      </c>
      <c r="M87" s="8" t="n">
        <f aca="false">IF(11&gt;=INDEX(Assumptions!$C$173:$E$173,$D$3),INDEX(Assumptions!$C$174:$E$174,$D$3)*INDEX(Assumptions!$C$181:$E$181,$B$3),INDEX(Assumptions!$C$180:$E$180,$B$3))</f>
        <v>19200</v>
      </c>
      <c r="N87" s="8" t="n">
        <f aca="false">IF(12&gt;=INDEX(Assumptions!$C$173:$E$173,$D$3),INDEX(Assumptions!$C$174:$E$174,$D$3)*INDEX(Assumptions!$C$181:$E$181,$B$3),INDEX(Assumptions!$C$180:$E$180,$B$3))</f>
        <v>19200</v>
      </c>
      <c r="O87" s="37" t="n">
        <f aca="false">SUM(C87:N87)</f>
        <v>202800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30000</v>
      </c>
      <c r="D88" s="8" t="n">
        <f aca="false">INDEX(Assumptions!$C$107:$E$107,$D$3)+IF(2&gt;=INDEX(Assumptions!$C$189:$E$189,$D$3)-1,INDEX(Assumptions!$C$188:$E$188,$D$3),0)</f>
        <v>30000</v>
      </c>
      <c r="E88" s="8" t="n">
        <f aca="false">INDEX(Assumptions!$C$107:$E$107,$D$3)+IF(3&gt;=INDEX(Assumptions!$C$189:$E$189,$D$3)-1,INDEX(Assumptions!$C$188:$E$188,$D$3),0)</f>
        <v>30000</v>
      </c>
      <c r="F88" s="8" t="n">
        <f aca="false">INDEX(Assumptions!$C$107:$E$107,$D$3)+IF(4&gt;=INDEX(Assumptions!$C$189:$E$189,$D$3)-1,INDEX(Assumptions!$C$188:$E$188,$D$3),0)</f>
        <v>30000</v>
      </c>
      <c r="G88" s="8" t="n">
        <f aca="false">INDEX(Assumptions!$C$107:$E$107,$D$3)+IF(5&gt;=INDEX(Assumptions!$C$189:$E$189,$D$3)-1,INDEX(Assumptions!$C$188:$E$188,$D$3),0)</f>
        <v>30000</v>
      </c>
      <c r="H88" s="8" t="n">
        <f aca="false">INDEX(Assumptions!$C$107:$E$107,$D$3)+IF(6&gt;=INDEX(Assumptions!$C$189:$E$189,$D$3)-1,INDEX(Assumptions!$C$188:$E$188,$D$3),0)</f>
        <v>30000</v>
      </c>
      <c r="I88" s="8" t="n">
        <f aca="false">INDEX(Assumptions!$C$107:$E$107,$D$3)+IF(7&gt;=INDEX(Assumptions!$C$189:$E$189,$D$3)-1,INDEX(Assumptions!$C$188:$E$188,$D$3),0)</f>
        <v>38000</v>
      </c>
      <c r="J88" s="8" t="n">
        <f aca="false">INDEX(Assumptions!$C$107:$E$107,$D$3)+IF(8&gt;=INDEX(Assumptions!$C$189:$E$189,$D$3)-1,INDEX(Assumptions!$C$188:$E$188,$D$3),0)</f>
        <v>38000</v>
      </c>
      <c r="K88" s="8" t="n">
        <f aca="false">INDEX(Assumptions!$C$107:$E$107,$D$3)+IF(9&gt;=INDEX(Assumptions!$C$189:$E$189,$D$3)-1,INDEX(Assumptions!$C$188:$E$188,$D$3),0)</f>
        <v>38000</v>
      </c>
      <c r="L88" s="8" t="n">
        <f aca="false">INDEX(Assumptions!$C$107:$E$107,$D$3)+IF(10&gt;=INDEX(Assumptions!$C$189:$E$189,$D$3)-1,INDEX(Assumptions!$C$188:$E$188,$D$3),0)</f>
        <v>38000</v>
      </c>
      <c r="M88" s="8" t="n">
        <f aca="false">INDEX(Assumptions!$C$107:$E$107,$D$3)+IF(11&gt;=INDEX(Assumptions!$C$189:$E$189,$D$3)-1,INDEX(Assumptions!$C$188:$E$188,$D$3),0)</f>
        <v>38000</v>
      </c>
      <c r="N88" s="8" t="n">
        <f aca="false">INDEX(Assumptions!$C$107:$E$107,$D$3)+IF(12&gt;=INDEX(Assumptions!$C$189:$E$189,$D$3)-1,INDEX(Assumptions!$C$188:$E$188,$D$3),0)</f>
        <v>38000</v>
      </c>
      <c r="O88" s="37" t="n">
        <f aca="false">SUM(C88:N88)</f>
        <v>408000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50000</v>
      </c>
      <c r="E89" s="8" t="n">
        <f aca="false">E17</f>
        <v>60000</v>
      </c>
      <c r="F89" s="8" t="n">
        <f aca="false">F17</f>
        <v>70000</v>
      </c>
      <c r="G89" s="8" t="n">
        <f aca="false">G17</f>
        <v>120000</v>
      </c>
      <c r="H89" s="8" t="n">
        <f aca="false">H17</f>
        <v>170000</v>
      </c>
      <c r="I89" s="8" t="n">
        <f aca="false">I17</f>
        <v>200000</v>
      </c>
      <c r="J89" s="8" t="n">
        <f aca="false">J17</f>
        <v>200000</v>
      </c>
      <c r="K89" s="8" t="n">
        <f aca="false">K17</f>
        <v>200000</v>
      </c>
      <c r="L89" s="8" t="n">
        <f aca="false">L17</f>
        <v>200000</v>
      </c>
      <c r="M89" s="8" t="n">
        <f aca="false">M17</f>
        <v>200000</v>
      </c>
      <c r="N89" s="8" t="n">
        <f aca="false">N17</f>
        <v>200000</v>
      </c>
      <c r="O89" s="37" t="n">
        <f aca="false">SUM(C89:N89)</f>
        <v>1685000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19167</v>
      </c>
      <c r="D90" s="8" t="n">
        <f aca="false">INDEX(Assumptions!$C$170:$E$170,$D$3)</f>
        <v>19167</v>
      </c>
      <c r="E90" s="8" t="n">
        <f aca="false">INDEX(Assumptions!$C$170:$E$170,$D$3)</f>
        <v>19167</v>
      </c>
      <c r="F90" s="8" t="n">
        <f aca="false">INDEX(Assumptions!$C$170:$E$170,$D$3)</f>
        <v>19167</v>
      </c>
      <c r="G90" s="8" t="n">
        <f aca="false">INDEX(Assumptions!$C$170:$E$170,$D$3)</f>
        <v>19167</v>
      </c>
      <c r="H90" s="8" t="n">
        <f aca="false">INDEX(Assumptions!$C$170:$E$170,$D$3)</f>
        <v>19167</v>
      </c>
      <c r="I90" s="8" t="n">
        <f aca="false">INDEX(Assumptions!$C$170:$E$170,$D$3)</f>
        <v>19167</v>
      </c>
      <c r="J90" s="8" t="n">
        <f aca="false">INDEX(Assumptions!$C$170:$E$170,$D$3)</f>
        <v>19167</v>
      </c>
      <c r="K90" s="8" t="n">
        <f aca="false">INDEX(Assumptions!$C$170:$E$170,$D$3)</f>
        <v>19167</v>
      </c>
      <c r="L90" s="8" t="n">
        <f aca="false">INDEX(Assumptions!$C$170:$E$170,$D$3)</f>
        <v>19167</v>
      </c>
      <c r="M90" s="8" t="n">
        <f aca="false">INDEX(Assumptions!$C$170:$E$170,$D$3)</f>
        <v>19167</v>
      </c>
      <c r="N90" s="8" t="n">
        <f aca="false">INDEX(Assumptions!$C$170:$E$170,$D$3)</f>
        <v>19167</v>
      </c>
      <c r="O90" s="37" t="n">
        <f aca="false">SUM(C90:N90)</f>
        <v>230004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20000</v>
      </c>
      <c r="D91" s="8" t="n">
        <f aca="false">INDEX(Assumptions!$C$195:$E$195,$D$3)</f>
        <v>20000</v>
      </c>
      <c r="E91" s="8" t="n">
        <f aca="false">INDEX(Assumptions!$C$195:$E$195,$D$3)</f>
        <v>20000</v>
      </c>
      <c r="F91" s="8" t="n">
        <f aca="false">INDEX(Assumptions!$C$195:$E$195,$D$3)</f>
        <v>20000</v>
      </c>
      <c r="G91" s="8" t="n">
        <f aca="false">INDEX(Assumptions!$C$195:$E$195,$D$3)</f>
        <v>20000</v>
      </c>
      <c r="H91" s="8" t="n">
        <f aca="false">INDEX(Assumptions!$C$195:$E$195,$D$3)</f>
        <v>20000</v>
      </c>
      <c r="I91" s="8" t="n">
        <f aca="false">INDEX(Assumptions!$C$195:$E$195,$D$3)</f>
        <v>20000</v>
      </c>
      <c r="J91" s="8" t="n">
        <f aca="false">INDEX(Assumptions!$C$195:$E$195,$D$3)</f>
        <v>20000</v>
      </c>
      <c r="K91" s="8" t="n">
        <f aca="false">INDEX(Assumptions!$C$195:$E$195,$D$3)</f>
        <v>20000</v>
      </c>
      <c r="L91" s="8" t="n">
        <f aca="false">INDEX(Assumptions!$C$195:$E$195,$D$3)</f>
        <v>20000</v>
      </c>
      <c r="M91" s="8" t="n">
        <f aca="false">INDEX(Assumptions!$C$195:$E$195,$D$3)</f>
        <v>20000</v>
      </c>
      <c r="N91" s="8" t="n">
        <f aca="false">INDEX(Assumptions!$C$195:$E$195,$D$3)</f>
        <v>20000</v>
      </c>
      <c r="O91" s="37" t="n">
        <f aca="false">SUM(C91:N91)</f>
        <v>240000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250000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200000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450000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500167</v>
      </c>
      <c r="D93" s="37" t="n">
        <f aca="false">D84+SUM(D86:D92)</f>
        <v>395167</v>
      </c>
      <c r="E93" s="37" t="n">
        <f aca="false">E84+SUM(E86:E92)</f>
        <v>630167</v>
      </c>
      <c r="F93" s="37" t="n">
        <f aca="false">F84+SUM(F86:F92)</f>
        <v>585367</v>
      </c>
      <c r="G93" s="37" t="n">
        <f aca="false">G84+SUM(G86:G92)</f>
        <v>635367</v>
      </c>
      <c r="H93" s="37" t="n">
        <f aca="false">H84+SUM(H86:H92)</f>
        <v>701367</v>
      </c>
      <c r="I93" s="37" t="n">
        <f aca="false">I84+SUM(I86:I92)</f>
        <v>771367</v>
      </c>
      <c r="J93" s="37" t="n">
        <f aca="false">J84+SUM(J86:J92)</f>
        <v>771367</v>
      </c>
      <c r="K93" s="37" t="n">
        <f aca="false">K84+SUM(K86:K92)</f>
        <v>771367</v>
      </c>
      <c r="L93" s="37" t="n">
        <f aca="false">L84+SUM(L86:L92)</f>
        <v>836367</v>
      </c>
      <c r="M93" s="37" t="n">
        <f aca="false">M84+SUM(M86:M92)</f>
        <v>836367</v>
      </c>
      <c r="N93" s="37" t="n">
        <f aca="false">N84+SUM(N86:N92)</f>
        <v>836367</v>
      </c>
      <c r="O93" s="31" t="n">
        <f aca="false">SUM(C93:N93)</f>
        <v>8270804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-343865.139416045</v>
      </c>
      <c r="D94" s="37" t="n">
        <f aca="false">D71-D93</f>
        <v>-137336.454391243</v>
      </c>
      <c r="E94" s="37" t="n">
        <f aca="false">E71-E93</f>
        <v>-220249.772076987</v>
      </c>
      <c r="F94" s="37" t="n">
        <f aca="false">F71-F93</f>
        <v>-7592.29624610161</v>
      </c>
      <c r="G94" s="37" t="n">
        <f aca="false">G71-G93</f>
        <v>313562.953364068</v>
      </c>
      <c r="H94" s="37" t="n">
        <f aca="false">H71-H93</f>
        <v>512109.63262742</v>
      </c>
      <c r="I94" s="37" t="n">
        <f aca="false">I71-I93</f>
        <v>727502.912029027</v>
      </c>
      <c r="J94" s="37" t="n">
        <f aca="false">J71-J93</f>
        <v>393192.512899296</v>
      </c>
      <c r="K94" s="37" t="n">
        <f aca="false">K71-K93</f>
        <v>448227.789613363</v>
      </c>
      <c r="L94" s="37" t="n">
        <f aca="false">L71-L93</f>
        <v>721756.468831617</v>
      </c>
      <c r="M94" s="37" t="n">
        <f aca="false">M71-M93</f>
        <v>549914.053607416</v>
      </c>
      <c r="N94" s="37" t="n">
        <f aca="false">N71-N93</f>
        <v>567087.458630029</v>
      </c>
      <c r="O94" s="31" t="n">
        <f aca="false">SUM(C94:N94)</f>
        <v>3524310.11947186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-1.79361182969824</v>
      </c>
      <c r="D95" s="7" t="n">
        <f aca="false">IFERROR(D94/D59,0)</f>
        <v>-0.435348517079683</v>
      </c>
      <c r="E95" s="7" t="n">
        <f aca="false">IFERROR(E94/E59,0)</f>
        <v>-0.44685829220889</v>
      </c>
      <c r="F95" s="7" t="n">
        <f aca="false">IFERROR(F94/F59,0)</f>
        <v>-0.0108755586455396</v>
      </c>
      <c r="G95" s="7" t="n">
        <f aca="false">IFERROR(G94/G59,0)</f>
        <v>0.300463030067978</v>
      </c>
      <c r="H95" s="7" t="n">
        <f aca="false">IFERROR(H94/H59,0)</f>
        <v>0.370809981496947</v>
      </c>
      <c r="I95" s="7" t="n">
        <f aca="false">IFERROR(I94/I59,0)</f>
        <v>0.429051248213605</v>
      </c>
      <c r="J95" s="7" t="n">
        <f aca="false">IFERROR(J94/J59,0)</f>
        <v>0.295113319323156</v>
      </c>
      <c r="K95" s="7" t="n">
        <f aca="false">IFERROR(K94/K59,0)</f>
        <v>0.321951593970973</v>
      </c>
      <c r="L95" s="7" t="n">
        <f aca="false">IFERROR(L94/L59,0)</f>
        <v>0.408826722563636</v>
      </c>
      <c r="M95" s="7" t="n">
        <f aca="false">IFERROR(M94/M59,0)</f>
        <v>0.348891835261919</v>
      </c>
      <c r="N95" s="7" t="n">
        <f aca="false">IFERROR(N94/N59,0)</f>
        <v>0.355817246905342</v>
      </c>
      <c r="O95" s="7" t="n">
        <f aca="false">IFERROR(O94/O59,0)</f>
        <v>0.261478987995926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-418865.139416045</v>
      </c>
      <c r="D96" s="8" t="n">
        <f aca="false">D94-INDEX(Assumptions!$C$163:$E$163,$B$3)</f>
        <v>-212336.454391243</v>
      </c>
      <c r="E96" s="8" t="n">
        <f aca="false">E94-INDEX(Assumptions!$C$163:$E$163,$B$3)</f>
        <v>-295249.772076987</v>
      </c>
      <c r="F96" s="8" t="n">
        <f aca="false">F94-INDEX(Assumptions!$C$163:$E$163,$B$3)</f>
        <v>-82592.2962461016</v>
      </c>
      <c r="G96" s="8" t="n">
        <f aca="false">G94-INDEX(Assumptions!$C$163:$E$163,$B$3)</f>
        <v>238562.953364068</v>
      </c>
      <c r="H96" s="8" t="n">
        <f aca="false">H94-INDEX(Assumptions!$C$163:$E$163,$B$3)</f>
        <v>437109.63262742</v>
      </c>
      <c r="I96" s="8" t="n">
        <f aca="false">I94-INDEX(Assumptions!$C$163:$E$163,$B$3)</f>
        <v>652502.912029027</v>
      </c>
      <c r="J96" s="8" t="n">
        <f aca="false">J94-INDEX(Assumptions!$C$163:$E$163,$B$3)</f>
        <v>318192.512899296</v>
      </c>
      <c r="K96" s="8" t="n">
        <f aca="false">K94-INDEX(Assumptions!$C$163:$E$163,$B$3)</f>
        <v>373227.789613363</v>
      </c>
      <c r="L96" s="8" t="n">
        <f aca="false">L94-INDEX(Assumptions!$C$163:$E$163,$B$3)</f>
        <v>646756.468831617</v>
      </c>
      <c r="M96" s="8" t="n">
        <f aca="false">M94-INDEX(Assumptions!$C$163:$E$163,$B$3)</f>
        <v>474914.053607416</v>
      </c>
      <c r="N96" s="8" t="n">
        <f aca="false">N94-INDEX(Assumptions!$C$163:$E$163,$B$3)</f>
        <v>492087.458630029</v>
      </c>
      <c r="O96" s="37" t="n">
        <f aca="false">SUM(C96:N96)</f>
        <v>2624310.11947186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1280000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1280000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240000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240000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384000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384000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250000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250000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550000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550000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250000</v>
      </c>
      <c r="D103" s="37" t="n">
        <f aca="false">SUM(D98:D102)</f>
        <v>0</v>
      </c>
      <c r="E103" s="37" t="n">
        <f aca="false">SUM(E98:E102)</f>
        <v>1904000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550000</v>
      </c>
      <c r="I103" s="37" t="n">
        <f aca="false">SUM(I98:I102)</f>
        <v>0</v>
      </c>
      <c r="J103" s="37" t="n">
        <f aca="false">SUM(J98:J102)</f>
        <v>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2704000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0</v>
      </c>
      <c r="D104" s="8" t="n">
        <f aca="false">((D60+IF(INDEX(Assumptions!$C$87:$E$87,$B$3)&gt;=2,C60,0)+IF(INDEX(Assumptions!$C$87:$E$87,$B$3)&gt;=3,0,0))/INDEX(Assumptions!$C$87:$E$87,$B$3))-D60</f>
        <v>0</v>
      </c>
      <c r="E104" s="8" t="n">
        <f aca="false">((E60+IF(INDEX(Assumptions!$C$87:$E$87,$B$3)&gt;=2,D60,0)+IF(INDEX(Assumptions!$C$87:$E$87,$B$3)&gt;=3,C60,0))/INDEX(Assumptions!$C$87:$E$87,$B$3))-E60</f>
        <v>0</v>
      </c>
      <c r="F104" s="8" t="n">
        <f aca="false">((F60+IF(INDEX(Assumptions!$C$87:$E$87,$B$3)&gt;=2,E60,0)+IF(INDEX(Assumptions!$C$87:$E$87,$B$3)&gt;=3,D60,0))/INDEX(Assumptions!$C$87:$E$87,$B$3))-F60</f>
        <v>0</v>
      </c>
      <c r="G104" s="8" t="n">
        <f aca="false">((G60+IF(INDEX(Assumptions!$C$87:$E$87,$B$3)&gt;=2,F60,0)+IF(INDEX(Assumptions!$C$87:$E$87,$B$3)&gt;=3,E60,0))/INDEX(Assumptions!$C$87:$E$87,$B$3))-G60</f>
        <v>0</v>
      </c>
      <c r="H104" s="8" t="n">
        <f aca="false">((H60+IF(INDEX(Assumptions!$C$87:$E$87,$B$3)&gt;=2,G60,0)+IF(INDEX(Assumptions!$C$87:$E$87,$B$3)&gt;=3,F60,0))/INDEX(Assumptions!$C$87:$E$87,$B$3))-H60</f>
        <v>0</v>
      </c>
      <c r="I104" s="8" t="n">
        <f aca="false">((I60+IF(INDEX(Assumptions!$C$87:$E$87,$B$3)&gt;=2,H60,0)+IF(INDEX(Assumptions!$C$87:$E$87,$B$3)&gt;=3,G60,0))/INDEX(Assumptions!$C$87:$E$87,$B$3))-I60</f>
        <v>0</v>
      </c>
      <c r="J104" s="8" t="n">
        <f aca="false">((J60+IF(INDEX(Assumptions!$C$87:$E$87,$B$3)&gt;=2,I60,0)+IF(INDEX(Assumptions!$C$87:$E$87,$B$3)&gt;=3,H60,0))/INDEX(Assumptions!$C$87:$E$87,$B$3))-J60</f>
        <v>0</v>
      </c>
      <c r="K104" s="8" t="n">
        <f aca="false">((K60+IF(INDEX(Assumptions!$C$87:$E$87,$B$3)&gt;=2,J60,0)+IF(INDEX(Assumptions!$C$87:$E$87,$B$3)&gt;=3,I60,0))/INDEX(Assumptions!$C$87:$E$87,$B$3))-K60</f>
        <v>0</v>
      </c>
      <c r="L104" s="8" t="n">
        <f aca="false">((L60+IF(INDEX(Assumptions!$C$87:$E$87,$B$3)&gt;=2,K60,0)+IF(INDEX(Assumptions!$C$87:$E$87,$B$3)&gt;=3,J60,0))/INDEX(Assumptions!$C$87:$E$87,$B$3))-L60</f>
        <v>0</v>
      </c>
      <c r="M104" s="8" t="n">
        <f aca="false">((M60+IF(INDEX(Assumptions!$C$87:$E$87,$B$3)&gt;=2,L60,0)+IF(INDEX(Assumptions!$C$87:$E$87,$B$3)&gt;=3,K60,0))/INDEX(Assumptions!$C$87:$E$87,$B$3))-M60</f>
        <v>0</v>
      </c>
      <c r="N104" s="8" t="n">
        <f aca="false">((N60+IF(INDEX(Assumptions!$C$87:$E$87,$B$3)&gt;=2,M60,0)+IF(INDEX(Assumptions!$C$87:$E$87,$B$3)&gt;=3,L60,0))/INDEX(Assumptions!$C$87:$E$87,$B$3))-N60</f>
        <v>0</v>
      </c>
      <c r="O104" s="37" t="n">
        <f aca="false">SUM(C104:N104)</f>
        <v>0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-593865.139416045</v>
      </c>
      <c r="D105" s="37" t="n">
        <f aca="false">D94+D104-D103</f>
        <v>-137336.454391243</v>
      </c>
      <c r="E105" s="37" t="n">
        <f aca="false">E94+E104-E103</f>
        <v>-2124249.77207699</v>
      </c>
      <c r="F105" s="37" t="n">
        <f aca="false">F94+F104-F103</f>
        <v>-7592.29624610161</v>
      </c>
      <c r="G105" s="37" t="n">
        <f aca="false">G94+G104-G103</f>
        <v>313562.953364068</v>
      </c>
      <c r="H105" s="37" t="n">
        <f aca="false">H94+H104-H103</f>
        <v>-37890.3673725801</v>
      </c>
      <c r="I105" s="37" t="n">
        <f aca="false">I94+I104-I103</f>
        <v>727502.912029027</v>
      </c>
      <c r="J105" s="37" t="n">
        <f aca="false">J94+J104-J103</f>
        <v>393192.512899296</v>
      </c>
      <c r="K105" s="37" t="n">
        <f aca="false">K94+K104-K103</f>
        <v>448227.789613363</v>
      </c>
      <c r="L105" s="37" t="n">
        <f aca="false">L94+L104-L103</f>
        <v>721756.468831617</v>
      </c>
      <c r="M105" s="37" t="n">
        <f aca="false">M94+M104-M103</f>
        <v>549914.053607416</v>
      </c>
      <c r="N105" s="37" t="n">
        <f aca="false">N94+N104-N103</f>
        <v>567087.458630029</v>
      </c>
      <c r="O105" s="31" t="n">
        <f aca="false">SUM(C105:N105)</f>
        <v>820310.119471859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-593865.139416045</v>
      </c>
      <c r="D106" s="37" t="n">
        <f aca="false">C106+D105</f>
        <v>-731201.593807288</v>
      </c>
      <c r="E106" s="37" t="n">
        <f aca="false">D106+E105</f>
        <v>-2855451.36588427</v>
      </c>
      <c r="F106" s="37" t="n">
        <f aca="false">E106+F105</f>
        <v>-2863043.66213038</v>
      </c>
      <c r="G106" s="37" t="n">
        <f aca="false">F106+G105</f>
        <v>-2549480.70876631</v>
      </c>
      <c r="H106" s="37" t="n">
        <f aca="false">G106+H105</f>
        <v>-2587371.07613889</v>
      </c>
      <c r="I106" s="37" t="n">
        <f aca="false">H106+I105</f>
        <v>-1859868.16410986</v>
      </c>
      <c r="J106" s="37" t="n">
        <f aca="false">I106+J105</f>
        <v>-1466675.65121057</v>
      </c>
      <c r="K106" s="37" t="n">
        <f aca="false">J106+K105</f>
        <v>-1018447.8615972</v>
      </c>
      <c r="L106" s="37" t="n">
        <f aca="false">K106+L105</f>
        <v>-296691.392765585</v>
      </c>
      <c r="M106" s="37" t="n">
        <f aca="false">L106+M105</f>
        <v>253222.66084183</v>
      </c>
      <c r="N106" s="37" t="n">
        <f aca="false">M106+N105</f>
        <v>820310.119471859</v>
      </c>
      <c r="O106" s="31" t="n">
        <f aca="false">N106</f>
        <v>820310.119471859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593865.139416045</v>
      </c>
      <c r="D107" s="37" t="n">
        <f aca="false">-MIN(0,MIN($C$106:D106))</f>
        <v>731201.593807288</v>
      </c>
      <c r="E107" s="37" t="n">
        <f aca="false">-MIN(0,MIN($C$106:E106))</f>
        <v>2855451.36588427</v>
      </c>
      <c r="F107" s="37" t="n">
        <f aca="false">-MIN(0,MIN($C$106:F106))</f>
        <v>2863043.66213038</v>
      </c>
      <c r="G107" s="37" t="n">
        <f aca="false">-MIN(0,MIN($C$106:G106))</f>
        <v>2863043.66213038</v>
      </c>
      <c r="H107" s="37" t="n">
        <f aca="false">-MIN(0,MIN($C$106:H106))</f>
        <v>2863043.66213038</v>
      </c>
      <c r="I107" s="37" t="n">
        <f aca="false">-MIN(0,MIN($C$106:I106))</f>
        <v>2863043.66213038</v>
      </c>
      <c r="J107" s="37" t="n">
        <f aca="false">-MIN(0,MIN($C$106:J106))</f>
        <v>2863043.66213038</v>
      </c>
      <c r="K107" s="37" t="n">
        <f aca="false">-MIN(0,MIN($C$106:K106))</f>
        <v>2863043.66213038</v>
      </c>
      <c r="L107" s="37" t="n">
        <f aca="false">-MIN(0,MIN($C$106:L106))</f>
        <v>2863043.66213038</v>
      </c>
      <c r="M107" s="37" t="n">
        <f aca="false">-MIN(0,MIN($C$106:M106))</f>
        <v>2863043.66213038</v>
      </c>
      <c r="N107" s="37" t="n">
        <f aca="false">-MIN(0,MIN($C$106:N106))</f>
        <v>2863043.66213038</v>
      </c>
      <c r="O107" s="31" t="n">
        <f aca="false">MAX(C107:N107)</f>
        <v>2863043.66213038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1</v>
      </c>
      <c r="H108" s="8" t="n">
        <f aca="false">IF(H94&gt;=0,1,0)</f>
        <v>1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13478368.3632995</v>
      </c>
    </row>
    <row r="112" customFormat="false" ht="15" hidden="false" customHeight="false" outlineLevel="0" collapsed="false">
      <c r="A112" s="3" t="s">
        <v>28</v>
      </c>
      <c r="B112" s="31" t="n">
        <f aca="false">O94</f>
        <v>3524310.11947186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0.261478987995926</v>
      </c>
    </row>
    <row r="114" customFormat="false" ht="15" hidden="false" customHeight="false" outlineLevel="0" collapsed="false">
      <c r="A114" s="3" t="s">
        <v>30</v>
      </c>
      <c r="B114" s="31" t="n">
        <f aca="false">O96</f>
        <v>2624310.11947186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2704000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2863043.66213038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5000000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2136956.33786962</v>
      </c>
    </row>
    <row r="119" customFormat="false" ht="15" hidden="false" customHeight="false" outlineLevel="0" collapsed="false">
      <c r="A119" s="3" t="s">
        <v>35</v>
      </c>
      <c r="B119" s="32" t="n">
        <f aca="false">O33</f>
        <v>123.616323104723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13.7443871841204</v>
      </c>
    </row>
    <row r="121" customFormat="false" ht="15" hidden="false" customHeight="false" outlineLevel="0" collapsed="false">
      <c r="A121" s="3" t="s">
        <v>37</v>
      </c>
      <c r="B121" s="31" t="n">
        <f aca="false">O39</f>
        <v>202.5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7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0.25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4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68504.5547756493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836367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503600.586737455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4.85758084776037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58.2909701731245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16976.6269101408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0.200324197539662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0.444693198711574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23.9529504580762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1838757.98106906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5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820310.119471859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1213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f aca="false">Assumptions!$C$4</f>
        <v>2</v>
      </c>
      <c r="C3" s="13" t="s">
        <v>1088</v>
      </c>
      <c r="D3" s="34" t="n">
        <f aca="false">Assumptions!$C$4</f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-64086.1106493325</v>
      </c>
      <c r="G94" s="37" t="n">
        <f aca="false">G71-G93</f>
        <v>-24837.549215548</v>
      </c>
      <c r="H94" s="37" t="n">
        <f aca="false">H71-H93</f>
        <v>-55300.9091869309</v>
      </c>
      <c r="I94" s="37" t="n">
        <f aca="false">I71-I93</f>
        <v>304206.086462996</v>
      </c>
      <c r="J94" s="37" t="n">
        <f aca="false">J71-J93</f>
        <v>345971.2739035</v>
      </c>
      <c r="K94" s="37" t="n">
        <f aca="false">K71-K93</f>
        <v>92789.8368900374</v>
      </c>
      <c r="L94" s="37" t="n">
        <f aca="false">L71-L93</f>
        <v>206205.829945038</v>
      </c>
      <c r="M94" s="37" t="n">
        <f aca="false">M71-M93</f>
        <v>233854.335614711</v>
      </c>
      <c r="N94" s="37" t="n">
        <f aca="false">N71-N93</f>
        <v>226901.227051843</v>
      </c>
      <c r="O94" s="31" t="n">
        <f aca="false">SUM(C94:N94)</f>
        <v>598199.826597075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-0.170831334726804</v>
      </c>
      <c r="G95" s="7" t="n">
        <f aca="false">IFERROR(G94/G59,0)</f>
        <v>-0.0537700809325076</v>
      </c>
      <c r="H95" s="7" t="n">
        <f aca="false">IFERROR(H94/H59,0)</f>
        <v>-0.124377739677173</v>
      </c>
      <c r="I95" s="7" t="n">
        <f aca="false">IFERROR(I94/I59,0)</f>
        <v>0.322383162675481</v>
      </c>
      <c r="J95" s="7" t="n">
        <f aca="false">IFERROR(J94/J59,0)</f>
        <v>0.347589403405718</v>
      </c>
      <c r="K95" s="7" t="n">
        <f aca="false">IFERROR(K94/K59,0)</f>
        <v>0.126153869185509</v>
      </c>
      <c r="L95" s="7" t="n">
        <f aca="false">IFERROR(L94/L59,0)</f>
        <v>0.237602165500221</v>
      </c>
      <c r="M95" s="7" t="n">
        <f aca="false">IFERROR(M94/M59,0)</f>
        <v>0.259711423196139</v>
      </c>
      <c r="N95" s="7" t="n">
        <f aca="false">IFERROR(N94/N59,0)</f>
        <v>0.254379166733019</v>
      </c>
      <c r="O95" s="7" t="n">
        <f aca="false">IFERROR(O94/O59,0)</f>
        <v>0.0832810244159277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-139086.110649333</v>
      </c>
      <c r="G96" s="8" t="n">
        <f aca="false">G94-INDEX(Assumptions!$C$163:$E$163,$B$3)</f>
        <v>-99837.549215548</v>
      </c>
      <c r="H96" s="8" t="n">
        <f aca="false">H94-INDEX(Assumptions!$C$163:$E$163,$B$3)</f>
        <v>-130300.909186931</v>
      </c>
      <c r="I96" s="8" t="n">
        <f aca="false">I94-INDEX(Assumptions!$C$163:$E$163,$B$3)</f>
        <v>229206.086462996</v>
      </c>
      <c r="J96" s="8" t="n">
        <f aca="false">J94-INDEX(Assumptions!$C$163:$E$163,$B$3)</f>
        <v>270971.2739035</v>
      </c>
      <c r="K96" s="8" t="n">
        <f aca="false">K94-INDEX(Assumptions!$C$163:$E$163,$B$3)</f>
        <v>17789.8368900374</v>
      </c>
      <c r="L96" s="8" t="n">
        <f aca="false">L94-INDEX(Assumptions!$C$163:$E$163,$B$3)</f>
        <v>131205.829945038</v>
      </c>
      <c r="M96" s="8" t="n">
        <f aca="false">M94-INDEX(Assumptions!$C$163:$E$163,$B$3)</f>
        <v>158854.335614711</v>
      </c>
      <c r="N96" s="8" t="n">
        <f aca="false">N94-INDEX(Assumptions!$C$163:$E$163,$B$3)</f>
        <v>151901.227051843</v>
      </c>
      <c r="O96" s="37" t="n">
        <f aca="false">SUM(C96:N96)</f>
        <v>-301800.173402925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-97877.4210306885</v>
      </c>
      <c r="G105" s="37" t="n">
        <f aca="false">G94+G104-G103</f>
        <v>-64900.2610799548</v>
      </c>
      <c r="H105" s="37" t="n">
        <f aca="false">H94+H104-H103</f>
        <v>-1505703.18695092</v>
      </c>
      <c r="I105" s="37" t="n">
        <f aca="false">I94+I104-I103</f>
        <v>72197.7085110777</v>
      </c>
      <c r="J105" s="37" t="n">
        <f aca="false">J94+J104-J103</f>
        <v>-17480.1822338678</v>
      </c>
      <c r="K105" s="37" t="n">
        <f aca="false">K94+K104-K103</f>
        <v>231122.277534305</v>
      </c>
      <c r="L105" s="37" t="n">
        <f aca="false">L94+L104-L103</f>
        <v>146512.251914249</v>
      </c>
      <c r="M105" s="37" t="n">
        <f aca="false">M94+M104-M103</f>
        <v>226935.894209493</v>
      </c>
      <c r="N105" s="37" t="n">
        <f aca="false">N94+N104-N103</f>
        <v>240341.222781604</v>
      </c>
      <c r="O105" s="31" t="n">
        <f aca="false">SUM(C105:N105)</f>
        <v>-1666226.44458937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-995252.169275352</v>
      </c>
      <c r="G106" s="37" t="n">
        <f aca="false">F106+G105</f>
        <v>-1060152.43035531</v>
      </c>
      <c r="H106" s="37" t="n">
        <f aca="false">G106+H105</f>
        <v>-2565855.61730623</v>
      </c>
      <c r="I106" s="37" t="n">
        <f aca="false">H106+I105</f>
        <v>-2493657.90879515</v>
      </c>
      <c r="J106" s="37" t="n">
        <f aca="false">I106+J105</f>
        <v>-2511138.09102902</v>
      </c>
      <c r="K106" s="37" t="n">
        <f aca="false">J106+K105</f>
        <v>-2280015.81349471</v>
      </c>
      <c r="L106" s="37" t="n">
        <f aca="false">K106+L105</f>
        <v>-2133503.56158046</v>
      </c>
      <c r="M106" s="37" t="n">
        <f aca="false">L106+M105</f>
        <v>-1906567.66737097</v>
      </c>
      <c r="N106" s="37" t="n">
        <f aca="false">M106+N105</f>
        <v>-1666226.44458937</v>
      </c>
      <c r="O106" s="31" t="n">
        <f aca="false">N106</f>
        <v>-1666226.44458937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995252.169275352</v>
      </c>
      <c r="G107" s="37" t="n">
        <f aca="false">-MIN(0,MIN($C$106:G106))</f>
        <v>1060152.43035531</v>
      </c>
      <c r="H107" s="37" t="n">
        <f aca="false">-MIN(0,MIN($C$106:H106))</f>
        <v>2565855.61730623</v>
      </c>
      <c r="I107" s="37" t="n">
        <f aca="false">-MIN(0,MIN($C$106:I106))</f>
        <v>2565855.61730623</v>
      </c>
      <c r="J107" s="37" t="n">
        <f aca="false">-MIN(0,MIN($C$106:J106))</f>
        <v>2565855.61730623</v>
      </c>
      <c r="K107" s="37" t="n">
        <f aca="false">-MIN(0,MIN($C$106:K106))</f>
        <v>2565855.61730623</v>
      </c>
      <c r="L107" s="37" t="n">
        <f aca="false">-MIN(0,MIN($C$106:L106))</f>
        <v>2565855.61730623</v>
      </c>
      <c r="M107" s="37" t="n">
        <f aca="false">-MIN(0,MIN($C$106:M106))</f>
        <v>2565855.61730623</v>
      </c>
      <c r="N107" s="37" t="n">
        <f aca="false">-MIN(0,MIN($C$106:N106))</f>
        <v>2565855.61730623</v>
      </c>
      <c r="O107" s="31" t="n">
        <f aca="false">MAX(C107:N107)</f>
        <v>2565855.61730623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598199.826597075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0.0832810244159277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-301800.173402925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2565855.61730623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434144.382693774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5.47965738818625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65.755888658235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666961.392611592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-1666226.44458937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1214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1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0.933333333333333</v>
      </c>
      <c r="D11" s="7" t="n">
        <f aca="false">IF(2&lt;=6,1-(1-INDEX(Assumptions!$C$157:$E$157,$D$3))*2/6,INDEX(Assumptions!$C$157:$E$157,$D$3)-(INDEX(Assumptions!$C$157:$E$157,$D$3)-INDEX(Assumptions!$C$158:$E$158,$D$3))*(2-6)/6)</f>
        <v>0.866666666666667</v>
      </c>
      <c r="E11" s="7" t="n">
        <f aca="false">IF(3&lt;=6,1-(1-INDEX(Assumptions!$C$157:$E$157,$D$3))*3/6,INDEX(Assumptions!$C$157:$E$157,$D$3)-(INDEX(Assumptions!$C$157:$E$157,$D$3)-INDEX(Assumptions!$C$158:$E$158,$D$3))*(3-6)/6)</f>
        <v>0.8</v>
      </c>
      <c r="F11" s="7" t="n">
        <f aca="false">IF(4&lt;=6,1-(1-INDEX(Assumptions!$C$157:$E$157,$D$3))*4/6,INDEX(Assumptions!$C$157:$E$157,$D$3)-(INDEX(Assumptions!$C$157:$E$157,$D$3)-INDEX(Assumptions!$C$158:$E$158,$D$3))*(4-6)/6)</f>
        <v>0.733333333333333</v>
      </c>
      <c r="G11" s="7" t="n">
        <f aca="false">IF(5&lt;=6,1-(1-INDEX(Assumptions!$C$157:$E$157,$D$3))*5/6,INDEX(Assumptions!$C$157:$E$157,$D$3)-(INDEX(Assumptions!$C$157:$E$157,$D$3)-INDEX(Assumptions!$C$158:$E$158,$D$3))*(5-6)/6)</f>
        <v>0.666666666666667</v>
      </c>
      <c r="H11" s="7" t="n">
        <f aca="false">IF(6&lt;=6,1-(1-INDEX(Assumptions!$C$157:$E$157,$D$3))*6/6,INDEX(Assumptions!$C$157:$E$157,$D$3)-(INDEX(Assumptions!$C$157:$E$157,$D$3)-INDEX(Assumptions!$C$158:$E$158,$D$3))*(6-6)/6)</f>
        <v>0.6</v>
      </c>
      <c r="I11" s="7" t="n">
        <f aca="false">IF(7&lt;=6,1-(1-INDEX(Assumptions!$C$157:$E$157,$D$3))*7/6,INDEX(Assumptions!$C$157:$E$157,$D$3)-(INDEX(Assumptions!$C$157:$E$157,$D$3)-INDEX(Assumptions!$C$158:$E$158,$D$3))*(7-6)/6)</f>
        <v>0.566666666666667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0.533333333333333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0.5</v>
      </c>
      <c r="L11" s="7" t="n">
        <f aca="false">IF(10&lt;=6,1-(1-INDEX(Assumptions!$C$157:$E$157,$D$3))*10/6,INDEX(Assumptions!$C$157:$E$157,$D$3)-(INDEX(Assumptions!$C$157:$E$157,$D$3)-INDEX(Assumptions!$C$158:$E$158,$D$3))*(10-6)/6)</f>
        <v>0.466666666666667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0.433333333333333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2.48333333333333</v>
      </c>
      <c r="E14" s="27" t="n">
        <f aca="false">E13+(INDEX(Assumptions!$C$25:$E$25,$D$3)*(1-(INDEX(Assumptions!$C$27:$E$27,$B$3)+INDEX(Assumptions!$C$28:$E$28,$B$3)+INDEX(Assumptions!$C$31:$E$31,$B$3)))-E13)*MIN(1,(3-1)/6)</f>
        <v>2.46666666666667</v>
      </c>
      <c r="F14" s="27" t="n">
        <f aca="false">F13+(INDEX(Assumptions!$C$25:$E$25,$D$3)*(1-(INDEX(Assumptions!$C$27:$E$27,$B$3)+INDEX(Assumptions!$C$28:$E$28,$B$3)+INDEX(Assumptions!$C$31:$E$31,$B$3)))-F13)*MIN(1,(4-1)/6)</f>
        <v>2.45</v>
      </c>
      <c r="G14" s="27" t="n">
        <f aca="false">G13+(INDEX(Assumptions!$C$25:$E$25,$D$3)*(1-(INDEX(Assumptions!$C$27:$E$27,$B$3)+INDEX(Assumptions!$C$28:$E$28,$B$3)+INDEX(Assumptions!$C$31:$E$31,$B$3)))-G13)*MIN(1,(5-1)/6)</f>
        <v>2.43333333333333</v>
      </c>
      <c r="H14" s="27" t="n">
        <f aca="false">H13+(INDEX(Assumptions!$C$25:$E$25,$D$3)*(1-(INDEX(Assumptions!$C$27:$E$27,$B$3)+INDEX(Assumptions!$C$28:$E$28,$B$3)+INDEX(Assumptions!$C$31:$E$31,$B$3)))-H13)*MIN(1,(6-1)/6)</f>
        <v>2.41666666666667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29.15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3.08333333333333</v>
      </c>
      <c r="E16" s="27" t="n">
        <f aca="false">E14+E15</f>
        <v>3.66666666666667</v>
      </c>
      <c r="F16" s="27" t="n">
        <f aca="false">F14+F15</f>
        <v>4.25</v>
      </c>
      <c r="G16" s="27" t="n">
        <f aca="false">G14+G15</f>
        <v>4.83333333333333</v>
      </c>
      <c r="H16" s="27" t="n">
        <f aca="false">H14+H15</f>
        <v>5.41666666666667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59.75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10000</v>
      </c>
      <c r="D17" s="8" t="n">
        <f aca="false">INDEX(Assumptions!$C$122:$E$122,$D$3)*$J$4</f>
        <v>25000</v>
      </c>
      <c r="E17" s="8" t="n">
        <f aca="false">INDEX(Assumptions!$C$123:$E$123,$D$3)*$J$4</f>
        <v>30000</v>
      </c>
      <c r="F17" s="8" t="n">
        <f aca="false">INDEX(Assumptions!$C$124:$E$124,$D$3)*$J$4</f>
        <v>35000</v>
      </c>
      <c r="G17" s="8" t="n">
        <f aca="false">INDEX(Assumptions!$C$125:$E$125,$D$3)*$J$4</f>
        <v>40000</v>
      </c>
      <c r="H17" s="8" t="n">
        <f aca="false">INDEX(Assumptions!$C$126:$E$126,$D$3)*$J$4</f>
        <v>40000</v>
      </c>
      <c r="I17" s="8" t="n">
        <f aca="false">INDEX(Assumptions!$C$127:$E$127,$D$3)*$J$4</f>
        <v>40000</v>
      </c>
      <c r="J17" s="8" t="n">
        <f aca="false">INDEX(Assumptions!$C$128:$E$128,$D$3)*$J$4</f>
        <v>40000</v>
      </c>
      <c r="K17" s="8" t="n">
        <f aca="false">INDEX(Assumptions!$C$129:$E$129,$D$3)*$J$4</f>
        <v>40000</v>
      </c>
      <c r="L17" s="8" t="n">
        <f aca="false">INDEX(Assumptions!$C$130:$E$130,$D$3)*$J$4</f>
        <v>40000</v>
      </c>
      <c r="M17" s="8" t="n">
        <f aca="false">INDEX(Assumptions!$C$131:$E$131,$D$3)*$J$4</f>
        <v>40000</v>
      </c>
      <c r="N17" s="8" t="n">
        <f aca="false">INDEX(Assumptions!$C$132:$E$132,$D$3)*$J$4</f>
        <v>40000</v>
      </c>
      <c r="O17" s="37" t="n">
        <f aca="false">SUM(C17:N17)</f>
        <v>420000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0.67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0.9175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0.6</v>
      </c>
      <c r="D20" s="27" t="n">
        <f aca="false">D17*INDEX(Assumptions!$C$119:$E$119,$B$3)/D18</f>
        <v>1.5</v>
      </c>
      <c r="E20" s="27" t="n">
        <f aca="false">E17*INDEX(Assumptions!$C$119:$E$119,$B$3)/E18</f>
        <v>1.8</v>
      </c>
      <c r="F20" s="27" t="n">
        <f aca="false">F17*INDEX(Assumptions!$C$119:$E$119,$B$3)/F18</f>
        <v>2.1</v>
      </c>
      <c r="G20" s="27" t="n">
        <f aca="false">G17*INDEX(Assumptions!$C$119:$E$119,$B$3)/G18</f>
        <v>2.4</v>
      </c>
      <c r="H20" s="27" t="n">
        <f aca="false">H17*INDEX(Assumptions!$C$119:$E$119,$B$3)/H18</f>
        <v>2.4</v>
      </c>
      <c r="I20" s="27" t="n">
        <f aca="false">I17*INDEX(Assumptions!$C$119:$E$119,$B$3)/I18</f>
        <v>2.4</v>
      </c>
      <c r="J20" s="27" t="n">
        <f aca="false">J17*INDEX(Assumptions!$C$119:$E$119,$B$3)/J18</f>
        <v>2.4</v>
      </c>
      <c r="K20" s="27" t="n">
        <f aca="false">K17*INDEX(Assumptions!$C$119:$E$119,$B$3)/K18</f>
        <v>2.4</v>
      </c>
      <c r="L20" s="27" t="n">
        <f aca="false">L17*INDEX(Assumptions!$C$119:$E$119,$B$3)/L18</f>
        <v>2.4</v>
      </c>
      <c r="M20" s="27" t="n">
        <f aca="false">M17*INDEX(Assumptions!$C$119:$E$119,$B$3)/M18</f>
        <v>2.4</v>
      </c>
      <c r="N20" s="27" t="n">
        <f aca="false">N17*INDEX(Assumptions!$C$119:$E$119,$B$3)/N18</f>
        <v>2.4</v>
      </c>
      <c r="O20" s="35" t="n">
        <f aca="false">SUM(C20:N20)</f>
        <v>25.2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2.316625</v>
      </c>
      <c r="E21" s="35" t="n">
        <f aca="false">E9*(E13*$F$3+(E14-E13)*$F$3*E19+MIN(E15,E20*E19))</f>
        <v>2.57436666666667</v>
      </c>
      <c r="F21" s="35" t="n">
        <f aca="false">F9*(F13*$F$3+(F14-F13)*$F$3*F19+MIN(F15,F20*F19))</f>
        <v>3.4</v>
      </c>
      <c r="G21" s="35" t="n">
        <f aca="false">G9*(G13*$F$3+(G14-G13)*$F$3*G19+MIN(G15,G20*G19))</f>
        <v>4.35</v>
      </c>
      <c r="H21" s="35" t="n">
        <f aca="false">H9*(H13*$F$3+(H14-H13)*$F$3*H19+MIN(H15,H20*H19))</f>
        <v>4.81666666666667</v>
      </c>
      <c r="I21" s="35" t="n">
        <f aca="false">I9*(I13*$F$3+(I14-I13)*$F$3*I19+MIN(I15,I20*I19))</f>
        <v>6.24</v>
      </c>
      <c r="J21" s="35" t="n">
        <f aca="false">J9*(J13*$F$3+(J14-J13)*$F$3*J19+MIN(J15,J20*J19))</f>
        <v>6.48</v>
      </c>
      <c r="K21" s="35" t="n">
        <f aca="false">K9*(K13*$F$3+(K14-K13)*$F$3*K19+MIN(K15,K20*K19))</f>
        <v>6</v>
      </c>
      <c r="L21" s="35" t="n">
        <f aca="false">L9*(L13*$F$3+(L14-L13)*$F$3*L19+MIN(L15,L20*L19))</f>
        <v>5.28</v>
      </c>
      <c r="M21" s="35" t="n">
        <f aca="false">M9*(M13*$F$3+(M14-M13)*$F$3*M19+MIN(M15,M20*M19))</f>
        <v>5.04</v>
      </c>
      <c r="N21" s="35" t="n">
        <f aca="false">N9*(N13*$F$3+(N14-N13)*$F$3*N19+MIN(N15,N20*N19))</f>
        <v>4.8</v>
      </c>
      <c r="O21" s="38" t="n">
        <f aca="false">SUM(C21:N21)</f>
        <v>53.2976583333333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8</v>
      </c>
      <c r="J22" s="8" t="n">
        <f aca="false">IF(8&gt;=INDEX(Assumptions!$C$173:$E$173,$D$3),INDEX(Assumptions!$C$176:$E$176,$D$3),INDEX(Assumptions!$C$171:$E$171,$B$3))</f>
        <v>8</v>
      </c>
      <c r="K22" s="8" t="n">
        <f aca="false">IF(9&gt;=INDEX(Assumptions!$C$173:$E$173,$D$3),INDEX(Assumptions!$C$176:$E$176,$D$3),INDEX(Assumptions!$C$171:$E$171,$B$3))</f>
        <v>8</v>
      </c>
      <c r="L22" s="8" t="n">
        <f aca="false">IF(10&gt;=INDEX(Assumptions!$C$173:$E$173,$D$3),INDEX(Assumptions!$C$176:$E$176,$D$3),INDEX(Assumptions!$C$171:$E$171,$B$3))</f>
        <v>8</v>
      </c>
      <c r="M22" s="8" t="n">
        <f aca="false">IF(11&gt;=INDEX(Assumptions!$C$173:$E$173,$D$3),INDEX(Assumptions!$C$176:$E$176,$D$3),INDEX(Assumptions!$C$171:$E$171,$B$3))</f>
        <v>8</v>
      </c>
      <c r="N22" s="8" t="n">
        <f aca="false">IF(12&gt;=INDEX(Assumptions!$C$173:$E$173,$D$3),INDEX(Assumptions!$C$176:$E$176,$D$3),INDEX(Assumptions!$C$171:$E$171,$B$3))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</v>
      </c>
      <c r="J23" s="6" t="n">
        <f aca="false">IF(8&gt;=INDEX(Assumptions!$C$173:$E$173,$D$3),INDEX(Assumptions!$C$177:$E$177,$D$3),INDEX(Assumptions!$C$172:$E$172,$D$3))</f>
        <v>2</v>
      </c>
      <c r="K23" s="6" t="n">
        <f aca="false">IF(9&gt;=INDEX(Assumptions!$C$173:$E$173,$D$3),INDEX(Assumptions!$C$177:$E$177,$D$3),INDEX(Assumptions!$C$172:$E$172,$D$3))</f>
        <v>2</v>
      </c>
      <c r="L23" s="6" t="n">
        <f aca="false">IF(10&gt;=INDEX(Assumptions!$C$173:$E$173,$D$3),INDEX(Assumptions!$C$177:$E$177,$D$3),INDEX(Assumptions!$C$172:$E$172,$D$3))</f>
        <v>2</v>
      </c>
      <c r="M23" s="6" t="n">
        <f aca="false">IF(11&gt;=INDEX(Assumptions!$C$173:$E$173,$D$3),INDEX(Assumptions!$C$177:$E$177,$D$3),INDEX(Assumptions!$C$172:$E$172,$D$3))</f>
        <v>2</v>
      </c>
      <c r="N23" s="6" t="n">
        <f aca="false">IF(12&gt;=INDEX(Assumptions!$C$173:$E$173,$D$3),INDEX(Assumptions!$C$177:$E$177,$D$3),INDEX(Assumptions!$C$172:$E$172,$D$3))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14.4</v>
      </c>
      <c r="J24" s="6" t="n">
        <f aca="false">J22*J23*INDEX(Assumptions!$C$178:$E$178,$B$3)</f>
        <v>14.4</v>
      </c>
      <c r="K24" s="6" t="n">
        <f aca="false">K22*K23*INDEX(Assumptions!$C$178:$E$178,$B$3)</f>
        <v>14.4</v>
      </c>
      <c r="L24" s="6" t="n">
        <f aca="false">L22*L23*INDEX(Assumptions!$C$178:$E$178,$B$3)</f>
        <v>14.4</v>
      </c>
      <c r="M24" s="6" t="n">
        <f aca="false">M22*M23*INDEX(Assumptions!$C$178:$E$178,$B$3)</f>
        <v>14.4</v>
      </c>
      <c r="N24" s="6" t="n">
        <f aca="false">N22*N23*INDEX(Assumptions!$C$178:$E$178,$B$3)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</v>
      </c>
      <c r="M25" s="7" t="n">
        <f aca="false">IF(11&gt;=INDEX(Assumptions!$C$189:$E$189,$D$3),INDEX(Assumptions!$C$74:$E$74,$B$3),0)</f>
        <v>0</v>
      </c>
      <c r="N25" s="7" t="n">
        <f aca="false">IF(12&gt;=INDEX(Assumptions!$C$189:$E$189,$D$3),INDEX(Assumptions!$C$74:$E$74,$B$3),0)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2.829975</v>
      </c>
      <c r="F26" s="6" t="n">
        <f aca="false">E29+D29+E32+D32+1.25*E30</f>
        <v>3.45259</v>
      </c>
      <c r="G26" s="6" t="n">
        <f aca="false">F29+E29+F32+E32+1.25*F30</f>
        <v>4.171539</v>
      </c>
      <c r="H26" s="6" t="n">
        <f aca="false">G29+F29+G32+F32+1.25*G30</f>
        <v>5.366924</v>
      </c>
      <c r="I26" s="6" t="n">
        <f aca="false">H29+G29+H32+G32+1.25*H30</f>
        <v>6.43</v>
      </c>
      <c r="J26" s="6" t="n">
        <f aca="false">I29+H29+I32+H32+1.25*I30</f>
        <v>7.734</v>
      </c>
      <c r="K26" s="6" t="n">
        <f aca="false">J29+I29+J32+I32+1.25*J30</f>
        <v>8.59780079681275</v>
      </c>
      <c r="L26" s="6" t="n">
        <f aca="false">K29+J29+K32+J32+1.25*K30</f>
        <v>8.00487893465055</v>
      </c>
      <c r="M26" s="6" t="n">
        <f aca="false">L29+K29+L32+K32+1.25*L30</f>
        <v>7.51901445744264</v>
      </c>
      <c r="N26" s="6" t="n">
        <f aca="false">M29+L29+M32+L32+1.25*M30</f>
        <v>7.44753631960484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2.556625</v>
      </c>
      <c r="E27" s="6" t="n">
        <f aca="false">E21*(INDEX(Assumptions!$C$26:$E$26,$B$3)*(1-E25)+INDEX(Assumptions!$C$26:$E$26,$B$3)*E25*1.25+(1-INDEX(Assumptions!$C$26:$E$26,$B$3)))+D31*INDEX(Assumptions!$C$89:$E$89,$B$3)</f>
        <v>2.85236166666667</v>
      </c>
      <c r="F27" s="6" t="n">
        <f aca="false">F21*(INDEX(Assumptions!$C$26:$E$26,$B$3)*(1-F25)+INDEX(Assumptions!$C$26:$E$26,$B$3)*F25*1.25+(1-INDEX(Assumptions!$C$26:$E$26,$B$3)))+E31*INDEX(Assumptions!$C$89:$E$89,$B$3)</f>
        <v>3.708924</v>
      </c>
      <c r="G27" s="6" t="n">
        <f aca="false">G21*(INDEX(Assumptions!$C$26:$E$26,$B$3)*(1-G25)+INDEX(Assumptions!$C$26:$E$26,$B$3)*G25*1.25+(1-INDEX(Assumptions!$C$26:$E$26,$B$3)))+F31*INDEX(Assumptions!$C$89:$E$89,$B$3)</f>
        <v>4.758</v>
      </c>
      <c r="H27" s="6" t="n">
        <f aca="false">H21*(INDEX(Assumptions!$C$26:$E$26,$B$3)*(1-H25)+INDEX(Assumptions!$C$26:$E$26,$B$3)*H25*1.25+(1-INDEX(Assumptions!$C$26:$E$26,$B$3)))+G31*INDEX(Assumptions!$C$89:$E$89,$B$3)</f>
        <v>5.33866666666667</v>
      </c>
      <c r="I27" s="6" t="n">
        <f aca="false">I21*(INDEX(Assumptions!$C$26:$E$26,$B$3)*(1-I25)+INDEX(Assumptions!$C$26:$E$26,$B$3)*I25*1.25+(1-INDEX(Assumptions!$C$26:$E$26,$B$3)))+H31*INDEX(Assumptions!$C$89:$E$89,$B$3)</f>
        <v>6.818</v>
      </c>
      <c r="J27" s="6" t="n">
        <f aca="false">J21*(INDEX(Assumptions!$C$26:$E$26,$B$3)*(1-J25)+INDEX(Assumptions!$C$26:$E$26,$B$3)*J25*1.25+(1-INDEX(Assumptions!$C$26:$E$26,$B$3)))+I31*INDEX(Assumptions!$C$89:$E$89,$B$3)</f>
        <v>7.2288</v>
      </c>
      <c r="K27" s="6" t="n">
        <f aca="false">K21*(INDEX(Assumptions!$C$26:$E$26,$B$3)*(1-K25)+INDEX(Assumptions!$C$26:$E$26,$B$3)*K25*1.25+(1-INDEX(Assumptions!$C$26:$E$26,$B$3)))+J31*INDEX(Assumptions!$C$89:$E$89,$B$3)</f>
        <v>6.71705976095618</v>
      </c>
      <c r="L27" s="6" t="n">
        <f aca="false">L21*(INDEX(Assumptions!$C$26:$E$26,$B$3)*(1-L25)+INDEX(Assumptions!$C$26:$E$26,$B$3)*L25*1.25+(1-INDEX(Assumptions!$C$26:$E$26,$B$3)))+K31*INDEX(Assumptions!$C$89:$E$89,$B$3)</f>
        <v>5.90193631960484</v>
      </c>
      <c r="M27" s="6" t="n">
        <f aca="false">M21*(INDEX(Assumptions!$C$26:$E$26,$B$3)*(1-M25)+INDEX(Assumptions!$C$26:$E$26,$B$3)*M25*1.25+(1-INDEX(Assumptions!$C$26:$E$26,$B$3)))+L31*INDEX(Assumptions!$C$89:$E$89,$B$3)</f>
        <v>5.6736</v>
      </c>
      <c r="N27" s="6" t="n">
        <f aca="false">N21*(INDEX(Assumptions!$C$26:$E$26,$B$3)*(1-N25)+INDEX(Assumptions!$C$26:$E$26,$B$3)*N25*1.25+(1-INDEX(Assumptions!$C$26:$E$26,$B$3)))+M31*INDEX(Assumptions!$C$89:$E$89,$B$3)</f>
        <v>5.4048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0.922144754316069</v>
      </c>
      <c r="K28" s="7" t="n">
        <f aca="false">IF(K27&lt;=0,1,MAX(0,MIN(1,(K24-K26)/K27)))</f>
        <v>0.863800443895605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0.863800443895605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1.389975</v>
      </c>
      <c r="E29" s="35" t="n">
        <f aca="false">E21*INDEX(Assumptions!$C$26:$E$26,$B$3)*(1-E25)*E28</f>
        <v>1.54462</v>
      </c>
      <c r="F29" s="35" t="n">
        <f aca="false">F21*INDEX(Assumptions!$C$26:$E$26,$B$3)*(1-F25)*F28</f>
        <v>2.04</v>
      </c>
      <c r="G29" s="35" t="n">
        <f aca="false">G21*INDEX(Assumptions!$C$26:$E$26,$B$3)*(1-G25)*G28</f>
        <v>2.61</v>
      </c>
      <c r="H29" s="35" t="n">
        <f aca="false">H21*INDEX(Assumptions!$C$26:$E$26,$B$3)*(1-H25)*H28</f>
        <v>2.89</v>
      </c>
      <c r="I29" s="35" t="n">
        <f aca="false">I21*INDEX(Assumptions!$C$26:$E$26,$B$3)*(1-I25)*I28</f>
        <v>3.744</v>
      </c>
      <c r="J29" s="35" t="n">
        <f aca="false">J21*INDEX(Assumptions!$C$26:$E$26,$B$3)*(1-J25)*J28</f>
        <v>3.58529880478088</v>
      </c>
      <c r="K29" s="35" t="n">
        <f aca="false">K21*INDEX(Assumptions!$C$26:$E$26,$B$3)*(1-K25)*K28</f>
        <v>3.10968159802418</v>
      </c>
      <c r="L29" s="35" t="n">
        <f aca="false">L21*INDEX(Assumptions!$C$26:$E$26,$B$3)*(1-L25)*L28</f>
        <v>3.168</v>
      </c>
      <c r="M29" s="35" t="n">
        <f aca="false">M21*INDEX(Assumptions!$C$26:$E$26,$B$3)*(1-M25)*M28</f>
        <v>3.024</v>
      </c>
      <c r="N29" s="35" t="n">
        <f aca="false">N21*INDEX(Assumptions!$C$26:$E$26,$B$3)*(1-N25)*N28</f>
        <v>2.88</v>
      </c>
      <c r="O29" s="38" t="n">
        <f aca="false">SUM(C29:N29)</f>
        <v>31.1855754028051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0.92665</v>
      </c>
      <c r="E31" s="27" t="n">
        <f aca="false">E21*(1-INDEX(Assumptions!$C$26:$E$26,$B$3))*E28</f>
        <v>1.02974666666667</v>
      </c>
      <c r="F31" s="27" t="n">
        <f aca="false">F21*(1-INDEX(Assumptions!$C$26:$E$26,$B$3))*F28</f>
        <v>1.36</v>
      </c>
      <c r="G31" s="27" t="n">
        <f aca="false">G21*(1-INDEX(Assumptions!$C$26:$E$26,$B$3))*G28</f>
        <v>1.74</v>
      </c>
      <c r="H31" s="27" t="n">
        <f aca="false">H21*(1-INDEX(Assumptions!$C$26:$E$26,$B$3))*H28</f>
        <v>1.92666666666667</v>
      </c>
      <c r="I31" s="27" t="n">
        <f aca="false">I21*(1-INDEX(Assumptions!$C$26:$E$26,$B$3))*I28</f>
        <v>2.496</v>
      </c>
      <c r="J31" s="27" t="n">
        <f aca="false">J21*(1-INDEX(Assumptions!$C$26:$E$26,$B$3))*J28</f>
        <v>2.39019920318725</v>
      </c>
      <c r="K31" s="27" t="n">
        <f aca="false">K21*(1-INDEX(Assumptions!$C$26:$E$26,$B$3))*K28</f>
        <v>2.07312106534945</v>
      </c>
      <c r="L31" s="27" t="n">
        <f aca="false">L21*(1-INDEX(Assumptions!$C$26:$E$26,$B$3))*L28</f>
        <v>2.112</v>
      </c>
      <c r="M31" s="27" t="n">
        <f aca="false">M21*(1-INDEX(Assumptions!$C$26:$E$26,$B$3))*M28</f>
        <v>2.016</v>
      </c>
      <c r="N31" s="27" t="n">
        <f aca="false">N21*(1-INDEX(Assumptions!$C$26:$E$26,$B$3))*N28</f>
        <v>1.92</v>
      </c>
      <c r="O31" s="35" t="n">
        <f aca="false">SUM(C31:N31)</f>
        <v>20.79038360187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0.277995</v>
      </c>
      <c r="F32" s="27" t="n">
        <f aca="false">E31*INDEX(Assumptions!$C$89:$E$89,$B$3)*F28</f>
        <v>0.308924</v>
      </c>
      <c r="G32" s="27" t="n">
        <f aca="false">F31*INDEX(Assumptions!$C$89:$E$89,$B$3)*G28</f>
        <v>0.408</v>
      </c>
      <c r="H32" s="27" t="n">
        <f aca="false">G31*INDEX(Assumptions!$C$89:$E$89,$B$3)*H28</f>
        <v>0.522</v>
      </c>
      <c r="I32" s="27" t="n">
        <f aca="false">H31*INDEX(Assumptions!$C$89:$E$89,$B$3)*I28</f>
        <v>0.578</v>
      </c>
      <c r="J32" s="27" t="n">
        <f aca="false">I31*INDEX(Assumptions!$C$89:$E$89,$B$3)*J28</f>
        <v>0.690501992031873</v>
      </c>
      <c r="K32" s="27" t="n">
        <f aca="false">J31*INDEX(Assumptions!$C$89:$E$89,$B$3)*K28</f>
        <v>0.619396539813621</v>
      </c>
      <c r="L32" s="27" t="n">
        <f aca="false">K31*INDEX(Assumptions!$C$89:$E$89,$B$3)*L28</f>
        <v>0.621936319604836</v>
      </c>
      <c r="M32" s="27" t="n">
        <f aca="false">L31*INDEX(Assumptions!$C$89:$E$89,$B$3)*M28</f>
        <v>0.6336</v>
      </c>
      <c r="N32" s="27" t="n">
        <f aca="false">M31*INDEX(Assumptions!$C$89:$E$89,$B$3)*N28</f>
        <v>0.6048</v>
      </c>
      <c r="O32" s="35" t="n">
        <f aca="false">SUM(C32:N32)</f>
        <v>5.50515385145033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2.316625</v>
      </c>
      <c r="E33" s="35" t="n">
        <f aca="false">E29+E30+E31</f>
        <v>2.57436666666667</v>
      </c>
      <c r="F33" s="35" t="n">
        <f aca="false">F29+F30+F31</f>
        <v>3.4</v>
      </c>
      <c r="G33" s="35" t="n">
        <f aca="false">G29+G30+G31</f>
        <v>4.35</v>
      </c>
      <c r="H33" s="35" t="n">
        <f aca="false">H29+H30+H31</f>
        <v>4.81666666666667</v>
      </c>
      <c r="I33" s="35" t="n">
        <f aca="false">I29+I30+I31</f>
        <v>6.24</v>
      </c>
      <c r="J33" s="35" t="n">
        <f aca="false">J29+J30+J31</f>
        <v>5.97549800796813</v>
      </c>
      <c r="K33" s="35" t="n">
        <f aca="false">K29+K30+K31</f>
        <v>5.18280266337363</v>
      </c>
      <c r="L33" s="35" t="n">
        <f aca="false">L29+L30+L31</f>
        <v>5.28</v>
      </c>
      <c r="M33" s="35" t="n">
        <f aca="false">M29+M30+M31</f>
        <v>5.04</v>
      </c>
      <c r="N33" s="35" t="n">
        <f aca="false">N29+N30+N31</f>
        <v>4.8</v>
      </c>
      <c r="O33" s="38" t="n">
        <f aca="false">SUM(C33:N33)</f>
        <v>51.9759590046751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0.57915625</v>
      </c>
      <c r="E34" s="27" t="n">
        <f aca="false">E33*INDEX(Assumptions!$C$74:$E$74,$B$3)</f>
        <v>0.643591666666667</v>
      </c>
      <c r="F34" s="27" t="n">
        <f aca="false">F33*INDEX(Assumptions!$C$74:$E$74,$B$3)</f>
        <v>0.85</v>
      </c>
      <c r="G34" s="27" t="n">
        <f aca="false">G33*INDEX(Assumptions!$C$74:$E$74,$B$3)</f>
        <v>1.0875</v>
      </c>
      <c r="H34" s="27" t="n">
        <f aca="false">H33*INDEX(Assumptions!$C$74:$E$74,$B$3)</f>
        <v>1.20416666666667</v>
      </c>
      <c r="I34" s="27" t="n">
        <f aca="false">I33*INDEX(Assumptions!$C$74:$E$74,$B$3)</f>
        <v>1.56</v>
      </c>
      <c r="J34" s="27" t="n">
        <f aca="false">J33*INDEX(Assumptions!$C$74:$E$74,$B$3)</f>
        <v>1.49387450199203</v>
      </c>
      <c r="K34" s="27" t="n">
        <f aca="false">K33*INDEX(Assumptions!$C$74:$E$74,$B$3)</f>
        <v>1.29570066584341</v>
      </c>
      <c r="L34" s="27" t="n">
        <f aca="false">L33*INDEX(Assumptions!$C$74:$E$74,$B$3)</f>
        <v>1.32</v>
      </c>
      <c r="M34" s="27" t="n">
        <f aca="false">M33*INDEX(Assumptions!$C$74:$E$74,$B$3)</f>
        <v>1.26</v>
      </c>
      <c r="N34" s="27" t="n">
        <f aca="false">N33*INDEX(Assumptions!$C$74:$E$74,$B$3)</f>
        <v>1.2</v>
      </c>
      <c r="O34" s="35" t="n">
        <f aca="false">SUM(C34:N34)</f>
        <v>12.9939897511688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3.756625</v>
      </c>
      <c r="E35" s="6" t="n">
        <f aca="false">E26+E29+E32+E31+1.25*E30</f>
        <v>5.68233666666667</v>
      </c>
      <c r="F35" s="6" t="n">
        <f aca="false">F26+F29+F32+F31+1.25*F30</f>
        <v>7.161514</v>
      </c>
      <c r="G35" s="6" t="n">
        <f aca="false">G26+G29+G32+G31+1.25*G30</f>
        <v>8.929539</v>
      </c>
      <c r="H35" s="6" t="n">
        <f aca="false">H26+H29+H32+H31+1.25*H30</f>
        <v>10.7055906666667</v>
      </c>
      <c r="I35" s="6" t="n">
        <f aca="false">I26+I29+I32+I31+1.25*I30</f>
        <v>13.248</v>
      </c>
      <c r="J35" s="6" t="n">
        <f aca="false">J26+J29+J32+J31+1.25*J30</f>
        <v>14.4</v>
      </c>
      <c r="K35" s="6" t="n">
        <f aca="false">K26+K29+K32+K31+1.25*K30</f>
        <v>14.4</v>
      </c>
      <c r="L35" s="6" t="n">
        <f aca="false">L26+L29+L32+L31+1.25*L30</f>
        <v>13.9068152542554</v>
      </c>
      <c r="M35" s="6" t="n">
        <f aca="false">M26+M29+M32+M31+1.25*M30</f>
        <v>13.1926144574426</v>
      </c>
      <c r="N35" s="6" t="n">
        <f aca="false">N26+N29+N32+N31+1.25*N30</f>
        <v>12.8523363196048</v>
      </c>
      <c r="O35" s="39" t="n">
        <f aca="false">AVERAGE(C35:N35)</f>
        <v>10.0196142803864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0.2347890625</v>
      </c>
      <c r="E36" s="36" t="n">
        <f aca="false">E35/(E22*E23)</f>
        <v>0.355146041666667</v>
      </c>
      <c r="F36" s="36" t="n">
        <f aca="false">F35/(F22*F23)</f>
        <v>0.447594625</v>
      </c>
      <c r="G36" s="36" t="n">
        <f aca="false">G35/(G22*G23)</f>
        <v>0.5580961875</v>
      </c>
      <c r="H36" s="36" t="n">
        <f aca="false">H35/(H22*H23)</f>
        <v>0.669099416666667</v>
      </c>
      <c r="I36" s="36" t="n">
        <f aca="false">I35/(I22*I23)</f>
        <v>0.828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0.869175953390961</v>
      </c>
      <c r="M36" s="36" t="n">
        <f aca="false">M35/(M22*M23)</f>
        <v>0.824538403590165</v>
      </c>
      <c r="N36" s="36" t="n">
        <f aca="false">N35/(N22*N23)</f>
        <v>0.803271019975302</v>
      </c>
      <c r="O36" s="30" t="n">
        <f aca="false">N36</f>
        <v>0.803271019975302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0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0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2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1.7</v>
      </c>
      <c r="F39" s="6" t="n">
        <f aca="false">IF(4&gt;=3,INDEX(Assumptions!$C$192:$E$192,$D$3)*INDEX(Assumptions!$C$193:$E$193,$B$3)*MIN(1,(4-2)/6),0)*$F$3</f>
        <v>3.4</v>
      </c>
      <c r="G39" s="6" t="n">
        <f aca="false">IF(5&gt;=3,INDEX(Assumptions!$C$192:$E$192,$D$3)*INDEX(Assumptions!$C$193:$E$193,$B$3)*MIN(1,(5-2)/6),0)*$F$3</f>
        <v>5.1</v>
      </c>
      <c r="H39" s="6" t="n">
        <f aca="false">IF(6&gt;=3,INDEX(Assumptions!$C$192:$E$192,$D$3)*INDEX(Assumptions!$C$193:$E$193,$B$3)*MIN(1,(6-2)/6),0)*$F$3</f>
        <v>6.8</v>
      </c>
      <c r="I39" s="6" t="n">
        <f aca="false">IF(7&gt;=3,INDEX(Assumptions!$C$192:$E$192,$D$3)*INDEX(Assumptions!$C$193:$E$193,$B$3)*MIN(1,(7-2)/6),0)*$F$3</f>
        <v>8.5</v>
      </c>
      <c r="J39" s="6" t="n">
        <f aca="false">IF(8&gt;=3,INDEX(Assumptions!$C$192:$E$192,$D$3)*INDEX(Assumptions!$C$193:$E$193,$B$3)*MIN(1,(8-2)/6),0)*$F$3</f>
        <v>10.2</v>
      </c>
      <c r="K39" s="6" t="n">
        <f aca="false">IF(9&gt;=3,INDEX(Assumptions!$C$192:$E$192,$D$3)*INDEX(Assumptions!$C$193:$E$193,$B$3)*MIN(1,(9-2)/6),0)*$F$3</f>
        <v>10.2</v>
      </c>
      <c r="L39" s="6" t="n">
        <f aca="false">IF(10&gt;=3,INDEX(Assumptions!$C$192:$E$192,$D$3)*INDEX(Assumptions!$C$193:$E$193,$B$3)*MIN(1,(10-2)/6),0)*$F$3</f>
        <v>10.2</v>
      </c>
      <c r="M39" s="6" t="n">
        <f aca="false">IF(11&gt;=3,INDEX(Assumptions!$C$192:$E$192,$D$3)*INDEX(Assumptions!$C$193:$E$193,$B$3)*MIN(1,(11-2)/6),0)*$F$3</f>
        <v>10.2</v>
      </c>
      <c r="N39" s="6" t="n">
        <f aca="false">IF(12&gt;=3,INDEX(Assumptions!$C$192:$E$192,$D$3)*INDEX(Assumptions!$C$193:$E$193,$B$3)*MIN(1,(12-2)/6),0)*$F$3</f>
        <v>10.2</v>
      </c>
      <c r="O39" s="39" t="n">
        <f aca="false">SUM(C39:N39)</f>
        <v>76.5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4.66666666666667</v>
      </c>
      <c r="D40" s="6" t="n">
        <f aca="false">INDEX(Assumptions!$C$194:$E$194,$D$3)*D10*MIN(1,2/3)*$F$3</f>
        <v>8</v>
      </c>
      <c r="E40" s="6" t="n">
        <f aca="false">INDEX(Assumptions!$C$194:$E$194,$D$3)*E10*MIN(1,3/3)*$F$3</f>
        <v>12</v>
      </c>
      <c r="F40" s="6" t="n">
        <f aca="false">INDEX(Assumptions!$C$194:$E$194,$D$3)*F10*MIN(1,4/3)*$F$3</f>
        <v>13</v>
      </c>
      <c r="G40" s="6" t="n">
        <f aca="false">INDEX(Assumptions!$C$194:$E$194,$D$3)*G10*MIN(1,5/3)*$F$3</f>
        <v>9</v>
      </c>
      <c r="H40" s="6" t="n">
        <f aca="false">INDEX(Assumptions!$C$194:$E$194,$D$3)*H10*MIN(1,6/3)*$F$3</f>
        <v>8</v>
      </c>
      <c r="I40" s="6" t="n">
        <f aca="false">INDEX(Assumptions!$C$194:$E$194,$D$3)*I10*MIN(1,7/3)*$F$3</f>
        <v>7</v>
      </c>
      <c r="J40" s="6" t="n">
        <f aca="false">INDEX(Assumptions!$C$194:$E$194,$D$3)*J10*MIN(1,8/3)*$F$3</f>
        <v>6</v>
      </c>
      <c r="K40" s="6" t="n">
        <f aca="false">INDEX(Assumptions!$C$194:$E$194,$D$3)*K10*MIN(1,9/3)*$F$3</f>
        <v>6</v>
      </c>
      <c r="L40" s="6" t="n">
        <f aca="false">INDEX(Assumptions!$C$194:$E$194,$D$3)*L10*MIN(1,10/3)*$F$3</f>
        <v>8</v>
      </c>
      <c r="M40" s="6" t="n">
        <f aca="false">INDEX(Assumptions!$C$194:$E$194,$D$3)*M10*MIN(1,11/3)*$F$3</f>
        <v>11</v>
      </c>
      <c r="N40" s="6" t="n">
        <f aca="false">INDEX(Assumptions!$C$194:$E$194,$D$3)*N10*MIN(1,12/3)*$F$3</f>
        <v>14</v>
      </c>
      <c r="O40" s="39" t="n">
        <f aca="false">SUM(C40:N40)</f>
        <v>106.666666666667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2.17319418386492</v>
      </c>
      <c r="E41" s="6" t="n">
        <f aca="false">E21*INDEX(Assumptions!$C$31:$E$31,$B$3)/(INDEX(Assumptions!$C$56:$E$56,$B$3)*INDEX(Assumptions!$C$57:$E$57,$B$3)*INDEX(Assumptions!$C$58:$E$58,$B$3))</f>
        <v>2.41497811131958</v>
      </c>
      <c r="F41" s="6" t="n">
        <f aca="false">F21*INDEX(Assumptions!$C$31:$E$31,$B$3)/(INDEX(Assumptions!$C$56:$E$56,$B$3)*INDEX(Assumptions!$C$57:$E$57,$B$3)*INDEX(Assumptions!$C$58:$E$58,$B$3))</f>
        <v>3.18949343339587</v>
      </c>
      <c r="G41" s="6" t="n">
        <f aca="false">G21*INDEX(Assumptions!$C$31:$E$31,$B$3)/(INDEX(Assumptions!$C$56:$E$56,$B$3)*INDEX(Assumptions!$C$57:$E$57,$B$3)*INDEX(Assumptions!$C$58:$E$58,$B$3))</f>
        <v>4.08067542213884</v>
      </c>
      <c r="H41" s="6" t="n">
        <f aca="false">H21*INDEX(Assumptions!$C$31:$E$31,$B$3)/(INDEX(Assumptions!$C$56:$E$56,$B$3)*INDEX(Assumptions!$C$57:$E$57,$B$3)*INDEX(Assumptions!$C$58:$E$58,$B$3))</f>
        <v>4.51844903064415</v>
      </c>
      <c r="I41" s="6" t="n">
        <f aca="false">I21*INDEX(Assumptions!$C$31:$E$31,$B$3)/(INDEX(Assumptions!$C$56:$E$56,$B$3)*INDEX(Assumptions!$C$57:$E$57,$B$3)*INDEX(Assumptions!$C$58:$E$58,$B$3))</f>
        <v>5.85365853658537</v>
      </c>
      <c r="J41" s="6" t="n">
        <f aca="false">J21*INDEX(Assumptions!$C$31:$E$31,$B$3)/(INDEX(Assumptions!$C$56:$E$56,$B$3)*INDEX(Assumptions!$C$57:$E$57,$B$3)*INDEX(Assumptions!$C$58:$E$58,$B$3))</f>
        <v>6.07879924953096</v>
      </c>
      <c r="K41" s="6" t="n">
        <f aca="false">K21*INDEX(Assumptions!$C$31:$E$31,$B$3)/(INDEX(Assumptions!$C$56:$E$56,$B$3)*INDEX(Assumptions!$C$57:$E$57,$B$3)*INDEX(Assumptions!$C$58:$E$58,$B$3))</f>
        <v>5.62851782363978</v>
      </c>
      <c r="L41" s="6" t="n">
        <f aca="false">L21*INDEX(Assumptions!$C$31:$E$31,$B$3)/(INDEX(Assumptions!$C$56:$E$56,$B$3)*INDEX(Assumptions!$C$57:$E$57,$B$3)*INDEX(Assumptions!$C$58:$E$58,$B$3))</f>
        <v>4.953095684803</v>
      </c>
      <c r="M41" s="6" t="n">
        <f aca="false">M21*INDEX(Assumptions!$C$31:$E$31,$B$3)/(INDEX(Assumptions!$C$56:$E$56,$B$3)*INDEX(Assumptions!$C$57:$E$57,$B$3)*INDEX(Assumptions!$C$58:$E$58,$B$3))</f>
        <v>4.72795497185741</v>
      </c>
      <c r="N41" s="6" t="n">
        <f aca="false">N21*INDEX(Assumptions!$C$31:$E$31,$B$3)/(INDEX(Assumptions!$C$56:$E$56,$B$3)*INDEX(Assumptions!$C$57:$E$57,$B$3)*INDEX(Assumptions!$C$58:$E$58,$B$3))</f>
        <v>4.50281425891182</v>
      </c>
      <c r="O41" s="39" t="n">
        <f aca="false">SUM(C41:N41)</f>
        <v>49.9978033145716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</v>
      </c>
      <c r="L42" s="27" t="n">
        <f aca="false">IF(10&gt;=INDEX(Assumptions!$C$191:$E$191,$D$3),MAX(INDEX(Assumptions!$C$86:$E$86,$D$3),0.5),0)</f>
        <v>0</v>
      </c>
      <c r="M42" s="27" t="n">
        <f aca="false">IF(11&gt;=INDEX(Assumptions!$C$191:$E$191,$D$3),MAX(INDEX(Assumptions!$C$86:$E$86,$D$3),0.5),0)</f>
        <v>0</v>
      </c>
      <c r="N42" s="27" t="n">
        <f aca="false">IF(12&gt;=INDEX(Assumptions!$C$191:$E$191,$D$3),MAX(INDEX(Assumptions!$C$86:$E$86,$D$3),0.5),0)</f>
        <v>0</v>
      </c>
      <c r="O42" s="35" t="n">
        <f aca="false">SUM(C42:N42)</f>
        <v>0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0</v>
      </c>
      <c r="L43" s="6" t="n">
        <f aca="false">L42*INDEX(Assumptions!$C$82:$E$82,$B$3)*$F$3</f>
        <v>0</v>
      </c>
      <c r="M43" s="6" t="n">
        <f aca="false">M42*INDEX(Assumptions!$C$82:$E$82,$B$3)*$F$3</f>
        <v>0</v>
      </c>
      <c r="N43" s="6" t="n">
        <f aca="false">N42*INDEX(Assumptions!$C$82:$E$82,$B$3)*$F$3</f>
        <v>0</v>
      </c>
      <c r="O43" s="39" t="n">
        <f aca="false">SUM(C43:N43)</f>
        <v>0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0.119</v>
      </c>
      <c r="F44" s="27" t="n">
        <f aca="false">F39*0.7*INDEX(Assumptions!$C$73:$E$73,$B$3)</f>
        <v>0.238</v>
      </c>
      <c r="G44" s="27" t="n">
        <f aca="false">G39*0.7*INDEX(Assumptions!$C$73:$E$73,$B$3)</f>
        <v>0.357</v>
      </c>
      <c r="H44" s="27" t="n">
        <f aca="false">H39*0.7*INDEX(Assumptions!$C$73:$E$73,$B$3)</f>
        <v>0.476</v>
      </c>
      <c r="I44" s="27" t="n">
        <f aca="false">I39*0.7*INDEX(Assumptions!$C$73:$E$73,$B$3)</f>
        <v>0.595</v>
      </c>
      <c r="J44" s="27" t="n">
        <f aca="false">J39*0.7*INDEX(Assumptions!$C$73:$E$73,$B$3)</f>
        <v>0.714</v>
      </c>
      <c r="K44" s="27" t="n">
        <f aca="false">K39*0.7*INDEX(Assumptions!$C$73:$E$73,$B$3)</f>
        <v>0.714</v>
      </c>
      <c r="L44" s="27" t="n">
        <f aca="false">L39*0.7*INDEX(Assumptions!$C$73:$E$73,$B$3)</f>
        <v>0.714</v>
      </c>
      <c r="M44" s="27" t="n">
        <f aca="false">M39*0.7*INDEX(Assumptions!$C$73:$E$73,$B$3)</f>
        <v>0.714</v>
      </c>
      <c r="N44" s="27" t="n">
        <f aca="false">N39*0.7*INDEX(Assumptions!$C$73:$E$73,$B$3)</f>
        <v>0.714</v>
      </c>
      <c r="O44" s="35" t="n">
        <f aca="false">SUM(C44:N44)</f>
        <v>5.355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70676.6949152542</v>
      </c>
      <c r="E49" s="8" t="n">
        <f aca="false">E29*E46/(1+INDEX(Assumptions!$C$15:$E$15,$B$3)*$H$4)</f>
        <v>78540</v>
      </c>
      <c r="F49" s="8" t="n">
        <f aca="false">F29*F46/(1+INDEX(Assumptions!$C$15:$E$15,$B$3)*$H$4)</f>
        <v>103728.813559322</v>
      </c>
      <c r="G49" s="8" t="n">
        <f aca="false">G29*G46/(1+INDEX(Assumptions!$C$15:$E$15,$B$3)*$H$4)</f>
        <v>132711.86440678</v>
      </c>
      <c r="H49" s="8" t="n">
        <f aca="false">H29*H46/(1+INDEX(Assumptions!$C$15:$E$15,$B$3)*$H$4)</f>
        <v>146949.152542373</v>
      </c>
      <c r="I49" s="8" t="n">
        <f aca="false">I29*I46/(1+INDEX(Assumptions!$C$15:$E$15,$B$3)*$H$4)</f>
        <v>253830.508474576</v>
      </c>
      <c r="J49" s="8" t="n">
        <f aca="false">J29*J46/(1+INDEX(Assumptions!$C$15:$E$15,$B$3)*$H$4)</f>
        <v>243071.105408873</v>
      </c>
      <c r="K49" s="8" t="n">
        <f aca="false">K29*K46/(1+INDEX(Assumptions!$C$15:$E$15,$B$3)*$H$4)</f>
        <v>210825.871052487</v>
      </c>
      <c r="L49" s="8" t="n">
        <f aca="false">L29*L46/(1+INDEX(Assumptions!$C$15:$E$15,$B$3)*$H$4)</f>
        <v>214779.661016949</v>
      </c>
      <c r="M49" s="8" t="n">
        <f aca="false">M29*M46/(1+INDEX(Assumptions!$C$15:$E$15,$B$3)*$H$4)</f>
        <v>205016.949152542</v>
      </c>
      <c r="N49" s="8" t="n">
        <f aca="false">N29*N46/(1+INDEX(Assumptions!$C$15:$E$15,$B$3)*$H$4)</f>
        <v>195254.237288136</v>
      </c>
      <c r="O49" s="37" t="n">
        <f aca="false">SUM(C49:N49)</f>
        <v>1916401.80696983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0</v>
      </c>
      <c r="M50" s="8" t="n">
        <f aca="false">M30*M46/(1+INDEX(Assumptions!$C$15:$E$15,$B$3)*$H$4)</f>
        <v>0</v>
      </c>
      <c r="N50" s="8" t="n">
        <f aca="false">N30*N46/(1+INDEX(Assumptions!$C$15:$E$15,$B$3)*$H$4)</f>
        <v>0</v>
      </c>
      <c r="O50" s="37" t="n">
        <f aca="false">SUM(C50:N50)</f>
        <v>0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4735.33855932203</v>
      </c>
      <c r="F51" s="8" t="n">
        <f aca="false">F32*MAX(0,F46-INDEX(Assumptions!$C$18:$E$18,$B$3)*$H$3)/(1+INDEX(Assumptions!$C$15:$E$15,$B$3)*$H$4)</f>
        <v>5262.18</v>
      </c>
      <c r="G51" s="8" t="n">
        <f aca="false">G32*MAX(0,G46-INDEX(Assumptions!$C$18:$E$18,$B$3)*$H$3)/(1+INDEX(Assumptions!$C$15:$E$15,$B$3)*$H$4)</f>
        <v>6949.83050847458</v>
      </c>
      <c r="H51" s="8" t="n">
        <f aca="false">H32*MAX(0,H46-INDEX(Assumptions!$C$18:$E$18,$B$3)*$H$3)/(1+INDEX(Assumptions!$C$15:$E$15,$B$3)*$H$4)</f>
        <v>8891.69491525424</v>
      </c>
      <c r="I51" s="8" t="n">
        <f aca="false">I32*MAX(0,I46-INDEX(Assumptions!$C$18:$E$18,$B$3)*$H$3)/(1+INDEX(Assumptions!$C$15:$E$15,$B$3)*$H$4)</f>
        <v>19642.2033898305</v>
      </c>
      <c r="J51" s="8" t="n">
        <f aca="false">J32*MAX(0,J46-INDEX(Assumptions!$C$18:$E$18,$B$3)*$H$3)/(1+INDEX(Assumptions!$C$15:$E$15,$B$3)*$H$4)</f>
        <v>23465.3643054899</v>
      </c>
      <c r="K51" s="8" t="n">
        <f aca="false">K32*MAX(0,K46-INDEX(Assumptions!$C$18:$E$18,$B$3)*$H$3)/(1+INDEX(Assumptions!$C$15:$E$15,$B$3)*$H$4)</f>
        <v>21048.9841072256</v>
      </c>
      <c r="L51" s="8" t="n">
        <f aca="false">L32*MAX(0,L46-INDEX(Assumptions!$C$18:$E$18,$B$3)*$H$3)/(1+INDEX(Assumptions!$C$15:$E$15,$B$3)*$H$4)</f>
        <v>21135.2935730118</v>
      </c>
      <c r="M51" s="8" t="n">
        <f aca="false">M32*MAX(0,M46-INDEX(Assumptions!$C$18:$E$18,$B$3)*$H$3)/(1+INDEX(Assumptions!$C$15:$E$15,$B$3)*$H$4)</f>
        <v>21531.6610169492</v>
      </c>
      <c r="N51" s="8" t="n">
        <f aca="false">N32*MAX(0,N46-INDEX(Assumptions!$C$18:$E$18,$B$3)*$H$3)/(1+INDEX(Assumptions!$C$15:$E$15,$B$3)*$H$4)</f>
        <v>20552.9491525424</v>
      </c>
      <c r="O51" s="37" t="n">
        <f aca="false">SUM(C51:N51)</f>
        <v>157303.635121321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31333.3347457627</v>
      </c>
      <c r="E52" s="8" t="n">
        <f aca="false">E31*INDEX(Assumptions!$C$18:$E$18,$B$3)*$H$3/(1+INDEX(Assumptions!$C$15:$E$15,$B$3)*$H$4)</f>
        <v>34819.4</v>
      </c>
      <c r="F52" s="8" t="n">
        <f aca="false">F31*INDEX(Assumptions!$C$18:$E$18,$B$3)*$H$3/(1+INDEX(Assumptions!$C$15:$E$15,$B$3)*$H$4)</f>
        <v>45986.4406779661</v>
      </c>
      <c r="G52" s="8" t="n">
        <f aca="false">G31*INDEX(Assumptions!$C$18:$E$18,$B$3)*$H$3/(1+INDEX(Assumptions!$C$15:$E$15,$B$3)*$H$4)</f>
        <v>58835.593220339</v>
      </c>
      <c r="H52" s="8" t="n">
        <f aca="false">H31*INDEX(Assumptions!$C$18:$E$18,$B$3)*$H$3/(1+INDEX(Assumptions!$C$15:$E$15,$B$3)*$H$4)</f>
        <v>65147.4576271186</v>
      </c>
      <c r="I52" s="8" t="n">
        <f aca="false">I31*INDEX(Assumptions!$C$18:$E$18,$B$3)*$H$3/(1+INDEX(Assumptions!$C$15:$E$15,$B$3)*$H$4)</f>
        <v>84398.6440677966</v>
      </c>
      <c r="J52" s="8" t="n">
        <f aca="false">J31*INDEX(Assumptions!$C$18:$E$18,$B$3)*$H$3/(1+INDEX(Assumptions!$C$15:$E$15,$B$3)*$H$4)</f>
        <v>80821.1425484503</v>
      </c>
      <c r="K52" s="8" t="n">
        <f aca="false">K31*INDEX(Assumptions!$C$18:$E$18,$B$3)*$H$3/(1+INDEX(Assumptions!$C$15:$E$15,$B$3)*$H$4)</f>
        <v>70099.6021249518</v>
      </c>
      <c r="L52" s="8" t="n">
        <f aca="false">L31*INDEX(Assumptions!$C$18:$E$18,$B$3)*$H$3/(1+INDEX(Assumptions!$C$15:$E$15,$B$3)*$H$4)</f>
        <v>71414.2372881356</v>
      </c>
      <c r="M52" s="8" t="n">
        <f aca="false">M31*INDEX(Assumptions!$C$18:$E$18,$B$3)*$H$3/(1+INDEX(Assumptions!$C$15:$E$15,$B$3)*$H$4)</f>
        <v>68168.1355932204</v>
      </c>
      <c r="N52" s="8" t="n">
        <f aca="false">N31*INDEX(Assumptions!$C$18:$E$18,$B$3)*$H$3/(1+INDEX(Assumptions!$C$15:$E$15,$B$3)*$H$4)</f>
        <v>64922.0338983051</v>
      </c>
      <c r="O52" s="37" t="n">
        <f aca="false">SUM(C52:N52)</f>
        <v>702996.869249673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1643.72046795004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1826.59652814259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2412.41011861227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3086.46588704805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3417.58100136738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4427.48210004134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4597.76987311985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4257.19432696283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3746.33100772729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3576.04323464877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3405.75546157026</v>
      </c>
      <c r="O53" s="37" t="n">
        <f aca="false">SUM(C53:N53)</f>
        <v>37816.4147828449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14406.7796610169</v>
      </c>
      <c r="F54" s="8" t="n">
        <f aca="false">F39*INDEX(Assumptions!$C$21:$E$21,$B$3)*$H$3/(1+INDEX(Assumptions!$C$15:$E$15,$B$3)*$H$4)</f>
        <v>28813.5593220339</v>
      </c>
      <c r="G54" s="8" t="n">
        <f aca="false">G39*INDEX(Assumptions!$C$21:$E$21,$B$3)*$H$3/(1+INDEX(Assumptions!$C$15:$E$15,$B$3)*$H$4)</f>
        <v>43220.3389830509</v>
      </c>
      <c r="H54" s="8" t="n">
        <f aca="false">H39*INDEX(Assumptions!$C$21:$E$21,$B$3)*$H$3/(1+INDEX(Assumptions!$C$15:$E$15,$B$3)*$H$4)</f>
        <v>57627.1186440678</v>
      </c>
      <c r="I54" s="8" t="n">
        <f aca="false">I39*INDEX(Assumptions!$C$21:$E$21,$B$3)*$H$3/(1+INDEX(Assumptions!$C$15:$E$15,$B$3)*$H$4)</f>
        <v>72033.8983050848</v>
      </c>
      <c r="J54" s="8" t="n">
        <f aca="false">J39*INDEX(Assumptions!$C$21:$E$21,$B$3)*$H$3/(1+INDEX(Assumptions!$C$15:$E$15,$B$3)*$H$4)</f>
        <v>86440.6779661017</v>
      </c>
      <c r="K54" s="8" t="n">
        <f aca="false">K39*INDEX(Assumptions!$C$21:$E$21,$B$3)*$H$3/(1+INDEX(Assumptions!$C$15:$E$15,$B$3)*$H$4)</f>
        <v>86440.6779661017</v>
      </c>
      <c r="L54" s="8" t="n">
        <f aca="false">L39*INDEX(Assumptions!$C$21:$E$21,$B$3)*$H$3/(1+INDEX(Assumptions!$C$15:$E$15,$B$3)*$H$4)</f>
        <v>86440.6779661017</v>
      </c>
      <c r="M54" s="8" t="n">
        <f aca="false">M39*INDEX(Assumptions!$C$21:$E$21,$B$3)*$H$3/(1+INDEX(Assumptions!$C$15:$E$15,$B$3)*$H$4)</f>
        <v>86440.6779661017</v>
      </c>
      <c r="N54" s="8" t="n">
        <f aca="false">N39*INDEX(Assumptions!$C$21:$E$21,$B$3)*$H$3/(1+INDEX(Assumptions!$C$15:$E$15,$B$3)*$H$4)</f>
        <v>86440.6779661017</v>
      </c>
      <c r="O54" s="37" t="n">
        <f aca="false">SUM(C54:N54)</f>
        <v>648305.084745763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19770.0564971751</v>
      </c>
      <c r="D55" s="8" t="n">
        <f aca="false">D40*INDEX(Assumptions!$C$22:$E$22,$B$3)*$H$3/(1+INDEX(Assumptions!$C$15:$E$15,$B$3)*$H$4)</f>
        <v>33891.5254237288</v>
      </c>
      <c r="E55" s="8" t="n">
        <f aca="false">E40*INDEX(Assumptions!$C$22:$E$22,$B$3)*$H$3/(1+INDEX(Assumptions!$C$15:$E$15,$B$3)*$H$4)</f>
        <v>50837.2881355932</v>
      </c>
      <c r="F55" s="8" t="n">
        <f aca="false">F40*INDEX(Assumptions!$C$22:$E$22,$B$3)*$H$3/(1+INDEX(Assumptions!$C$15:$E$15,$B$3)*$H$4)</f>
        <v>55073.7288135593</v>
      </c>
      <c r="G55" s="8" t="n">
        <f aca="false">G40*INDEX(Assumptions!$C$22:$E$22,$B$3)*$H$3/(1+INDEX(Assumptions!$C$15:$E$15,$B$3)*$H$4)</f>
        <v>38127.9661016949</v>
      </c>
      <c r="H55" s="8" t="n">
        <f aca="false">H40*INDEX(Assumptions!$C$22:$E$22,$B$3)*$H$3/(1+INDEX(Assumptions!$C$15:$E$15,$B$3)*$H$4)</f>
        <v>33891.5254237288</v>
      </c>
      <c r="I55" s="8" t="n">
        <f aca="false">I40*INDEX(Assumptions!$C$22:$E$22,$B$3)*$H$3/(1+INDEX(Assumptions!$C$15:$E$15,$B$3)*$H$4)</f>
        <v>29655.0847457627</v>
      </c>
      <c r="J55" s="8" t="n">
        <f aca="false">J40*INDEX(Assumptions!$C$22:$E$22,$B$3)*$H$3/(1+INDEX(Assumptions!$C$15:$E$15,$B$3)*$H$4)</f>
        <v>25418.6440677966</v>
      </c>
      <c r="K55" s="8" t="n">
        <f aca="false">K40*INDEX(Assumptions!$C$22:$E$22,$B$3)*$H$3/(1+INDEX(Assumptions!$C$15:$E$15,$B$3)*$H$4)</f>
        <v>25418.6440677966</v>
      </c>
      <c r="L55" s="8" t="n">
        <f aca="false">L40*INDEX(Assumptions!$C$22:$E$22,$B$3)*$H$3/(1+INDEX(Assumptions!$C$15:$E$15,$B$3)*$H$4)</f>
        <v>33891.5254237288</v>
      </c>
      <c r="M55" s="8" t="n">
        <f aca="false">M40*INDEX(Assumptions!$C$22:$E$22,$B$3)*$H$3/(1+INDEX(Assumptions!$C$15:$E$15,$B$3)*$H$4)</f>
        <v>46600.8474576271</v>
      </c>
      <c r="N55" s="8" t="n">
        <f aca="false">N40*INDEX(Assumptions!$C$22:$E$22,$B$3)*$H$3/(1+INDEX(Assumptions!$C$15:$E$15,$B$3)*$H$4)</f>
        <v>59310.1694915254</v>
      </c>
      <c r="O55" s="37" t="n">
        <f aca="false">SUM(C55:N55)</f>
        <v>451887.005649718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0</v>
      </c>
      <c r="L56" s="8" t="n">
        <f aca="false">L43*INDEX(Assumptions!$C$83:$E$83,$B$3)/(1+INDEX(Assumptions!$C$15:$E$15,$B$3)*$H$4)</f>
        <v>0</v>
      </c>
      <c r="M56" s="8" t="n">
        <f aca="false">M43*INDEX(Assumptions!$C$83:$E$83,$B$3)/(1+INDEX(Assumptions!$C$15:$E$15,$B$3)*$H$4)</f>
        <v>0</v>
      </c>
      <c r="N56" s="8" t="n">
        <f aca="false">N43*INDEX(Assumptions!$C$83:$E$83,$B$3)/(1+INDEX(Assumptions!$C$15:$E$15,$B$3)*$H$4)</f>
        <v>0</v>
      </c>
      <c r="O56" s="37" t="n">
        <f aca="false">SUM(C56:N56)</f>
        <v>0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1008.37372881356</v>
      </c>
      <c r="F57" s="8" t="n">
        <f aca="false">F44*INDEX(Assumptions!$C$23:$E$23,$B$3)/(1+INDEX(Assumptions!$C$15:$E$15,$B$3)*$H$4)</f>
        <v>2016.74745762712</v>
      </c>
      <c r="G57" s="8" t="n">
        <f aca="false">G44*INDEX(Assumptions!$C$23:$E$23,$B$3)/(1+INDEX(Assumptions!$C$15:$E$15,$B$3)*$H$4)</f>
        <v>3025.12118644068</v>
      </c>
      <c r="H57" s="8" t="n">
        <f aca="false">H44*INDEX(Assumptions!$C$23:$E$23,$B$3)/(1+INDEX(Assumptions!$C$15:$E$15,$B$3)*$H$4)</f>
        <v>4033.49491525424</v>
      </c>
      <c r="I57" s="8" t="n">
        <f aca="false">I44*INDEX(Assumptions!$C$23:$E$23,$B$3)/(1+INDEX(Assumptions!$C$15:$E$15,$B$3)*$H$4)</f>
        <v>5041.8686440678</v>
      </c>
      <c r="J57" s="8" t="n">
        <f aca="false">J44*INDEX(Assumptions!$C$23:$E$23,$B$3)/(1+INDEX(Assumptions!$C$15:$E$15,$B$3)*$H$4)</f>
        <v>6050.24237288136</v>
      </c>
      <c r="K57" s="8" t="n">
        <f aca="false">K44*INDEX(Assumptions!$C$23:$E$23,$B$3)/(1+INDEX(Assumptions!$C$15:$E$15,$B$3)*$H$4)</f>
        <v>6050.24237288136</v>
      </c>
      <c r="L57" s="8" t="n">
        <f aca="false">L44*INDEX(Assumptions!$C$23:$E$23,$B$3)/(1+INDEX(Assumptions!$C$15:$E$15,$B$3)*$H$4)</f>
        <v>6050.24237288136</v>
      </c>
      <c r="M57" s="8" t="n">
        <f aca="false">M44*INDEX(Assumptions!$C$23:$E$23,$B$3)/(1+INDEX(Assumptions!$C$15:$E$15,$B$3)*$H$4)</f>
        <v>6050.24237288136</v>
      </c>
      <c r="N57" s="8" t="n">
        <f aca="false">N44*INDEX(Assumptions!$C$23:$E$23,$B$3)/(1+INDEX(Assumptions!$C$15:$E$15,$B$3)*$H$4)</f>
        <v>6050.24237288136</v>
      </c>
      <c r="O57" s="37" t="n">
        <f aca="false">SUM(C57:N57)</f>
        <v>45376.8177966102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3594.24</v>
      </c>
      <c r="J58" s="8" t="n">
        <f aca="false">(J29+J30)*(1-J47)*INDEX(Assumptions!$C$90:$E$90,$B$3)</f>
        <v>3441.88685258964</v>
      </c>
      <c r="K58" s="8" t="n">
        <f aca="false">(K29+K30)*(1-K47)*INDEX(Assumptions!$C$90:$E$90,$B$3)</f>
        <v>2985.29433410321</v>
      </c>
      <c r="L58" s="8" t="n">
        <f aca="false">(L29+L30)*(1-L47)*INDEX(Assumptions!$C$90:$E$90,$B$3)</f>
        <v>3041.28</v>
      </c>
      <c r="M58" s="8" t="n">
        <f aca="false">(M29+M30)*(1-M47)*INDEX(Assumptions!$C$90:$E$90,$B$3)</f>
        <v>2903.04</v>
      </c>
      <c r="N58" s="8" t="n">
        <f aca="false">(N29+N30)*(1-N47)*INDEX(Assumptions!$C$90:$E$90,$B$3)</f>
        <v>2764.8</v>
      </c>
      <c r="O58" s="37" t="n">
        <f aca="false">SUM(C58:N58)</f>
        <v>18730.5411866929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109256.917882999</v>
      </c>
      <c r="D59" s="37" t="n">
        <f aca="false">SUM(D49:D58)</f>
        <v>141633.411145916</v>
      </c>
      <c r="E59" s="37" t="n">
        <f aca="false">SUM(E49:E58)</f>
        <v>186173.776612888</v>
      </c>
      <c r="F59" s="37" t="n">
        <f aca="false">SUM(F49:F58)</f>
        <v>243293.879949121</v>
      </c>
      <c r="G59" s="37" t="n">
        <f aca="false">SUM(G49:G58)</f>
        <v>285957.180293828</v>
      </c>
      <c r="H59" s="37" t="n">
        <f aca="false">SUM(H49:H58)</f>
        <v>319958.025069164</v>
      </c>
      <c r="I59" s="37" t="n">
        <f aca="false">SUM(I49:I58)</f>
        <v>472623.92972716</v>
      </c>
      <c r="J59" s="37" t="n">
        <f aca="false">SUM(J49:J58)</f>
        <v>473306.833395302</v>
      </c>
      <c r="K59" s="37" t="n">
        <f aca="false">SUM(K49:K58)</f>
        <v>427126.51035251</v>
      </c>
      <c r="L59" s="37" t="n">
        <f aca="false">SUM(L49:L58)</f>
        <v>440499.248648536</v>
      </c>
      <c r="M59" s="37" t="n">
        <f aca="false">SUM(M49:M58)</f>
        <v>440287.596793971</v>
      </c>
      <c r="N59" s="37" t="n">
        <f aca="false">SUM(N49:N58)</f>
        <v>438700.865631062</v>
      </c>
      <c r="O59" s="31" t="n">
        <f aca="false">SUM(C59:N59)</f>
        <v>3978818.17550246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106098.165254237</v>
      </c>
      <c r="E60" s="8" t="n">
        <f aca="false">E49+E50+E51+E52</f>
        <v>118094.738559322</v>
      </c>
      <c r="F60" s="8" t="n">
        <f aca="false">F49+F50+F51+F52</f>
        <v>154977.434237288</v>
      </c>
      <c r="G60" s="8" t="n">
        <f aca="false">G49+G50+G51+G52</f>
        <v>198497.288135593</v>
      </c>
      <c r="H60" s="8" t="n">
        <f aca="false">H49+H50+H51+H52</f>
        <v>220988.305084746</v>
      </c>
      <c r="I60" s="8" t="n">
        <f aca="false">I49+I50+I51+I52</f>
        <v>357871.355932203</v>
      </c>
      <c r="J60" s="8" t="n">
        <f aca="false">J49+J50+J51+J52</f>
        <v>347357.612262813</v>
      </c>
      <c r="K60" s="8" t="n">
        <f aca="false">K49+K50+K51+K52</f>
        <v>301974.457284664</v>
      </c>
      <c r="L60" s="8" t="n">
        <f aca="false">L49+L50+L51+L52</f>
        <v>307329.191878097</v>
      </c>
      <c r="M60" s="8" t="n">
        <f aca="false">M49+M50+M51+M52</f>
        <v>294716.745762712</v>
      </c>
      <c r="N60" s="8" t="n">
        <f aca="false">N49+N50+N51+N52</f>
        <v>280729.220338983</v>
      </c>
      <c r="O60" s="37" t="n">
        <f aca="false">SUM(C60:N60)</f>
        <v>2776702.31134083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9779.85</v>
      </c>
      <c r="E62" s="8" t="n">
        <f aca="false">((E29+E32)*INDEX(Assumptions!$C$91:$E$91,$B$3)+E30*INDEX(Assumptions!$C$93:$E$93,$B$3))*$N$3</f>
        <v>10935.69</v>
      </c>
      <c r="F62" s="8" t="n">
        <f aca="false">((F29+F32)*INDEX(Assumptions!$C$91:$E$91,$B$3)+F30*INDEX(Assumptions!$C$93:$E$93,$B$3))*$N$3</f>
        <v>14093.544</v>
      </c>
      <c r="G62" s="8" t="n">
        <f aca="false">((G29+G32)*INDEX(Assumptions!$C$91:$E$91,$B$3)+G30*INDEX(Assumptions!$C$93:$E$93,$B$3))*$N$3</f>
        <v>18108</v>
      </c>
      <c r="H62" s="8" t="n">
        <f aca="false">((H29+H32)*INDEX(Assumptions!$C$91:$E$91,$B$3)+H30*INDEX(Assumptions!$C$93:$E$93,$B$3))*$N$3</f>
        <v>20472</v>
      </c>
      <c r="I62" s="8" t="n">
        <f aca="false">((I29+I32)*INDEX(Assumptions!$C$91:$E$91,$B$3)+I30*INDEX(Assumptions!$C$93:$E$93,$B$3))*$N$3</f>
        <v>25932</v>
      </c>
      <c r="J62" s="8" t="n">
        <f aca="false">((J29+J32)*INDEX(Assumptions!$C$91:$E$91,$B$3)+J30*INDEX(Assumptions!$C$93:$E$93,$B$3))*$N$3</f>
        <v>25654.8047808765</v>
      </c>
      <c r="K62" s="8" t="n">
        <f aca="false">((K29+K32)*INDEX(Assumptions!$C$91:$E$91,$B$3)+K30*INDEX(Assumptions!$C$93:$E$93,$B$3))*$N$3</f>
        <v>22374.4688270268</v>
      </c>
      <c r="L62" s="8" t="n">
        <f aca="false">((L29+L32)*INDEX(Assumptions!$C$91:$E$91,$B$3)+L30*INDEX(Assumptions!$C$93:$E$93,$B$3))*$N$3</f>
        <v>22739.617917629</v>
      </c>
      <c r="M62" s="8" t="n">
        <f aca="false">((M29+M32)*INDEX(Assumptions!$C$91:$E$91,$B$3)+M30*INDEX(Assumptions!$C$93:$E$93,$B$3))*$N$3</f>
        <v>21945.6</v>
      </c>
      <c r="N62" s="8" t="n">
        <f aca="false">((N29+N32)*INDEX(Assumptions!$C$91:$E$91,$B$3)+N30*INDEX(Assumptions!$C$93:$E$93,$B$3))*$N$3</f>
        <v>20908.8</v>
      </c>
      <c r="O62" s="37" t="n">
        <f aca="false">SUM(C62:N62)</f>
        <v>220144.375525532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16679.7</v>
      </c>
      <c r="E63" s="8" t="n">
        <f aca="false">(E29+E30)*E47*INDEX(Assumptions!$C$14:$E$14,$B$3)*$N$3</f>
        <v>18535.44</v>
      </c>
      <c r="F63" s="8" t="n">
        <f aca="false">(F29+F30)*F47*INDEX(Assumptions!$C$14:$E$14,$B$3)*$N$3</f>
        <v>24480</v>
      </c>
      <c r="G63" s="8" t="n">
        <f aca="false">(G29+G30)*G47*INDEX(Assumptions!$C$14:$E$14,$B$3)*$N$3</f>
        <v>31320</v>
      </c>
      <c r="H63" s="8" t="n">
        <f aca="false">(H29+H30)*H47*INDEX(Assumptions!$C$14:$E$14,$B$3)*$N$3</f>
        <v>34680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140095.14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1853.3</v>
      </c>
      <c r="E64" s="8" t="n">
        <f aca="false">E31*INDEX(Assumptions!$C$92:$E$92,$B$3)*$N$3</f>
        <v>2059.49333333333</v>
      </c>
      <c r="F64" s="8" t="n">
        <f aca="false">F31*INDEX(Assumptions!$C$92:$E$92,$B$3)*$N$3</f>
        <v>2720</v>
      </c>
      <c r="G64" s="8" t="n">
        <f aca="false">G31*INDEX(Assumptions!$C$92:$E$92,$B$3)*$N$3</f>
        <v>3480</v>
      </c>
      <c r="H64" s="8" t="n">
        <f aca="false">H31*INDEX(Assumptions!$C$92:$E$92,$B$3)*$N$3</f>
        <v>3853.33333333333</v>
      </c>
      <c r="I64" s="8" t="n">
        <f aca="false">I31*INDEX(Assumptions!$C$92:$E$92,$B$3)*$N$3</f>
        <v>4992</v>
      </c>
      <c r="J64" s="8" t="n">
        <f aca="false">J31*INDEX(Assumptions!$C$92:$E$92,$B$3)*$N$3</f>
        <v>4780.3984063745</v>
      </c>
      <c r="K64" s="8" t="n">
        <f aca="false">K31*INDEX(Assumptions!$C$92:$E$92,$B$3)*$N$3</f>
        <v>4146.24213069891</v>
      </c>
      <c r="L64" s="8" t="n">
        <f aca="false">L31*INDEX(Assumptions!$C$92:$E$92,$B$3)*$N$3</f>
        <v>4224</v>
      </c>
      <c r="M64" s="8" t="n">
        <f aca="false">M31*INDEX(Assumptions!$C$92:$E$92,$B$3)*$N$3</f>
        <v>4032</v>
      </c>
      <c r="N64" s="8" t="n">
        <f aca="false">N31*INDEX(Assumptions!$C$92:$E$92,$B$3)*$N$3</f>
        <v>3840</v>
      </c>
      <c r="O64" s="37" t="n">
        <f aca="false">SUM(C64:N64)</f>
        <v>41580.7672037401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2335.70981863665</v>
      </c>
      <c r="D65" s="8" t="n">
        <f aca="false">(D39*INDEX(Assumptions!$C$94:$E$94,$B$3)+D40*INDEX(Assumptions!$C$95:$E$95,$B$3)+D41*INDEX(Assumptions!$C$96:$E$96,$B$3))*$N$3</f>
        <v>3743.29854596623</v>
      </c>
      <c r="E65" s="8" t="n">
        <f aca="false">(E39*INDEX(Assumptions!$C$94:$E$94,$B$3)+E40*INDEX(Assumptions!$C$95:$E$95,$B$3)+E41*INDEX(Assumptions!$C$96:$E$96,$B$3))*$N$3</f>
        <v>7103.74452782989</v>
      </c>
      <c r="F65" s="8" t="n">
        <f aca="false">(F39*INDEX(Assumptions!$C$94:$E$94,$B$3)+F40*INDEX(Assumptions!$C$95:$E$95,$B$3)+F41*INDEX(Assumptions!$C$96:$E$96,$B$3))*$N$3</f>
        <v>9397.37335834897</v>
      </c>
      <c r="G65" s="8" t="n">
        <f aca="false">(G39*INDEX(Assumptions!$C$94:$E$94,$B$3)+G40*INDEX(Assumptions!$C$95:$E$95,$B$3)+G41*INDEX(Assumptions!$C$96:$E$96,$B$3))*$N$3</f>
        <v>9720.16885553471</v>
      </c>
      <c r="H65" s="8" t="n">
        <f aca="false">(H39*INDEX(Assumptions!$C$94:$E$94,$B$3)+H40*INDEX(Assumptions!$C$95:$E$95,$B$3)+H41*INDEX(Assumptions!$C$96:$E$96,$B$3))*$N$3</f>
        <v>11129.612257661</v>
      </c>
      <c r="I65" s="8" t="n">
        <f aca="false">(I39*INDEX(Assumptions!$C$94:$E$94,$B$3)+I40*INDEX(Assumptions!$C$95:$E$95,$B$3)+I41*INDEX(Assumptions!$C$96:$E$96,$B$3))*$N$3</f>
        <v>12763.4146341463</v>
      </c>
      <c r="J65" s="8" t="n">
        <f aca="false">(J39*INDEX(Assumptions!$C$94:$E$94,$B$3)+J40*INDEX(Assumptions!$C$95:$E$95,$B$3)+J41*INDEX(Assumptions!$C$96:$E$96,$B$3))*$N$3</f>
        <v>14119.6998123827</v>
      </c>
      <c r="K65" s="8" t="n">
        <f aca="false">(K39*INDEX(Assumptions!$C$94:$E$94,$B$3)+K40*INDEX(Assumptions!$C$95:$E$95,$B$3)+K41*INDEX(Assumptions!$C$96:$E$96,$B$3))*$N$3</f>
        <v>14007.1294559099</v>
      </c>
      <c r="L65" s="8" t="n">
        <f aca="false">(L39*INDEX(Assumptions!$C$94:$E$94,$B$3)+L40*INDEX(Assumptions!$C$95:$E$95,$B$3)+L41*INDEX(Assumptions!$C$96:$E$96,$B$3))*$N$3</f>
        <v>14638.2739212008</v>
      </c>
      <c r="M65" s="8" t="n">
        <f aca="false">(M39*INDEX(Assumptions!$C$94:$E$94,$B$3)+M40*INDEX(Assumptions!$C$95:$E$95,$B$3)+M41*INDEX(Assumptions!$C$96:$E$96,$B$3))*$N$3</f>
        <v>15781.9887429644</v>
      </c>
      <c r="N65" s="8" t="n">
        <f aca="false">(N39*INDEX(Assumptions!$C$94:$E$94,$B$3)+N40*INDEX(Assumptions!$C$95:$E$95,$B$3)+N41*INDEX(Assumptions!$C$96:$E$96,$B$3))*$N$3</f>
        <v>16925.703564728</v>
      </c>
      <c r="O65" s="37" t="n">
        <f aca="false">SUM(C65:N65)</f>
        <v>131666.11749531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0</v>
      </c>
      <c r="L66" s="8" t="n">
        <f aca="false">L42*INDEX(Assumptions!$C$84:$E$84,$B$3)</f>
        <v>0</v>
      </c>
      <c r="M66" s="8" t="n">
        <f aca="false">M42*INDEX(Assumptions!$C$84:$E$84,$B$3)</f>
        <v>0</v>
      </c>
      <c r="N66" s="8" t="n">
        <f aca="false">N42*INDEX(Assumptions!$C$84:$E$84,$B$3)</f>
        <v>0</v>
      </c>
      <c r="O66" s="37" t="n">
        <f aca="false">SUM(C66:N66)</f>
        <v>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238</v>
      </c>
      <c r="F67" s="8" t="n">
        <f aca="false">F44*INDEX(Assumptions!$C$97:$E$97,$B$3)</f>
        <v>476</v>
      </c>
      <c r="G67" s="8" t="n">
        <f aca="false">G44*INDEX(Assumptions!$C$97:$E$97,$B$3)</f>
        <v>714</v>
      </c>
      <c r="H67" s="8" t="n">
        <f aca="false">H44*INDEX(Assumptions!$C$97:$E$97,$B$3)</f>
        <v>952</v>
      </c>
      <c r="I67" s="8" t="n">
        <f aca="false">I44*INDEX(Assumptions!$C$97:$E$97,$B$3)</f>
        <v>1190</v>
      </c>
      <c r="J67" s="8" t="n">
        <f aca="false">J44*INDEX(Assumptions!$C$97:$E$97,$B$3)</f>
        <v>1428</v>
      </c>
      <c r="K67" s="8" t="n">
        <f aca="false">K44*INDEX(Assumptions!$C$97:$E$97,$B$3)</f>
        <v>1428</v>
      </c>
      <c r="L67" s="8" t="n">
        <f aca="false">L44*INDEX(Assumptions!$C$97:$E$97,$B$3)</f>
        <v>1428</v>
      </c>
      <c r="M67" s="8" t="n">
        <f aca="false">M44*INDEX(Assumptions!$C$97:$E$97,$B$3)</f>
        <v>1428</v>
      </c>
      <c r="N67" s="8" t="n">
        <f aca="false">N44*INDEX(Assumptions!$C$97:$E$97,$B$3)</f>
        <v>1428</v>
      </c>
      <c r="O67" s="37" t="n">
        <f aca="false">SUM(C67:N67)</f>
        <v>10710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3838.46326203877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4886.44225304362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6113.33686931417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7992.39958379925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9632.60345493434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10769.1228916323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16801.136241561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16674.0193677307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14868.4014033673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15267.4260803881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15069.0160843377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14809.7588288931</v>
      </c>
      <c r="O68" s="37" t="n">
        <f aca="false">SUM(C68:N68)</f>
        <v>136722.12632104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1389.975</v>
      </c>
      <c r="E69" s="8" t="n">
        <f aca="false">E33*INDEX(Assumptions!$C$198:$E$198,$B$3)*INDEX(Assumptions!$C$69:$E$69,$B$3)</f>
        <v>1544.62</v>
      </c>
      <c r="F69" s="8" t="n">
        <f aca="false">F33*INDEX(Assumptions!$C$198:$E$198,$B$3)*INDEX(Assumptions!$C$69:$E$69,$B$3)</f>
        <v>2040</v>
      </c>
      <c r="G69" s="8" t="n">
        <f aca="false">G33*INDEX(Assumptions!$C$198:$E$198,$B$3)*INDEX(Assumptions!$C$69:$E$69,$B$3)</f>
        <v>2610</v>
      </c>
      <c r="H69" s="8" t="n">
        <f aca="false">H33*INDEX(Assumptions!$C$198:$E$198,$B$3)*INDEX(Assumptions!$C$69:$E$69,$B$3)</f>
        <v>2890</v>
      </c>
      <c r="I69" s="8" t="n">
        <f aca="false">I33*INDEX(Assumptions!$C$198:$E$198,$B$3)*INDEX(Assumptions!$C$69:$E$69,$B$3)</f>
        <v>3744</v>
      </c>
      <c r="J69" s="8" t="n">
        <f aca="false">J33*INDEX(Assumptions!$C$198:$E$198,$B$3)*INDEX(Assumptions!$C$69:$E$69,$B$3)</f>
        <v>3585.29880478088</v>
      </c>
      <c r="K69" s="8" t="n">
        <f aca="false">K33*INDEX(Assumptions!$C$198:$E$198,$B$3)*INDEX(Assumptions!$C$69:$E$69,$B$3)</f>
        <v>3109.68159802418</v>
      </c>
      <c r="L69" s="8" t="n">
        <f aca="false">L33*INDEX(Assumptions!$C$198:$E$198,$B$3)*INDEX(Assumptions!$C$69:$E$69,$B$3)</f>
        <v>3168</v>
      </c>
      <c r="M69" s="8" t="n">
        <f aca="false">M33*INDEX(Assumptions!$C$198:$E$198,$B$3)*INDEX(Assumptions!$C$69:$E$69,$B$3)</f>
        <v>3024</v>
      </c>
      <c r="N69" s="8" t="n">
        <f aca="false">N33*INDEX(Assumptions!$C$198:$E$198,$B$3)*INDEX(Assumptions!$C$69:$E$69,$B$3)</f>
        <v>2880</v>
      </c>
      <c r="O69" s="37" t="n">
        <f aca="false">SUM(C69:N69)</f>
        <v>31185.5754028051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30574.1730806754</v>
      </c>
      <c r="D70" s="37" t="n">
        <f aca="false">SUM(D62:D69)</f>
        <v>38332.5657990099</v>
      </c>
      <c r="E70" s="37" t="n">
        <f aca="false">SUM(E62:E69)</f>
        <v>46530.3247304774</v>
      </c>
      <c r="F70" s="37" t="n">
        <f aca="false">SUM(F62:F69)</f>
        <v>61199.3169421482</v>
      </c>
      <c r="G70" s="37" t="n">
        <f aca="false">SUM(G62:G69)</f>
        <v>75584.772310469</v>
      </c>
      <c r="H70" s="37" t="n">
        <f aca="false">SUM(H62:H69)</f>
        <v>84746.0684826266</v>
      </c>
      <c r="I70" s="37" t="n">
        <f aca="false">SUM(I62:I69)</f>
        <v>65422.5508757073</v>
      </c>
      <c r="J70" s="37" t="n">
        <f aca="false">SUM(J62:J69)</f>
        <v>66242.2211721453</v>
      </c>
      <c r="K70" s="37" t="n">
        <f aca="false">SUM(K62:K69)</f>
        <v>59933.9234150271</v>
      </c>
      <c r="L70" s="37" t="n">
        <f aca="false">SUM(L62:L69)</f>
        <v>61465.3179192179</v>
      </c>
      <c r="M70" s="37" t="n">
        <f aca="false">SUM(M62:M69)</f>
        <v>61280.6048273021</v>
      </c>
      <c r="N70" s="37" t="n">
        <f aca="false">SUM(N62:N69)</f>
        <v>60792.262393621</v>
      </c>
      <c r="O70" s="31" t="n">
        <f aca="false">SUM(C70:N70)</f>
        <v>712104.101948427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78682.7448023235</v>
      </c>
      <c r="D71" s="37" t="n">
        <f aca="false">D59-D70</f>
        <v>103300.845346906</v>
      </c>
      <c r="E71" s="37" t="n">
        <f aca="false">E59-E70</f>
        <v>139643.451882411</v>
      </c>
      <c r="F71" s="37" t="n">
        <f aca="false">F59-F70</f>
        <v>182094.563006973</v>
      </c>
      <c r="G71" s="37" t="n">
        <f aca="false">G59-G70</f>
        <v>210372.407983359</v>
      </c>
      <c r="H71" s="37" t="n">
        <f aca="false">H59-H70</f>
        <v>235211.956586537</v>
      </c>
      <c r="I71" s="37" t="n">
        <f aca="false">I59-I70</f>
        <v>407201.378851453</v>
      </c>
      <c r="J71" s="37" t="n">
        <f aca="false">J59-J70</f>
        <v>407064.612223157</v>
      </c>
      <c r="K71" s="37" t="n">
        <f aca="false">K59-K70</f>
        <v>367192.586937483</v>
      </c>
      <c r="L71" s="37" t="n">
        <f aca="false">L59-L70</f>
        <v>379033.930729318</v>
      </c>
      <c r="M71" s="37" t="n">
        <f aca="false">M59-M70</f>
        <v>379006.991966669</v>
      </c>
      <c r="N71" s="37" t="n">
        <f aca="false">N59-N70</f>
        <v>377908.603237441</v>
      </c>
      <c r="O71" s="31" t="n">
        <f aca="false">SUM(C71:N71)</f>
        <v>3266714.07355403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0.720162588574788</v>
      </c>
      <c r="D72" s="7" t="n">
        <f aca="false">IFERROR(D71/D59,0)</f>
        <v>0.729353649757696</v>
      </c>
      <c r="E72" s="7" t="n">
        <f aca="false">IFERROR(E71/E59,0)</f>
        <v>0.750070468693193</v>
      </c>
      <c r="F72" s="7" t="n">
        <f aca="false">IFERROR(F71/F59,0)</f>
        <v>0.748455172999228</v>
      </c>
      <c r="G72" s="7" t="n">
        <f aca="false">IFERROR(G71/G59,0)</f>
        <v>0.735678005242589</v>
      </c>
      <c r="H72" s="7" t="n">
        <f aca="false">IFERROR(H71/H59,0)</f>
        <v>0.73513379305205</v>
      </c>
      <c r="I72" s="7" t="n">
        <f aca="false">IFERROR(I71/I59,0)</f>
        <v>0.861575881455103</v>
      </c>
      <c r="J72" s="7" t="n">
        <f aca="false">IFERROR(J71/J59,0)</f>
        <v>0.860043809853849</v>
      </c>
      <c r="K72" s="7" t="n">
        <f aca="false">IFERROR(K71/K59,0)</f>
        <v>0.859681096906012</v>
      </c>
      <c r="L72" s="7" t="n">
        <f aca="false">IFERROR(L71/L59,0)</f>
        <v>0.860464420523315</v>
      </c>
      <c r="M72" s="7" t="n">
        <f aca="false">IFERROR(M71/M59,0)</f>
        <v>0.860816872259116</v>
      </c>
      <c r="N72" s="7" t="n">
        <f aca="false">IFERROR(N71/N59,0)</f>
        <v>0.86142661855437</v>
      </c>
      <c r="O72" s="13" t="n">
        <f aca="false">IFERROR(O71/O59,0)</f>
        <v>0.821026226749228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1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2</v>
      </c>
      <c r="J74" s="8" t="n">
        <f aca="false">ROUNDUP(J35/(INDEX(Assumptions!$C$102:$E$102,$B$3)*$J$3),0)</f>
        <v>2</v>
      </c>
      <c r="K74" s="8" t="n">
        <f aca="false">ROUNDUP(K35/(INDEX(Assumptions!$C$102:$E$102,$B$3)*$J$3),0)</f>
        <v>2</v>
      </c>
      <c r="L74" s="8" t="n">
        <f aca="false">ROUNDUP(L35/(INDEX(Assumptions!$C$102:$E$102,$B$3)*$J$3),0)</f>
        <v>2</v>
      </c>
      <c r="M74" s="8" t="n">
        <f aca="false">ROUNDUP(M35/(INDEX(Assumptions!$C$102:$E$102,$B$3)*$J$3),0)</f>
        <v>2</v>
      </c>
      <c r="N74" s="8" t="n">
        <f aca="false">ROUNDUP(N35/(INDEX(Assumptions!$C$102:$E$102,$B$3)*$J$3),0)</f>
        <v>2</v>
      </c>
      <c r="O74" s="37" t="n">
        <f aca="false">MAX(C74:N74)</f>
        <v>2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0.0666666666666667</v>
      </c>
      <c r="D75" s="6" t="n">
        <f aca="false">D74*(1-D11)</f>
        <v>0.133333333333333</v>
      </c>
      <c r="E75" s="6" t="n">
        <f aca="false">E74*(1-E11)</f>
        <v>0.2</v>
      </c>
      <c r="F75" s="6" t="n">
        <f aca="false">F74*(1-F11)</f>
        <v>0.266666666666667</v>
      </c>
      <c r="G75" s="6" t="n">
        <f aca="false">G74*(1-G11)</f>
        <v>0.333333333333333</v>
      </c>
      <c r="H75" s="6" t="n">
        <f aca="false">H74*(1-H11)</f>
        <v>0.8</v>
      </c>
      <c r="I75" s="6" t="n">
        <f aca="false">I74*(1-I11)</f>
        <v>0.866666666666667</v>
      </c>
      <c r="J75" s="6" t="n">
        <f aca="false">J74*(1-J11)</f>
        <v>0.933333333333333</v>
      </c>
      <c r="K75" s="6" t="n">
        <f aca="false">K74*(1-K11)</f>
        <v>1</v>
      </c>
      <c r="L75" s="6" t="n">
        <f aca="false">L74*(1-L11)</f>
        <v>1.06666666666667</v>
      </c>
      <c r="M75" s="6" t="n">
        <f aca="false">M74*(1-M11)</f>
        <v>1.13333333333333</v>
      </c>
      <c r="N75" s="6" t="n">
        <f aca="false">N74*(1-N11)</f>
        <v>1.2</v>
      </c>
      <c r="O75" s="39" t="n">
        <f aca="false">MAX(C75:N75)</f>
        <v>1.2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0</v>
      </c>
      <c r="E76" s="6" t="n">
        <f aca="false">IF(3&gt;=INDEX(Assumptions!$C$161:$E$161,$D$3),INDEX(Assumptions!$C$162:$E$162,$D$3),0)</f>
        <v>0.5</v>
      </c>
      <c r="F76" s="6" t="n">
        <f aca="false">IF(4&gt;=INDEX(Assumptions!$C$161:$E$161,$D$3),INDEX(Assumptions!$C$162:$E$162,$D$3),0)</f>
        <v>0.5</v>
      </c>
      <c r="G76" s="6" t="n">
        <f aca="false">IF(5&gt;=INDEX(Assumptions!$C$161:$E$161,$D$3),INDEX(Assumptions!$C$162:$E$162,$D$3),0)</f>
        <v>0.5</v>
      </c>
      <c r="H76" s="6" t="n">
        <f aca="false">IF(6&gt;=INDEX(Assumptions!$C$161:$E$161,$D$3),INDEX(Assumptions!$C$162:$E$162,$D$3),0)</f>
        <v>0.5</v>
      </c>
      <c r="I76" s="6" t="n">
        <f aca="false">IF(7&gt;=INDEX(Assumptions!$C$161:$E$161,$D$3),INDEX(Assumptions!$C$162:$E$162,$D$3),0)</f>
        <v>0.5</v>
      </c>
      <c r="J76" s="6" t="n">
        <f aca="false">IF(8&gt;=INDEX(Assumptions!$C$161:$E$161,$D$3),INDEX(Assumptions!$C$162:$E$162,$D$3),0)</f>
        <v>0.5</v>
      </c>
      <c r="K76" s="6" t="n">
        <f aca="false">IF(9&gt;=INDEX(Assumptions!$C$161:$E$161,$D$3),INDEX(Assumptions!$C$162:$E$162,$D$3),0)</f>
        <v>0.5</v>
      </c>
      <c r="L76" s="6" t="n">
        <f aca="false">IF(10&gt;=INDEX(Assumptions!$C$161:$E$161,$D$3),INDEX(Assumptions!$C$162:$E$162,$D$3),0)</f>
        <v>0.5</v>
      </c>
      <c r="M76" s="6" t="n">
        <f aca="false">IF(11&gt;=INDEX(Assumptions!$C$161:$E$161,$D$3),INDEX(Assumptions!$C$162:$E$162,$D$3),0)</f>
        <v>0.5</v>
      </c>
      <c r="N76" s="6" t="n">
        <f aca="false">IF(12&gt;=INDEX(Assumptions!$C$161:$E$161,$D$3),INDEX(Assumptions!$C$162:$E$162,$D$3),0)</f>
        <v>0.5</v>
      </c>
      <c r="O76" s="39" t="n">
        <f aca="false">N76</f>
        <v>0.5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1</v>
      </c>
      <c r="J78" s="8" t="n">
        <f aca="false">ROUNDUP(J74/2,0)</f>
        <v>1</v>
      </c>
      <c r="K78" s="8" t="n">
        <f aca="false">ROUNDUP(K74/2,0)</f>
        <v>1</v>
      </c>
      <c r="L78" s="8" t="n">
        <f aca="false">ROUNDUP(L74/2,0)</f>
        <v>1</v>
      </c>
      <c r="M78" s="8" t="n">
        <f aca="false">ROUNDUP(M74/2,0)</f>
        <v>1</v>
      </c>
      <c r="N78" s="8" t="n">
        <f aca="false">ROUNDUP(N74/2,0)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18000</v>
      </c>
      <c r="E79" s="8" t="n">
        <f aca="false">E76*INDEX(Assumptions!$C$98:$E$98,$B$3)+E77*INDEX(Assumptions!$C$99:$E$99,$B$3)+E78*INDEX(Assumptions!$C$100:$E$100,$B$3)</f>
        <v>48000</v>
      </c>
      <c r="F79" s="8" t="n">
        <f aca="false">F76*INDEX(Assumptions!$C$98:$E$98,$B$3)+F77*INDEX(Assumptions!$C$99:$E$99,$B$3)+F78*INDEX(Assumptions!$C$100:$E$100,$B$3)</f>
        <v>48000</v>
      </c>
      <c r="G79" s="8" t="n">
        <f aca="false">G76*INDEX(Assumptions!$C$98:$E$98,$B$3)+G77*INDEX(Assumptions!$C$99:$E$99,$B$3)+G78*INDEX(Assumptions!$C$100:$E$100,$B$3)</f>
        <v>48000</v>
      </c>
      <c r="H79" s="8" t="n">
        <f aca="false">H76*INDEX(Assumptions!$C$98:$E$98,$B$3)+H77*INDEX(Assumptions!$C$99:$E$99,$B$3)+H78*INDEX(Assumptions!$C$100:$E$100,$B$3)</f>
        <v>48000</v>
      </c>
      <c r="I79" s="8" t="n">
        <f aca="false">I76*INDEX(Assumptions!$C$98:$E$98,$B$3)+I77*INDEX(Assumptions!$C$99:$E$99,$B$3)+I78*INDEX(Assumptions!$C$100:$E$100,$B$3)</f>
        <v>48000</v>
      </c>
      <c r="J79" s="8" t="n">
        <f aca="false">J76*INDEX(Assumptions!$C$98:$E$98,$B$3)+J77*INDEX(Assumptions!$C$99:$E$99,$B$3)+J78*INDEX(Assumptions!$C$100:$E$100,$B$3)</f>
        <v>48000</v>
      </c>
      <c r="K79" s="8" t="n">
        <f aca="false">K76*INDEX(Assumptions!$C$98:$E$98,$B$3)+K77*INDEX(Assumptions!$C$99:$E$99,$B$3)+K78*INDEX(Assumptions!$C$100:$E$100,$B$3)</f>
        <v>48000</v>
      </c>
      <c r="L79" s="8" t="n">
        <f aca="false">L76*INDEX(Assumptions!$C$98:$E$98,$B$3)+L77*INDEX(Assumptions!$C$99:$E$99,$B$3)+L78*INDEX(Assumptions!$C$100:$E$100,$B$3)</f>
        <v>48000</v>
      </c>
      <c r="M79" s="8" t="n">
        <f aca="false">M76*INDEX(Assumptions!$C$98:$E$98,$B$3)+M77*INDEX(Assumptions!$C$99:$E$99,$B$3)+M78*INDEX(Assumptions!$C$100:$E$100,$B$3)</f>
        <v>48000</v>
      </c>
      <c r="N79" s="8" t="n">
        <f aca="false">N76*INDEX(Assumptions!$C$98:$E$98,$B$3)+N77*INDEX(Assumptions!$C$99:$E$99,$B$3)+N78*INDEX(Assumptions!$C$100:$E$100,$B$3)</f>
        <v>48000</v>
      </c>
      <c r="O79" s="37" t="n">
        <f aca="false">SUM(C79:N79)</f>
        <v>516000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0</v>
      </c>
      <c r="D80" s="8" t="n">
        <f aca="false">(IF(2&gt;=INDEX(Assumptions!$C$164:$E$164,$D$3),1,0)+IF(2&gt;=INDEX(Assumptions!$C$166:$E$166,$D$3),INDEX(Assumptions!$C$165:$E$165,$D$3),0))*INDEX(Assumptions!$C$108:$E$108,$D$3)</f>
        <v>0</v>
      </c>
      <c r="E80" s="8" t="n">
        <f aca="false">(IF(3&gt;=INDEX(Assumptions!$C$164:$E$164,$D$3),1,0)+IF(3&gt;=INDEX(Assumptions!$C$166:$E$166,$D$3),INDEX(Assumptions!$C$165:$E$165,$D$3),0))*INDEX(Assumptions!$C$108:$E$108,$D$3)</f>
        <v>20000</v>
      </c>
      <c r="F80" s="8" t="n">
        <f aca="false">(IF(4&gt;=INDEX(Assumptions!$C$164:$E$164,$D$3),1,0)+IF(4&gt;=INDEX(Assumptions!$C$166:$E$166,$D$3),INDEX(Assumptions!$C$165:$E$165,$D$3),0))*INDEX(Assumptions!$C$108:$E$108,$D$3)</f>
        <v>20000</v>
      </c>
      <c r="G80" s="8" t="n">
        <f aca="false">(IF(5&gt;=INDEX(Assumptions!$C$164:$E$164,$D$3),1,0)+IF(5&gt;=INDEX(Assumptions!$C$166:$E$166,$D$3),INDEX(Assumptions!$C$165:$E$165,$D$3),0))*INDEX(Assumptions!$C$108:$E$108,$D$3)</f>
        <v>20000</v>
      </c>
      <c r="H80" s="8" t="n">
        <f aca="false">(IF(6&gt;=INDEX(Assumptions!$C$164:$E$164,$D$3),1,0)+IF(6&gt;=INDEX(Assumptions!$C$166:$E$166,$D$3),INDEX(Assumptions!$C$165:$E$165,$D$3),0))*INDEX(Assumptions!$C$108:$E$108,$D$3)</f>
        <v>20000</v>
      </c>
      <c r="I80" s="8" t="n">
        <f aca="false">(IF(7&gt;=INDEX(Assumptions!$C$164:$E$164,$D$3),1,0)+IF(7&gt;=INDEX(Assumptions!$C$166:$E$166,$D$3),INDEX(Assumptions!$C$165:$E$165,$D$3),0))*INDEX(Assumptions!$C$108:$E$108,$D$3)</f>
        <v>20000</v>
      </c>
      <c r="J80" s="8" t="n">
        <f aca="false">(IF(8&gt;=INDEX(Assumptions!$C$164:$E$164,$D$3),1,0)+IF(8&gt;=INDEX(Assumptions!$C$166:$E$166,$D$3),INDEX(Assumptions!$C$165:$E$165,$D$3),0))*INDEX(Assumptions!$C$108:$E$108,$D$3)</f>
        <v>20000</v>
      </c>
      <c r="K80" s="8" t="n">
        <f aca="false">(IF(9&gt;=INDEX(Assumptions!$C$164:$E$164,$D$3),1,0)+IF(9&gt;=INDEX(Assumptions!$C$166:$E$166,$D$3),INDEX(Assumptions!$C$165:$E$165,$D$3),0))*INDEX(Assumptions!$C$108:$E$108,$D$3)</f>
        <v>20000</v>
      </c>
      <c r="L80" s="8" t="n">
        <f aca="false">(IF(10&gt;=INDEX(Assumptions!$C$164:$E$164,$D$3),1,0)+IF(10&gt;=INDEX(Assumptions!$C$166:$E$166,$D$3),INDEX(Assumptions!$C$165:$E$165,$D$3),0))*INDEX(Assumptions!$C$108:$E$108,$D$3)</f>
        <v>20000</v>
      </c>
      <c r="M80" s="8" t="n">
        <f aca="false">(IF(11&gt;=INDEX(Assumptions!$C$164:$E$164,$D$3),1,0)+IF(11&gt;=INDEX(Assumptions!$C$166:$E$166,$D$3),INDEX(Assumptions!$C$165:$E$165,$D$3),0))*INDEX(Assumptions!$C$108:$E$108,$D$3)</f>
        <v>20000</v>
      </c>
      <c r="N80" s="8" t="n">
        <f aca="false">(IF(12&gt;=INDEX(Assumptions!$C$164:$E$164,$D$3),1,0)+IF(12&gt;=INDEX(Assumptions!$C$166:$E$166,$D$3),INDEX(Assumptions!$C$165:$E$165,$D$3),0))*INDEX(Assumptions!$C$108:$E$108,$D$3)</f>
        <v>20000</v>
      </c>
      <c r="O80" s="37" t="n">
        <f aca="false">SUM(C80:N80)</f>
        <v>200000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12000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12000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12000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12000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12000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12000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12000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12000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12000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12000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12000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12000</v>
      </c>
      <c r="O81" s="37" t="n">
        <f aca="false">SUM(C81:N81)</f>
        <v>144000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0</v>
      </c>
      <c r="J82" s="8" t="n">
        <f aca="false">IF(8&gt;=INDEX(Assumptions!$C$173:$E$173,$D$3),INDEX(Assumptions!$C$185:$E$185,$D$3),0)</f>
        <v>0</v>
      </c>
      <c r="K82" s="8" t="n">
        <f aca="false">IF(9&gt;=INDEX(Assumptions!$C$173:$E$173,$D$3),INDEX(Assumptions!$C$185:$E$185,$D$3),0)</f>
        <v>0</v>
      </c>
      <c r="L82" s="8" t="n">
        <f aca="false">IF(10&gt;=INDEX(Assumptions!$C$173:$E$173,$D$3),INDEX(Assumptions!$C$185:$E$185,$D$3),0)</f>
        <v>0</v>
      </c>
      <c r="M82" s="8" t="n">
        <f aca="false">IF(11&gt;=INDEX(Assumptions!$C$173:$E$173,$D$3),INDEX(Assumptions!$C$185:$E$185,$D$3),0)</f>
        <v>0</v>
      </c>
      <c r="N82" s="8" t="n">
        <f aca="false">IF(12&gt;=INDEX(Assumptions!$C$173:$E$173,$D$3),INDEX(Assumptions!$C$185:$E$185,$D$3),0)</f>
        <v>0</v>
      </c>
      <c r="O82" s="37" t="n">
        <f aca="false">SUM(C82:N82)</f>
        <v>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30000</v>
      </c>
      <c r="D84" s="37" t="n">
        <f aca="false">SUM(D79:D83)</f>
        <v>30000</v>
      </c>
      <c r="E84" s="37" t="n">
        <f aca="false">SUM(E79:E83)</f>
        <v>80000</v>
      </c>
      <c r="F84" s="37" t="n">
        <f aca="false">SUM(F79:F83)</f>
        <v>80000</v>
      </c>
      <c r="G84" s="37" t="n">
        <f aca="false">SUM(G79:G83)</f>
        <v>80000</v>
      </c>
      <c r="H84" s="37" t="n">
        <f aca="false">SUM(H79:H83)</f>
        <v>80000</v>
      </c>
      <c r="I84" s="37" t="n">
        <f aca="false">SUM(I79:I83)</f>
        <v>80000</v>
      </c>
      <c r="J84" s="37" t="n">
        <f aca="false">SUM(J79:J83)</f>
        <v>80000</v>
      </c>
      <c r="K84" s="37" t="n">
        <f aca="false">SUM(K79:K83)</f>
        <v>80000</v>
      </c>
      <c r="L84" s="37" t="n">
        <f aca="false">SUM(L79:L83)</f>
        <v>80000</v>
      </c>
      <c r="M84" s="37" t="n">
        <f aca="false">SUM(M79:M83)</f>
        <v>80000</v>
      </c>
      <c r="N84" s="37" t="n">
        <f aca="false">SUM(N79:N83)</f>
        <v>80000</v>
      </c>
      <c r="O84" s="31" t="n">
        <f aca="false">SUM(C84:N84)</f>
        <v>860000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35000</v>
      </c>
      <c r="J86" s="8" t="n">
        <f aca="false">IF(8&gt;=INDEX(Assumptions!$C$173:$E$173,$D$3),INDEX(Assumptions!$C$174:$E$174,$D$3)*INDEX(Assumptions!$C$175:$E$175,$B$3),INDEX(Assumptions!$C$179:$E$179,$B$3))*$F$4</f>
        <v>35000</v>
      </c>
      <c r="K86" s="8" t="n">
        <f aca="false">IF(9&gt;=INDEX(Assumptions!$C$173:$E$173,$D$3),INDEX(Assumptions!$C$174:$E$174,$D$3)*INDEX(Assumptions!$C$175:$E$175,$B$3),INDEX(Assumptions!$C$179:$E$179,$B$3))*$F$4</f>
        <v>35000</v>
      </c>
      <c r="L86" s="8" t="n">
        <f aca="false">IF(10&gt;=INDEX(Assumptions!$C$173:$E$173,$D$3),INDEX(Assumptions!$C$174:$E$174,$D$3)*INDEX(Assumptions!$C$175:$E$175,$B$3),INDEX(Assumptions!$C$179:$E$179,$B$3))*$F$4</f>
        <v>35000</v>
      </c>
      <c r="M86" s="8" t="n">
        <f aca="false">IF(11&gt;=INDEX(Assumptions!$C$173:$E$173,$D$3),INDEX(Assumptions!$C$174:$E$174,$D$3)*INDEX(Assumptions!$C$175:$E$175,$B$3),INDEX(Assumptions!$C$179:$E$179,$B$3))*$F$4</f>
        <v>35000</v>
      </c>
      <c r="N86" s="8" t="n">
        <f aca="false">IF(12&gt;=INDEX(Assumptions!$C$173:$E$173,$D$3),INDEX(Assumptions!$C$174:$E$174,$D$3)*INDEX(Assumptions!$C$175:$E$175,$B$3),INDEX(Assumptions!$C$179:$E$179,$B$3))*$F$4</f>
        <v>35000</v>
      </c>
      <c r="O86" s="37" t="n">
        <f aca="false">SUM(C86:N86)</f>
        <v>420000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10000</v>
      </c>
      <c r="J87" s="8" t="n">
        <f aca="false">IF(8&gt;=INDEX(Assumptions!$C$173:$E$173,$D$3),INDEX(Assumptions!$C$174:$E$174,$D$3)*INDEX(Assumptions!$C$181:$E$181,$B$3),INDEX(Assumptions!$C$180:$E$180,$B$3))</f>
        <v>10000</v>
      </c>
      <c r="K87" s="8" t="n">
        <f aca="false">IF(9&gt;=INDEX(Assumptions!$C$173:$E$173,$D$3),INDEX(Assumptions!$C$174:$E$174,$D$3)*INDEX(Assumptions!$C$181:$E$181,$B$3),INDEX(Assumptions!$C$180:$E$180,$B$3))</f>
        <v>10000</v>
      </c>
      <c r="L87" s="8" t="n">
        <f aca="false">IF(10&gt;=INDEX(Assumptions!$C$173:$E$173,$D$3),INDEX(Assumptions!$C$174:$E$174,$D$3)*INDEX(Assumptions!$C$181:$E$181,$B$3),INDEX(Assumptions!$C$180:$E$180,$B$3))</f>
        <v>10000</v>
      </c>
      <c r="M87" s="8" t="n">
        <f aca="false">IF(11&gt;=INDEX(Assumptions!$C$173:$E$173,$D$3),INDEX(Assumptions!$C$174:$E$174,$D$3)*INDEX(Assumptions!$C$181:$E$181,$B$3),INDEX(Assumptions!$C$180:$E$180,$B$3))</f>
        <v>10000</v>
      </c>
      <c r="N87" s="8" t="n">
        <f aca="false">IF(12&gt;=INDEX(Assumptions!$C$173:$E$173,$D$3),INDEX(Assumptions!$C$174:$E$174,$D$3)*INDEX(Assumptions!$C$181:$E$181,$B$3),INDEX(Assumptions!$C$180:$E$180,$B$3))</f>
        <v>10000</v>
      </c>
      <c r="O87" s="37" t="n">
        <f aca="false">SUM(C87:N87)</f>
        <v>120000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8000</v>
      </c>
      <c r="D88" s="8" t="n">
        <f aca="false">INDEX(Assumptions!$C$107:$E$107,$D$3)+IF(2&gt;=INDEX(Assumptions!$C$189:$E$189,$D$3)-1,INDEX(Assumptions!$C$188:$E$188,$D$3),0)</f>
        <v>8000</v>
      </c>
      <c r="E88" s="8" t="n">
        <f aca="false">INDEX(Assumptions!$C$107:$E$107,$D$3)+IF(3&gt;=INDEX(Assumptions!$C$189:$E$189,$D$3)-1,INDEX(Assumptions!$C$188:$E$188,$D$3),0)</f>
        <v>8000</v>
      </c>
      <c r="F88" s="8" t="n">
        <f aca="false">INDEX(Assumptions!$C$107:$E$107,$D$3)+IF(4&gt;=INDEX(Assumptions!$C$189:$E$189,$D$3)-1,INDEX(Assumptions!$C$188:$E$188,$D$3),0)</f>
        <v>8000</v>
      </c>
      <c r="G88" s="8" t="n">
        <f aca="false">INDEX(Assumptions!$C$107:$E$107,$D$3)+IF(5&gt;=INDEX(Assumptions!$C$189:$E$189,$D$3)-1,INDEX(Assumptions!$C$188:$E$188,$D$3),0)</f>
        <v>8000</v>
      </c>
      <c r="H88" s="8" t="n">
        <f aca="false">INDEX(Assumptions!$C$107:$E$107,$D$3)+IF(6&gt;=INDEX(Assumptions!$C$189:$E$189,$D$3)-1,INDEX(Assumptions!$C$188:$E$188,$D$3),0)</f>
        <v>8000</v>
      </c>
      <c r="I88" s="8" t="n">
        <f aca="false">INDEX(Assumptions!$C$107:$E$107,$D$3)+IF(7&gt;=INDEX(Assumptions!$C$189:$E$189,$D$3)-1,INDEX(Assumptions!$C$188:$E$188,$D$3),0)</f>
        <v>8000</v>
      </c>
      <c r="J88" s="8" t="n">
        <f aca="false">INDEX(Assumptions!$C$107:$E$107,$D$3)+IF(8&gt;=INDEX(Assumptions!$C$189:$E$189,$D$3)-1,INDEX(Assumptions!$C$188:$E$188,$D$3),0)</f>
        <v>8000</v>
      </c>
      <c r="K88" s="8" t="n">
        <f aca="false">INDEX(Assumptions!$C$107:$E$107,$D$3)+IF(9&gt;=INDEX(Assumptions!$C$189:$E$189,$D$3)-1,INDEX(Assumptions!$C$188:$E$188,$D$3),0)</f>
        <v>8000</v>
      </c>
      <c r="L88" s="8" t="n">
        <f aca="false">INDEX(Assumptions!$C$107:$E$107,$D$3)+IF(10&gt;=INDEX(Assumptions!$C$189:$E$189,$D$3)-1,INDEX(Assumptions!$C$188:$E$188,$D$3),0)</f>
        <v>8000</v>
      </c>
      <c r="M88" s="8" t="n">
        <f aca="false">INDEX(Assumptions!$C$107:$E$107,$D$3)+IF(11&gt;=INDEX(Assumptions!$C$189:$E$189,$D$3)-1,INDEX(Assumptions!$C$188:$E$188,$D$3),0)</f>
        <v>8000</v>
      </c>
      <c r="N88" s="8" t="n">
        <f aca="false">INDEX(Assumptions!$C$107:$E$107,$D$3)+IF(12&gt;=INDEX(Assumptions!$C$189:$E$189,$D$3)-1,INDEX(Assumptions!$C$188:$E$188,$D$3),0)</f>
        <v>8000</v>
      </c>
      <c r="O88" s="37" t="n">
        <f aca="false">SUM(C88:N88)</f>
        <v>96000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10000</v>
      </c>
      <c r="D89" s="8" t="n">
        <f aca="false">D17</f>
        <v>25000</v>
      </c>
      <c r="E89" s="8" t="n">
        <f aca="false">E17</f>
        <v>30000</v>
      </c>
      <c r="F89" s="8" t="n">
        <f aca="false">F17</f>
        <v>35000</v>
      </c>
      <c r="G89" s="8" t="n">
        <f aca="false">G17</f>
        <v>40000</v>
      </c>
      <c r="H89" s="8" t="n">
        <f aca="false">H17</f>
        <v>40000</v>
      </c>
      <c r="I89" s="8" t="n">
        <f aca="false">I17</f>
        <v>40000</v>
      </c>
      <c r="J89" s="8" t="n">
        <f aca="false">J17</f>
        <v>40000</v>
      </c>
      <c r="K89" s="8" t="n">
        <f aca="false">K17</f>
        <v>40000</v>
      </c>
      <c r="L89" s="8" t="n">
        <f aca="false">L17</f>
        <v>40000</v>
      </c>
      <c r="M89" s="8" t="n">
        <f aca="false">M17</f>
        <v>40000</v>
      </c>
      <c r="N89" s="8" t="n">
        <f aca="false">N17</f>
        <v>40000</v>
      </c>
      <c r="O89" s="37" t="n">
        <f aca="false">SUM(C89:N89)</f>
        <v>420000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3333</v>
      </c>
      <c r="D90" s="8" t="n">
        <f aca="false">INDEX(Assumptions!$C$170:$E$170,$D$3)</f>
        <v>3333</v>
      </c>
      <c r="E90" s="8" t="n">
        <f aca="false">INDEX(Assumptions!$C$170:$E$170,$D$3)</f>
        <v>3333</v>
      </c>
      <c r="F90" s="8" t="n">
        <f aca="false">INDEX(Assumptions!$C$170:$E$170,$D$3)</f>
        <v>3333</v>
      </c>
      <c r="G90" s="8" t="n">
        <f aca="false">INDEX(Assumptions!$C$170:$E$170,$D$3)</f>
        <v>3333</v>
      </c>
      <c r="H90" s="8" t="n">
        <f aca="false">INDEX(Assumptions!$C$170:$E$170,$D$3)</f>
        <v>3333</v>
      </c>
      <c r="I90" s="8" t="n">
        <f aca="false">INDEX(Assumptions!$C$170:$E$170,$D$3)</f>
        <v>3333</v>
      </c>
      <c r="J90" s="8" t="n">
        <f aca="false">INDEX(Assumptions!$C$170:$E$170,$D$3)</f>
        <v>3333</v>
      </c>
      <c r="K90" s="8" t="n">
        <f aca="false">INDEX(Assumptions!$C$170:$E$170,$D$3)</f>
        <v>3333</v>
      </c>
      <c r="L90" s="8" t="n">
        <f aca="false">INDEX(Assumptions!$C$170:$E$170,$D$3)</f>
        <v>3333</v>
      </c>
      <c r="M90" s="8" t="n">
        <f aca="false">INDEX(Assumptions!$C$170:$E$170,$D$3)</f>
        <v>3333</v>
      </c>
      <c r="N90" s="8" t="n">
        <f aca="false">INDEX(Assumptions!$C$170:$E$170,$D$3)</f>
        <v>3333</v>
      </c>
      <c r="O90" s="37" t="n">
        <f aca="false">SUM(C90:N90)</f>
        <v>39996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12000</v>
      </c>
      <c r="D91" s="8" t="n">
        <f aca="false">INDEX(Assumptions!$C$195:$E$195,$D$3)</f>
        <v>12000</v>
      </c>
      <c r="E91" s="8" t="n">
        <f aca="false">INDEX(Assumptions!$C$195:$E$195,$D$3)</f>
        <v>12000</v>
      </c>
      <c r="F91" s="8" t="n">
        <f aca="false">INDEX(Assumptions!$C$195:$E$195,$D$3)</f>
        <v>12000</v>
      </c>
      <c r="G91" s="8" t="n">
        <f aca="false">INDEX(Assumptions!$C$195:$E$195,$D$3)</f>
        <v>12000</v>
      </c>
      <c r="H91" s="8" t="n">
        <f aca="false">INDEX(Assumptions!$C$195:$E$195,$D$3)</f>
        <v>12000</v>
      </c>
      <c r="I91" s="8" t="n">
        <f aca="false">INDEX(Assumptions!$C$195:$E$195,$D$3)</f>
        <v>12000</v>
      </c>
      <c r="J91" s="8" t="n">
        <f aca="false">INDEX(Assumptions!$C$195:$E$195,$D$3)</f>
        <v>12000</v>
      </c>
      <c r="K91" s="8" t="n">
        <f aca="false">INDEX(Assumptions!$C$195:$E$195,$D$3)</f>
        <v>12000</v>
      </c>
      <c r="L91" s="8" t="n">
        <f aca="false">INDEX(Assumptions!$C$195:$E$195,$D$3)</f>
        <v>12000</v>
      </c>
      <c r="M91" s="8" t="n">
        <f aca="false">INDEX(Assumptions!$C$195:$E$195,$D$3)</f>
        <v>12000</v>
      </c>
      <c r="N91" s="8" t="n">
        <f aca="false">INDEX(Assumptions!$C$195:$E$195,$D$3)</f>
        <v>12000</v>
      </c>
      <c r="O91" s="37" t="n">
        <f aca="false">SUM(C91:N91)</f>
        <v>144000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50000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100000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158333</v>
      </c>
      <c r="D93" s="37" t="n">
        <f aca="false">D84+SUM(D86:D92)</f>
        <v>123333</v>
      </c>
      <c r="E93" s="37" t="n">
        <f aca="false">E84+SUM(E86:E92)</f>
        <v>228333</v>
      </c>
      <c r="F93" s="37" t="n">
        <f aca="false">F84+SUM(F86:F92)</f>
        <v>183333</v>
      </c>
      <c r="G93" s="37" t="n">
        <f aca="false">G84+SUM(G86:G92)</f>
        <v>188333</v>
      </c>
      <c r="H93" s="37" t="n">
        <f aca="false">H84+SUM(H86:H92)</f>
        <v>188333</v>
      </c>
      <c r="I93" s="37" t="n">
        <f aca="false">I84+SUM(I86:I92)</f>
        <v>188333</v>
      </c>
      <c r="J93" s="37" t="n">
        <f aca="false">J84+SUM(J86:J92)</f>
        <v>188333</v>
      </c>
      <c r="K93" s="37" t="n">
        <f aca="false">K84+SUM(K86:K92)</f>
        <v>188333</v>
      </c>
      <c r="L93" s="37" t="n">
        <f aca="false">L84+SUM(L86:L92)</f>
        <v>188333</v>
      </c>
      <c r="M93" s="37" t="n">
        <f aca="false">M84+SUM(M86:M92)</f>
        <v>188333</v>
      </c>
      <c r="N93" s="37" t="n">
        <f aca="false">N84+SUM(N86:N92)</f>
        <v>188333</v>
      </c>
      <c r="O93" s="31" t="n">
        <f aca="false">SUM(C93:N93)</f>
        <v>2199996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-79650.2551976765</v>
      </c>
      <c r="D94" s="37" t="n">
        <f aca="false">D71-D93</f>
        <v>-20032.1546530937</v>
      </c>
      <c r="E94" s="37" t="n">
        <f aca="false">E71-E93</f>
        <v>-88689.548117589</v>
      </c>
      <c r="F94" s="37" t="n">
        <f aca="false">F71-F93</f>
        <v>-1238.43699302748</v>
      </c>
      <c r="G94" s="37" t="n">
        <f aca="false">G71-G93</f>
        <v>22039.4079833587</v>
      </c>
      <c r="H94" s="37" t="n">
        <f aca="false">H71-H93</f>
        <v>46878.9565865374</v>
      </c>
      <c r="I94" s="37" t="n">
        <f aca="false">I71-I93</f>
        <v>218868.378851453</v>
      </c>
      <c r="J94" s="37" t="n">
        <f aca="false">J71-J93</f>
        <v>218731.612223157</v>
      </c>
      <c r="K94" s="37" t="n">
        <f aca="false">K71-K93</f>
        <v>178859.586937483</v>
      </c>
      <c r="L94" s="37" t="n">
        <f aca="false">L71-L93</f>
        <v>190700.930729318</v>
      </c>
      <c r="M94" s="37" t="n">
        <f aca="false">M71-M93</f>
        <v>190673.991966669</v>
      </c>
      <c r="N94" s="37" t="n">
        <f aca="false">N71-N93</f>
        <v>189575.603237441</v>
      </c>
      <c r="O94" s="31" t="n">
        <f aca="false">SUM(C94:N94)</f>
        <v>1066718.07355403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-0.729017958231006</v>
      </c>
      <c r="D95" s="7" t="n">
        <f aca="false">IFERROR(D94/D59,0)</f>
        <v>-0.141436646134688</v>
      </c>
      <c r="E95" s="7" t="n">
        <f aca="false">IFERROR(E94/E59,0)</f>
        <v>-0.476380453419073</v>
      </c>
      <c r="F95" s="7" t="n">
        <f aca="false">IFERROR(F94/F59,0)</f>
        <v>-0.00509029242037027</v>
      </c>
      <c r="G95" s="7" t="n">
        <f aca="false">IFERROR(G94/G59,0)</f>
        <v>0.0770724062977285</v>
      </c>
      <c r="H95" s="7" t="n">
        <f aca="false">IFERROR(H94/H59,0)</f>
        <v>0.1465159580742</v>
      </c>
      <c r="I95" s="7" t="n">
        <f aca="false">IFERROR(I94/I59,0)</f>
        <v>0.463092038056141</v>
      </c>
      <c r="J95" s="7" t="n">
        <f aca="false">IFERROR(J94/J59,0)</f>
        <v>0.462134912893755</v>
      </c>
      <c r="K95" s="7" t="n">
        <f aca="false">IFERROR(K94/K59,0)</f>
        <v>0.418750844544557</v>
      </c>
      <c r="L95" s="7" t="n">
        <f aca="false">IFERROR(L94/L59,0)</f>
        <v>0.432919990929369</v>
      </c>
      <c r="M95" s="7" t="n">
        <f aca="false">IFERROR(M94/M59,0)</f>
        <v>0.433066916613354</v>
      </c>
      <c r="N95" s="7" t="n">
        <f aca="false">IFERROR(N94/N59,0)</f>
        <v>0.432129539942303</v>
      </c>
      <c r="O95" s="7" t="n">
        <f aca="false">IFERROR(O94/O59,0)</f>
        <v>0.268099226077181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-154650.255197677</v>
      </c>
      <c r="D96" s="8" t="n">
        <f aca="false">D94-INDEX(Assumptions!$C$163:$E$163,$B$3)</f>
        <v>-95032.1546530937</v>
      </c>
      <c r="E96" s="8" t="n">
        <f aca="false">E94-INDEX(Assumptions!$C$163:$E$163,$B$3)</f>
        <v>-163689.548117589</v>
      </c>
      <c r="F96" s="8" t="n">
        <f aca="false">F94-INDEX(Assumptions!$C$163:$E$163,$B$3)</f>
        <v>-76238.4369930275</v>
      </c>
      <c r="G96" s="8" t="n">
        <f aca="false">G94-INDEX(Assumptions!$C$163:$E$163,$B$3)</f>
        <v>-52960.5920166413</v>
      </c>
      <c r="H96" s="8" t="n">
        <f aca="false">H94-INDEX(Assumptions!$C$163:$E$163,$B$3)</f>
        <v>-28121.0434134626</v>
      </c>
      <c r="I96" s="8" t="n">
        <f aca="false">I94-INDEX(Assumptions!$C$163:$E$163,$B$3)</f>
        <v>143868.378851453</v>
      </c>
      <c r="J96" s="8" t="n">
        <f aca="false">J94-INDEX(Assumptions!$C$163:$E$163,$B$3)</f>
        <v>143731.612223157</v>
      </c>
      <c r="K96" s="8" t="n">
        <f aca="false">K94-INDEX(Assumptions!$C$163:$E$163,$B$3)</f>
        <v>103859.586937483</v>
      </c>
      <c r="L96" s="8" t="n">
        <f aca="false">L94-INDEX(Assumptions!$C$163:$E$163,$B$3)</f>
        <v>115700.930729318</v>
      </c>
      <c r="M96" s="8" t="n">
        <f aca="false">M94-INDEX(Assumptions!$C$163:$E$163,$B$3)</f>
        <v>115673.991966669</v>
      </c>
      <c r="N96" s="8" t="n">
        <f aca="false">N94-INDEX(Assumptions!$C$163:$E$163,$B$3)</f>
        <v>114575.603237441</v>
      </c>
      <c r="O96" s="37" t="n">
        <f aca="false">SUM(C96:N96)</f>
        <v>166718.073554029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0</v>
      </c>
      <c r="I103" s="37" t="n">
        <f aca="false">SUM(I98:I102)</f>
        <v>0</v>
      </c>
      <c r="J103" s="37" t="n">
        <f aca="false">SUM(J98:J102)</f>
        <v>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50000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-9015.18432203391</v>
      </c>
      <c r="E104" s="8" t="n">
        <f aca="false">((E60+IF(INDEX(Assumptions!$C$87:$E$87,$B$3)&gt;=2,D60,0)+IF(INDEX(Assumptions!$C$87:$E$87,$B$3)&gt;=3,C60,0))/INDEX(Assumptions!$C$87:$E$87,$B$3))-E60</f>
        <v>-5998.28665254237</v>
      </c>
      <c r="F104" s="8" t="n">
        <f aca="false">((F60+IF(INDEX(Assumptions!$C$87:$E$87,$B$3)&gt;=2,E60,0)+IF(INDEX(Assumptions!$C$87:$E$87,$B$3)&gt;=3,D60,0))/INDEX(Assumptions!$C$87:$E$87,$B$3))-F60</f>
        <v>-18441.3478389831</v>
      </c>
      <c r="G104" s="8" t="n">
        <f aca="false">((G60+IF(INDEX(Assumptions!$C$87:$E$87,$B$3)&gt;=2,F60,0)+IF(INDEX(Assumptions!$C$87:$E$87,$B$3)&gt;=3,E60,0))/INDEX(Assumptions!$C$87:$E$87,$B$3))-G60</f>
        <v>-21759.9269491526</v>
      </c>
      <c r="H104" s="8" t="n">
        <f aca="false">((H60+IF(INDEX(Assumptions!$C$87:$E$87,$B$3)&gt;=2,G60,0)+IF(INDEX(Assumptions!$C$87:$E$87,$B$3)&gt;=3,F60,0))/INDEX(Assumptions!$C$87:$E$87,$B$3))-H60</f>
        <v>-11245.5084745763</v>
      </c>
      <c r="I104" s="8" t="n">
        <f aca="false">((I60+IF(INDEX(Assumptions!$C$87:$E$87,$B$3)&gt;=2,H60,0)+IF(INDEX(Assumptions!$C$87:$E$87,$B$3)&gt;=3,G60,0))/INDEX(Assumptions!$C$87:$E$87,$B$3))-I60</f>
        <v>-68441.5254237289</v>
      </c>
      <c r="J104" s="8" t="n">
        <f aca="false">((J60+IF(INDEX(Assumptions!$C$87:$E$87,$B$3)&gt;=2,I60,0)+IF(INDEX(Assumptions!$C$87:$E$87,$B$3)&gt;=3,H60,0))/INDEX(Assumptions!$C$87:$E$87,$B$3))-J60</f>
        <v>5256.87183469517</v>
      </c>
      <c r="K104" s="8" t="n">
        <f aca="false">((K60+IF(INDEX(Assumptions!$C$87:$E$87,$B$3)&gt;=2,J60,0)+IF(INDEX(Assumptions!$C$87:$E$87,$B$3)&gt;=3,I60,0))/INDEX(Assumptions!$C$87:$E$87,$B$3))-K60</f>
        <v>22691.5774890745</v>
      </c>
      <c r="L104" s="8" t="n">
        <f aca="false">((L60+IF(INDEX(Assumptions!$C$87:$E$87,$B$3)&gt;=2,K60,0)+IF(INDEX(Assumptions!$C$87:$E$87,$B$3)&gt;=3,J60,0))/INDEX(Assumptions!$C$87:$E$87,$B$3))-L60</f>
        <v>-2677.36729671626</v>
      </c>
      <c r="M104" s="8" t="n">
        <f aca="false">((M60+IF(INDEX(Assumptions!$C$87:$E$87,$B$3)&gt;=2,L60,0)+IF(INDEX(Assumptions!$C$87:$E$87,$B$3)&gt;=3,K60,0))/INDEX(Assumptions!$C$87:$E$87,$B$3))-M60</f>
        <v>6306.22305769235</v>
      </c>
      <c r="N104" s="8" t="n">
        <f aca="false">((N60+IF(INDEX(Assumptions!$C$87:$E$87,$B$3)&gt;=2,M60,0)+IF(INDEX(Assumptions!$C$87:$E$87,$B$3)&gt;=3,L60,0))/INDEX(Assumptions!$C$87:$E$87,$B$3))-N60</f>
        <v>6993.76271186443</v>
      </c>
      <c r="O104" s="37" t="n">
        <f aca="false">SUM(C104:N104)</f>
        <v>-140364.610169492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-173684.153502761</v>
      </c>
      <c r="D105" s="37" t="n">
        <f aca="false">D94+D104-D103</f>
        <v>-29047.3389751276</v>
      </c>
      <c r="E105" s="37" t="n">
        <f aca="false">E94+E104-E103</f>
        <v>-94687.8347701314</v>
      </c>
      <c r="F105" s="37" t="n">
        <f aca="false">F94+F104-F103</f>
        <v>-19679.7848320105</v>
      </c>
      <c r="G105" s="37" t="n">
        <f aca="false">G94+G104-G103</f>
        <v>279.481034206139</v>
      </c>
      <c r="H105" s="37" t="n">
        <f aca="false">H94+H104-H103</f>
        <v>35633.4481119611</v>
      </c>
      <c r="I105" s="37" t="n">
        <f aca="false">I94+I104-I103</f>
        <v>150426.853427724</v>
      </c>
      <c r="J105" s="37" t="n">
        <f aca="false">J94+J104-J103</f>
        <v>223988.484057852</v>
      </c>
      <c r="K105" s="37" t="n">
        <f aca="false">K94+K104-K103</f>
        <v>201551.164426557</v>
      </c>
      <c r="L105" s="37" t="n">
        <f aca="false">L94+L104-L103</f>
        <v>188023.563432602</v>
      </c>
      <c r="M105" s="37" t="n">
        <f aca="false">M94+M104-M103</f>
        <v>196980.215024361</v>
      </c>
      <c r="N105" s="37" t="n">
        <f aca="false">N94+N104-N103</f>
        <v>196569.365949305</v>
      </c>
      <c r="O105" s="31" t="n">
        <f aca="false">SUM(C105:N105)</f>
        <v>876353.463384538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-173684.153502761</v>
      </c>
      <c r="D106" s="37" t="n">
        <f aca="false">C106+D105</f>
        <v>-202731.492477889</v>
      </c>
      <c r="E106" s="37" t="n">
        <f aca="false">D106+E105</f>
        <v>-297419.32724802</v>
      </c>
      <c r="F106" s="37" t="n">
        <f aca="false">E106+F105</f>
        <v>-317099.112080031</v>
      </c>
      <c r="G106" s="37" t="n">
        <f aca="false">F106+G105</f>
        <v>-316819.631045825</v>
      </c>
      <c r="H106" s="37" t="n">
        <f aca="false">G106+H105</f>
        <v>-281186.182933864</v>
      </c>
      <c r="I106" s="37" t="n">
        <f aca="false">H106+I105</f>
        <v>-130759.32950614</v>
      </c>
      <c r="J106" s="37" t="n">
        <f aca="false">I106+J105</f>
        <v>93229.1545517124</v>
      </c>
      <c r="K106" s="37" t="n">
        <f aca="false">J106+K105</f>
        <v>294780.31897827</v>
      </c>
      <c r="L106" s="37" t="n">
        <f aca="false">K106+L105</f>
        <v>482803.882410871</v>
      </c>
      <c r="M106" s="37" t="n">
        <f aca="false">L106+M105</f>
        <v>679784.097435232</v>
      </c>
      <c r="N106" s="37" t="n">
        <f aca="false">M106+N105</f>
        <v>876353.463384538</v>
      </c>
      <c r="O106" s="31" t="n">
        <f aca="false">N106</f>
        <v>876353.463384538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173684.153502761</v>
      </c>
      <c r="D107" s="37" t="n">
        <f aca="false">-MIN(0,MIN($C$106:D106))</f>
        <v>202731.492477889</v>
      </c>
      <c r="E107" s="37" t="n">
        <f aca="false">-MIN(0,MIN($C$106:E106))</f>
        <v>297419.32724802</v>
      </c>
      <c r="F107" s="37" t="n">
        <f aca="false">-MIN(0,MIN($C$106:F106))</f>
        <v>317099.112080031</v>
      </c>
      <c r="G107" s="37" t="n">
        <f aca="false">-MIN(0,MIN($C$106:G106))</f>
        <v>317099.112080031</v>
      </c>
      <c r="H107" s="37" t="n">
        <f aca="false">-MIN(0,MIN($C$106:H106))</f>
        <v>317099.112080031</v>
      </c>
      <c r="I107" s="37" t="n">
        <f aca="false">-MIN(0,MIN($C$106:I106))</f>
        <v>317099.112080031</v>
      </c>
      <c r="J107" s="37" t="n">
        <f aca="false">-MIN(0,MIN($C$106:J106))</f>
        <v>317099.112080031</v>
      </c>
      <c r="K107" s="37" t="n">
        <f aca="false">-MIN(0,MIN($C$106:K106))</f>
        <v>317099.112080031</v>
      </c>
      <c r="L107" s="37" t="n">
        <f aca="false">-MIN(0,MIN($C$106:L106))</f>
        <v>317099.112080031</v>
      </c>
      <c r="M107" s="37" t="n">
        <f aca="false">-MIN(0,MIN($C$106:M106))</f>
        <v>317099.112080031</v>
      </c>
      <c r="N107" s="37" t="n">
        <f aca="false">-MIN(0,MIN($C$106:N106))</f>
        <v>317099.112080031</v>
      </c>
      <c r="O107" s="31" t="n">
        <f aca="false">MAX(C107:N107)</f>
        <v>317099.112080031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1</v>
      </c>
      <c r="H108" s="8" t="n">
        <f aca="false">IF(H94&gt;=0,1,0)</f>
        <v>1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3978818.17550246</v>
      </c>
    </row>
    <row r="112" customFormat="false" ht="15" hidden="false" customHeight="false" outlineLevel="0" collapsed="false">
      <c r="A112" s="3" t="s">
        <v>28</v>
      </c>
      <c r="B112" s="31" t="n">
        <f aca="false">O94</f>
        <v>1066718.07355403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0.268099226077181</v>
      </c>
    </row>
    <row r="114" customFormat="false" ht="15" hidden="false" customHeight="false" outlineLevel="0" collapsed="false">
      <c r="A114" s="3" t="s">
        <v>30</v>
      </c>
      <c r="B114" s="31" t="n">
        <f aca="false">O96</f>
        <v>166718.073554029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50000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317099.112080031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1000000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682900.887919969</v>
      </c>
    </row>
    <row r="119" customFormat="false" ht="15" hidden="false" customHeight="false" outlineLevel="0" collapsed="false">
      <c r="A119" s="3" t="s">
        <v>35</v>
      </c>
      <c r="B119" s="32" t="n">
        <f aca="false">O33</f>
        <v>51.9759590046751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5.41971677855696</v>
      </c>
    </row>
    <row r="121" customFormat="false" ht="15" hidden="false" customHeight="false" outlineLevel="0" collapsed="false">
      <c r="A121" s="3" t="s">
        <v>37</v>
      </c>
      <c r="B121" s="31" t="n">
        <f aca="false">O39</f>
        <v>76.5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0.803271019975302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8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0.4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1.5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50420.5817372881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188333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135889.810898458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1.04011471693827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12.4813766032592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8610.53604337827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0.127005406639829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0.2787472607242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5.66843735781582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570950.525933428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5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876353.463384538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1215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3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0.908333333333333</v>
      </c>
      <c r="D11" s="7" t="n">
        <f aca="false">IF(2&lt;=6,1-(1-INDEX(Assumptions!$C$157:$E$157,$D$3))*2/6,INDEX(Assumptions!$C$157:$E$157,$D$3)-(INDEX(Assumptions!$C$157:$E$157,$D$3)-INDEX(Assumptions!$C$158:$E$158,$D$3))*(2-6)/6)</f>
        <v>0.816666666666667</v>
      </c>
      <c r="E11" s="7" t="n">
        <f aca="false">IF(3&lt;=6,1-(1-INDEX(Assumptions!$C$157:$E$157,$D$3))*3/6,INDEX(Assumptions!$C$157:$E$157,$D$3)-(INDEX(Assumptions!$C$157:$E$157,$D$3)-INDEX(Assumptions!$C$158:$E$158,$D$3))*(3-6)/6)</f>
        <v>0.725</v>
      </c>
      <c r="F11" s="7" t="n">
        <f aca="false">IF(4&lt;=6,1-(1-INDEX(Assumptions!$C$157:$E$157,$D$3))*4/6,INDEX(Assumptions!$C$157:$E$157,$D$3)-(INDEX(Assumptions!$C$157:$E$157,$D$3)-INDEX(Assumptions!$C$158:$E$158,$D$3))*(4-6)/6)</f>
        <v>0.633333333333333</v>
      </c>
      <c r="G11" s="7" t="n">
        <f aca="false">IF(5&lt;=6,1-(1-INDEX(Assumptions!$C$157:$E$157,$D$3))*5/6,INDEX(Assumptions!$C$157:$E$157,$D$3)-(INDEX(Assumptions!$C$157:$E$157,$D$3)-INDEX(Assumptions!$C$158:$E$158,$D$3))*(5-6)/6)</f>
        <v>0.541666666666667</v>
      </c>
      <c r="H11" s="7" t="n">
        <f aca="false">IF(6&lt;=6,1-(1-INDEX(Assumptions!$C$157:$E$157,$D$3))*6/6,INDEX(Assumptions!$C$157:$E$157,$D$3)-(INDEX(Assumptions!$C$157:$E$157,$D$3)-INDEX(Assumptions!$C$158:$E$158,$D$3))*(6-6)/6)</f>
        <v>0.45</v>
      </c>
      <c r="I11" s="7" t="n">
        <f aca="false">IF(7&lt;=6,1-(1-INDEX(Assumptions!$C$157:$E$157,$D$3))*7/6,INDEX(Assumptions!$C$157:$E$157,$D$3)-(INDEX(Assumptions!$C$157:$E$157,$D$3)-INDEX(Assumptions!$C$158:$E$158,$D$3))*(7-6)/6)</f>
        <v>0.416666666666667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0.383333333333333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0.35</v>
      </c>
      <c r="L11" s="7" t="n">
        <f aca="false">IF(10&lt;=6,1-(1-INDEX(Assumptions!$C$157:$E$157,$D$3))*10/6,INDEX(Assumptions!$C$157:$E$157,$D$3)-(INDEX(Assumptions!$C$157:$E$157,$D$3)-INDEX(Assumptions!$C$158:$E$158,$D$3))*(10-6)/6)</f>
        <v>0.316666666666667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0.283333333333333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3.08333333333333</v>
      </c>
      <c r="E14" s="27" t="n">
        <f aca="false">E13+(INDEX(Assumptions!$C$25:$E$25,$D$3)*(1-(INDEX(Assumptions!$C$27:$E$27,$B$3)+INDEX(Assumptions!$C$28:$E$28,$B$3)+INDEX(Assumptions!$C$31:$E$31,$B$3)))-E13)*MIN(1,(3-1)/6)</f>
        <v>3.66666666666667</v>
      </c>
      <c r="F14" s="27" t="n">
        <f aca="false">F13+(INDEX(Assumptions!$C$25:$E$25,$D$3)*(1-(INDEX(Assumptions!$C$27:$E$27,$B$3)+INDEX(Assumptions!$C$28:$E$28,$B$3)+INDEX(Assumptions!$C$31:$E$31,$B$3)))-F13)*MIN(1,(4-1)/6)</f>
        <v>4.25</v>
      </c>
      <c r="G14" s="27" t="n">
        <f aca="false">G13+(INDEX(Assumptions!$C$25:$E$25,$D$3)*(1-(INDEX(Assumptions!$C$27:$E$27,$B$3)+INDEX(Assumptions!$C$28:$E$28,$B$3)+INDEX(Assumptions!$C$31:$E$31,$B$3)))-G13)*MIN(1,(5-1)/6)</f>
        <v>4.83333333333333</v>
      </c>
      <c r="H14" s="27" t="n">
        <f aca="false">H13+(INDEX(Assumptions!$C$25:$E$25,$D$3)*(1-(INDEX(Assumptions!$C$27:$E$27,$B$3)+INDEX(Assumptions!$C$28:$E$28,$B$3)+INDEX(Assumptions!$C$31:$E$31,$B$3)))-H13)*MIN(1,(6-1)/6)</f>
        <v>5.41666666666667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59.75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4.58333333333333</v>
      </c>
      <c r="E16" s="27" t="n">
        <f aca="false">E14+E15</f>
        <v>6.66666666666667</v>
      </c>
      <c r="F16" s="27" t="n">
        <f aca="false">F14+F15</f>
        <v>8.75</v>
      </c>
      <c r="G16" s="27" t="n">
        <f aca="false">G14+G15</f>
        <v>10.8333333333333</v>
      </c>
      <c r="H16" s="27" t="n">
        <f aca="false">H14+H15</f>
        <v>12.9166666666667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136.25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50000</v>
      </c>
      <c r="E17" s="8" t="n">
        <f aca="false">INDEX(Assumptions!$C$123:$E$123,$D$3)*$J$4</f>
        <v>60000</v>
      </c>
      <c r="F17" s="8" t="n">
        <f aca="false">INDEX(Assumptions!$C$124:$E$124,$D$3)*$J$4</f>
        <v>70000</v>
      </c>
      <c r="G17" s="8" t="n">
        <f aca="false">INDEX(Assumptions!$C$125:$E$125,$D$3)*$J$4</f>
        <v>120000</v>
      </c>
      <c r="H17" s="8" t="n">
        <f aca="false">INDEX(Assumptions!$C$126:$E$126,$D$3)*$J$4</f>
        <v>170000</v>
      </c>
      <c r="I17" s="8" t="n">
        <f aca="false">INDEX(Assumptions!$C$127:$E$127,$D$3)*$J$4</f>
        <v>200000</v>
      </c>
      <c r="J17" s="8" t="n">
        <f aca="false">INDEX(Assumptions!$C$128:$E$128,$D$3)*$J$4</f>
        <v>200000</v>
      </c>
      <c r="K17" s="8" t="n">
        <f aca="false">INDEX(Assumptions!$C$129:$E$129,$D$3)*$J$4</f>
        <v>200000</v>
      </c>
      <c r="L17" s="8" t="n">
        <f aca="false">INDEX(Assumptions!$C$130:$E$130,$D$3)*$J$4</f>
        <v>200000</v>
      </c>
      <c r="M17" s="8" t="n">
        <f aca="false">INDEX(Assumptions!$C$131:$E$131,$D$3)*$J$4</f>
        <v>200000</v>
      </c>
      <c r="N17" s="8" t="n">
        <f aca="false">INDEX(Assumptions!$C$132:$E$132,$D$3)*$J$4</f>
        <v>200000</v>
      </c>
      <c r="O17" s="37" t="n">
        <f aca="false">SUM(C17:N17)</f>
        <v>1685000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0.9725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3</v>
      </c>
      <c r="E20" s="27" t="n">
        <f aca="false">E17*INDEX(Assumptions!$C$119:$E$119,$B$3)/E18</f>
        <v>3.6</v>
      </c>
      <c r="F20" s="27" t="n">
        <f aca="false">F17*INDEX(Assumptions!$C$119:$E$119,$B$3)/F18</f>
        <v>4.2</v>
      </c>
      <c r="G20" s="27" t="n">
        <f aca="false">G17*INDEX(Assumptions!$C$119:$E$119,$B$3)/G18</f>
        <v>7.2</v>
      </c>
      <c r="H20" s="27" t="n">
        <f aca="false">H17*INDEX(Assumptions!$C$119:$E$119,$B$3)/H18</f>
        <v>10.2</v>
      </c>
      <c r="I20" s="27" t="n">
        <f aca="false">I17*INDEX(Assumptions!$C$119:$E$119,$B$3)/I18</f>
        <v>12</v>
      </c>
      <c r="J20" s="27" t="n">
        <f aca="false">J17*INDEX(Assumptions!$C$119:$E$119,$B$3)/J18</f>
        <v>12</v>
      </c>
      <c r="K20" s="27" t="n">
        <f aca="false">K17*INDEX(Assumptions!$C$119:$E$119,$B$3)/K18</f>
        <v>12</v>
      </c>
      <c r="L20" s="27" t="n">
        <f aca="false">L17*INDEX(Assumptions!$C$119:$E$119,$B$3)/L18</f>
        <v>12</v>
      </c>
      <c r="M20" s="27" t="n">
        <f aca="false">M17*INDEX(Assumptions!$C$119:$E$119,$B$3)/M18</f>
        <v>12</v>
      </c>
      <c r="N20" s="27" t="n">
        <f aca="false">N17*INDEX(Assumptions!$C$119:$E$119,$B$3)/N18</f>
        <v>12</v>
      </c>
      <c r="O20" s="35" t="n">
        <f aca="false">SUM(C20:N20)</f>
        <v>101.1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3.4375</v>
      </c>
      <c r="E21" s="35" t="n">
        <f aca="false">E9*(E13*$F$3+(E14-E13)*$F$3*E19+MIN(E15,E20*E19))</f>
        <v>4.66666666666667</v>
      </c>
      <c r="F21" s="35" t="n">
        <f aca="false">F9*(F13*$F$3+(F14-F13)*$F$3*F19+MIN(F15,F20*F19))</f>
        <v>6.76</v>
      </c>
      <c r="G21" s="35" t="n">
        <f aca="false">G9*(G13*$F$3+(G14-G13)*$F$3*G19+MIN(G15,G20*G19))</f>
        <v>9.75</v>
      </c>
      <c r="H21" s="35" t="n">
        <f aca="false">H9*(H13*$F$3+(H14-H13)*$F$3*H19+MIN(H15,H20*H19))</f>
        <v>12.9166666666667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145.280833333333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16</v>
      </c>
      <c r="G22" s="8" t="n">
        <f aca="false">IF(5&gt;=INDEX(Assumptions!$C$173:$E$173,$D$3),INDEX(Assumptions!$C$176:$E$176,$D$3),INDEX(Assumptions!$C$171:$E$171,$B$3))</f>
        <v>16</v>
      </c>
      <c r="H22" s="8" t="n">
        <f aca="false">IF(6&gt;=INDEX(Assumptions!$C$173:$E$173,$D$3),INDEX(Assumptions!$C$176:$E$176,$D$3),INDEX(Assumptions!$C$171:$E$171,$B$3))</f>
        <v>16</v>
      </c>
      <c r="I22" s="8" t="n">
        <f aca="false">IF(7&gt;=INDEX(Assumptions!$C$173:$E$173,$D$3),INDEX(Assumptions!$C$176:$E$176,$D$3),INDEX(Assumptions!$C$171:$E$171,$B$3))</f>
        <v>16</v>
      </c>
      <c r="J22" s="8" t="n">
        <f aca="false">IF(8&gt;=INDEX(Assumptions!$C$173:$E$173,$D$3),INDEX(Assumptions!$C$176:$E$176,$D$3),INDEX(Assumptions!$C$171:$E$171,$B$3))</f>
        <v>16</v>
      </c>
      <c r="K22" s="8" t="n">
        <f aca="false">IF(9&gt;=INDEX(Assumptions!$C$173:$E$173,$D$3),INDEX(Assumptions!$C$176:$E$176,$D$3),INDEX(Assumptions!$C$171:$E$171,$B$3))</f>
        <v>16</v>
      </c>
      <c r="L22" s="8" t="n">
        <f aca="false">IF(10&gt;=INDEX(Assumptions!$C$173:$E$173,$D$3),INDEX(Assumptions!$C$176:$E$176,$D$3),INDEX(Assumptions!$C$171:$E$171,$B$3))</f>
        <v>16</v>
      </c>
      <c r="M22" s="8" t="n">
        <f aca="false">IF(11&gt;=INDEX(Assumptions!$C$173:$E$173,$D$3),INDEX(Assumptions!$C$176:$E$176,$D$3),INDEX(Assumptions!$C$171:$E$171,$B$3))</f>
        <v>16</v>
      </c>
      <c r="N22" s="8" t="n">
        <f aca="false">IF(12&gt;=INDEX(Assumptions!$C$173:$E$173,$D$3),INDEX(Assumptions!$C$176:$E$176,$D$3),INDEX(Assumptions!$C$171:$E$171,$B$3))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2.5</v>
      </c>
      <c r="G23" s="6" t="n">
        <f aca="false">IF(5&gt;=INDEX(Assumptions!$C$173:$E$173,$D$3),INDEX(Assumptions!$C$177:$E$177,$D$3),INDEX(Assumptions!$C$172:$E$172,$D$3))</f>
        <v>2.5</v>
      </c>
      <c r="H23" s="6" t="n">
        <f aca="false">IF(6&gt;=INDEX(Assumptions!$C$173:$E$173,$D$3),INDEX(Assumptions!$C$177:$E$177,$D$3),INDEX(Assumptions!$C$172:$E$172,$D$3))</f>
        <v>2.5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36</v>
      </c>
      <c r="G24" s="6" t="n">
        <f aca="false">G22*G23*INDEX(Assumptions!$C$178:$E$178,$B$3)</f>
        <v>36</v>
      </c>
      <c r="H24" s="6" t="n">
        <f aca="false">H22*H23*INDEX(Assumptions!$C$178:$E$178,$B$3)</f>
        <v>36</v>
      </c>
      <c r="I24" s="6" t="n">
        <f aca="false">I22*I23*INDEX(Assumptions!$C$178:$E$178,$B$3)</f>
        <v>36</v>
      </c>
      <c r="J24" s="6" t="n">
        <f aca="false">J22*J23*INDEX(Assumptions!$C$178:$E$178,$B$3)</f>
        <v>36</v>
      </c>
      <c r="K24" s="6" t="n">
        <f aca="false">K22*K23*INDEX(Assumptions!$C$178:$E$178,$B$3)</f>
        <v>36</v>
      </c>
      <c r="L24" s="6" t="n">
        <f aca="false">L22*L23*INDEX(Assumptions!$C$178:$E$178,$B$3)</f>
        <v>36</v>
      </c>
      <c r="M24" s="6" t="n">
        <f aca="false">M22*M23*INDEX(Assumptions!$C$178:$E$178,$B$3)</f>
        <v>36</v>
      </c>
      <c r="N24" s="6" t="n">
        <f aca="false">N22*N23*INDEX(Assumptions!$C$178:$E$178,$B$3)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0.25</v>
      </c>
      <c r="K25" s="7" t="n">
        <f aca="false">IF(9&gt;=INDEX(Assumptions!$C$189:$E$189,$D$3),INDEX(Assumptions!$C$74:$E$74,$B$3),0)</f>
        <v>0.25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3.5025</v>
      </c>
      <c r="F26" s="6" t="n">
        <f aca="false">E29+D29+E32+D32+1.25*E30</f>
        <v>5.515</v>
      </c>
      <c r="G26" s="6" t="n">
        <f aca="false">F29+E29+F32+E32+1.25*F30</f>
        <v>7.8285</v>
      </c>
      <c r="H26" s="6" t="n">
        <f aca="false">G29+F29+G32+F32+1.25*G30</f>
        <v>11.2772</v>
      </c>
      <c r="I26" s="6" t="n">
        <f aca="false">H29+G29+H32+G32+1.25*H30</f>
        <v>15.5812</v>
      </c>
      <c r="J26" s="6" t="n">
        <f aca="false">I29+H29+I32+H32+1.25*I30</f>
        <v>21.7726888361045</v>
      </c>
      <c r="K26" s="6" t="n">
        <f aca="false">J29+I29+J32+I32+1.25*J30</f>
        <v>22.1296074136615</v>
      </c>
      <c r="L26" s="6" t="n">
        <f aca="false">K29+J29+K32+J32+1.25*K30</f>
        <v>15.8584920576879</v>
      </c>
      <c r="M26" s="6" t="n">
        <f aca="false">L29+K29+L32+K32+1.25*L30</f>
        <v>18.5824155693724</v>
      </c>
      <c r="N26" s="6" t="n">
        <f aca="false">M29+L29+M32+L32+1.25*M30</f>
        <v>20.3436140382252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3.6775</v>
      </c>
      <c r="E27" s="6" t="n">
        <f aca="false">E21*(INDEX(Assumptions!$C$26:$E$26,$B$3)*(1-E25)+INDEX(Assumptions!$C$26:$E$26,$B$3)*E25*1.25+(1-INDEX(Assumptions!$C$26:$E$26,$B$3)))+D31*INDEX(Assumptions!$C$89:$E$89,$B$3)</f>
        <v>5.07916666666667</v>
      </c>
      <c r="F27" s="6" t="n">
        <f aca="false">F21*(INDEX(Assumptions!$C$26:$E$26,$B$3)*(1-F25)+INDEX(Assumptions!$C$26:$E$26,$B$3)*F25*1.25+(1-INDEX(Assumptions!$C$26:$E$26,$B$3)))+E31*INDEX(Assumptions!$C$89:$E$89,$B$3)</f>
        <v>7.32</v>
      </c>
      <c r="G27" s="6" t="n">
        <f aca="false">G21*(INDEX(Assumptions!$C$26:$E$26,$B$3)*(1-G25)+INDEX(Assumptions!$C$26:$E$26,$B$3)*G25*1.25+(1-INDEX(Assumptions!$C$26:$E$26,$B$3)))+F31*INDEX(Assumptions!$C$89:$E$89,$B$3)</f>
        <v>10.5612</v>
      </c>
      <c r="H27" s="6" t="n">
        <f aca="false">H21*(INDEX(Assumptions!$C$26:$E$26,$B$3)*(1-H25)+INDEX(Assumptions!$C$26:$E$26,$B$3)*H25*1.25+(1-INDEX(Assumptions!$C$26:$E$26,$B$3)))+G31*INDEX(Assumptions!$C$89:$E$89,$B$3)</f>
        <v>14.0866666666667</v>
      </c>
      <c r="I27" s="6" t="n">
        <f aca="false">I21*(INDEX(Assumptions!$C$26:$E$26,$B$3)*(1-I25)+INDEX(Assumptions!$C$26:$E$26,$B$3)*I25*1.25+(1-INDEX(Assumptions!$C$26:$E$26,$B$3)))+H31*INDEX(Assumptions!$C$89:$E$89,$B$3)</f>
        <v>21.05</v>
      </c>
      <c r="J27" s="6" t="n">
        <f aca="false">J21*(INDEX(Assumptions!$C$26:$E$26,$B$3)*(1-J25)+INDEX(Assumptions!$C$26:$E$26,$B$3)*J25*1.25+(1-INDEX(Assumptions!$C$26:$E$26,$B$3)))+I31*INDEX(Assumptions!$C$89:$E$89,$B$3)</f>
        <v>23.2792083491687</v>
      </c>
      <c r="K27" s="6" t="n">
        <f aca="false">K21*(INDEX(Assumptions!$C$26:$E$26,$B$3)*(1-K25)+INDEX(Assumptions!$C$26:$E$26,$B$3)*K25*1.25+(1-INDEX(Assumptions!$C$26:$E$26,$B$3)))+J31*INDEX(Assumptions!$C$89:$E$89,$B$3)</f>
        <v>20.9382427759015</v>
      </c>
      <c r="L27" s="6" t="n">
        <f aca="false">L21*(INDEX(Assumptions!$C$26:$E$26,$B$3)*(1-L25)+INDEX(Assumptions!$C$26:$E$26,$B$3)*L25*1.25+(1-INDEX(Assumptions!$C$26:$E$26,$B$3)))+K31*INDEX(Assumptions!$C$89:$E$89,$B$3)</f>
        <v>18.6092467744084</v>
      </c>
      <c r="M27" s="6" t="n">
        <f aca="false">M21*(INDEX(Assumptions!$C$26:$E$26,$B$3)*(1-M25)+INDEX(Assumptions!$C$26:$E$26,$B$3)*M25*1.25+(1-INDEX(Assumptions!$C$26:$E$26,$B$3)))+L31*INDEX(Assumptions!$C$89:$E$89,$B$3)</f>
        <v>18.320625</v>
      </c>
      <c r="N27" s="6" t="n">
        <f aca="false">N21*(INDEX(Assumptions!$C$26:$E$26,$B$3)*(1-N25)+INDEX(Assumptions!$C$26:$E$26,$B$3)*N25*1.25+(1-INDEX(Assumptions!$C$26:$E$26,$B$3)))+M31*INDEX(Assumptions!$C$89:$E$89,$B$3)</f>
        <v>17.3593401500433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0.970014251781473</v>
      </c>
      <c r="J28" s="7" t="n">
        <f aca="false">IF(J27&lt;=0,1,MAX(0,MIN(1,(J24-J26)/J27)))</f>
        <v>0.611159578560307</v>
      </c>
      <c r="K28" s="7" t="n">
        <f aca="false">IF(K27&lt;=0,1,MAX(0,MIN(1,(K24-K26)/K27)))</f>
        <v>0.662443010848185</v>
      </c>
      <c r="L28" s="7" t="n">
        <f aca="false">IF(L27&lt;=0,1,MAX(0,MIN(1,(L24-L26)/L27)))</f>
        <v>1</v>
      </c>
      <c r="M28" s="7" t="n">
        <f aca="false">IF(M27&lt;=0,1,MAX(0,MIN(1,(M24-M26)/M27)))</f>
        <v>0.950709074096961</v>
      </c>
      <c r="N28" s="7" t="n">
        <f aca="false">IF(N27&lt;=0,1,MAX(0,MIN(1,(N24-N26)/N27)))</f>
        <v>0.901899831816809</v>
      </c>
      <c r="O28" s="7" t="n">
        <f aca="false">MIN(C28:N28)</f>
        <v>0.611159578560307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2.0625</v>
      </c>
      <c r="E29" s="35" t="n">
        <f aca="false">E21*INDEX(Assumptions!$C$26:$E$26,$B$3)*(1-E25)*E28</f>
        <v>2.8</v>
      </c>
      <c r="F29" s="35" t="n">
        <f aca="false">F21*INDEX(Assumptions!$C$26:$E$26,$B$3)*(1-F25)*F28</f>
        <v>4.056</v>
      </c>
      <c r="G29" s="35" t="n">
        <f aca="false">G21*INDEX(Assumptions!$C$26:$E$26,$B$3)*(1-G25)*G28</f>
        <v>5.85</v>
      </c>
      <c r="H29" s="35" t="n">
        <f aca="false">H21*INDEX(Assumptions!$C$26:$E$26,$B$3)*(1-H25)*H28</f>
        <v>7.75</v>
      </c>
      <c r="I29" s="35" t="n">
        <f aca="false">I21*INDEX(Assumptions!$C$26:$E$26,$B$3)*(1-I25)*I28</f>
        <v>11.3491667458432</v>
      </c>
      <c r="J29" s="35" t="n">
        <f aca="false">J21*INDEX(Assumptions!$C$26:$E$26,$B$3)*(1-J25)*J28</f>
        <v>5.5691916596308</v>
      </c>
      <c r="K29" s="35" t="n">
        <f aca="false">K21*INDEX(Assumptions!$C$26:$E$26,$B$3)*(1-K25)*K28</f>
        <v>5.58936290403156</v>
      </c>
      <c r="L29" s="35" t="n">
        <f aca="false">L21*INDEX(Assumptions!$C$26:$E$26,$B$3)*(1-L25)*L28</f>
        <v>7.425</v>
      </c>
      <c r="M29" s="35" t="n">
        <f aca="false">M21*INDEX(Assumptions!$C$26:$E$26,$B$3)*(1-M25)*M28</f>
        <v>6.73815056266221</v>
      </c>
      <c r="N29" s="35" t="n">
        <f aca="false">N21*INDEX(Assumptions!$C$26:$E$26,$B$3)*(1-N25)*N28</f>
        <v>6.08782386476346</v>
      </c>
      <c r="O29" s="38" t="n">
        <f aca="false">SUM(C29:N29)</f>
        <v>66.4771957369313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1.85639721987693</v>
      </c>
      <c r="K30" s="27" t="n">
        <f aca="false">K21*INDEX(Assumptions!$C$26:$E$26,$B$3)*K25*K28</f>
        <v>1.86312096801052</v>
      </c>
      <c r="L30" s="27" t="n">
        <f aca="false">L21*INDEX(Assumptions!$C$26:$E$26,$B$3)*L25*L28</f>
        <v>2.475</v>
      </c>
      <c r="M30" s="27" t="n">
        <f aca="false">M21*INDEX(Assumptions!$C$26:$E$26,$B$3)*M25*M28</f>
        <v>2.24605018755407</v>
      </c>
      <c r="N30" s="27" t="n">
        <f aca="false">N21*INDEX(Assumptions!$C$26:$E$26,$B$3)*N25*N28</f>
        <v>2.02927462158782</v>
      </c>
      <c r="O30" s="35" t="n">
        <f aca="false">SUM(C30:N30)</f>
        <v>10.4698429970293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1.375</v>
      </c>
      <c r="E31" s="27" t="n">
        <f aca="false">E21*(1-INDEX(Assumptions!$C$26:$E$26,$B$3))*E28</f>
        <v>1.86666666666667</v>
      </c>
      <c r="F31" s="27" t="n">
        <f aca="false">F21*(1-INDEX(Assumptions!$C$26:$E$26,$B$3))*F28</f>
        <v>2.704</v>
      </c>
      <c r="G31" s="27" t="n">
        <f aca="false">G21*(1-INDEX(Assumptions!$C$26:$E$26,$B$3))*G28</f>
        <v>3.9</v>
      </c>
      <c r="H31" s="27" t="n">
        <f aca="false">H21*(1-INDEX(Assumptions!$C$26:$E$26,$B$3))*H28</f>
        <v>5.16666666666667</v>
      </c>
      <c r="I31" s="27" t="n">
        <f aca="false">I21*(1-INDEX(Assumptions!$C$26:$E$26,$B$3))*I28</f>
        <v>7.56611116389549</v>
      </c>
      <c r="J31" s="27" t="n">
        <f aca="false">J21*(1-INDEX(Assumptions!$C$26:$E$26,$B$3))*J28</f>
        <v>4.95039258633849</v>
      </c>
      <c r="K31" s="27" t="n">
        <f aca="false">K21*(1-INDEX(Assumptions!$C$26:$E$26,$B$3))*K28</f>
        <v>4.96832258136139</v>
      </c>
      <c r="L31" s="27" t="n">
        <f aca="false">L21*(1-INDEX(Assumptions!$C$26:$E$26,$B$3))*L28</f>
        <v>6.6</v>
      </c>
      <c r="M31" s="27" t="n">
        <f aca="false">M21*(1-INDEX(Assumptions!$C$26:$E$26,$B$3))*M28</f>
        <v>5.98946716681085</v>
      </c>
      <c r="N31" s="27" t="n">
        <f aca="false">N21*(1-INDEX(Assumptions!$C$26:$E$26,$B$3))*N28</f>
        <v>5.41139899090086</v>
      </c>
      <c r="O31" s="35" t="n">
        <f aca="false">SUM(C31:N31)</f>
        <v>51.2980258226404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0.4125</v>
      </c>
      <c r="F32" s="27" t="n">
        <f aca="false">E31*INDEX(Assumptions!$C$89:$E$89,$B$3)*F28</f>
        <v>0.56</v>
      </c>
      <c r="G32" s="27" t="n">
        <f aca="false">F31*INDEX(Assumptions!$C$89:$E$89,$B$3)*G28</f>
        <v>0.8112</v>
      </c>
      <c r="H32" s="27" t="n">
        <f aca="false">G31*INDEX(Assumptions!$C$89:$E$89,$B$3)*H28</f>
        <v>1.17</v>
      </c>
      <c r="I32" s="27" t="n">
        <f aca="false">H31*INDEX(Assumptions!$C$89:$E$89,$B$3)*I28</f>
        <v>1.50352209026128</v>
      </c>
      <c r="J32" s="27" t="n">
        <f aca="false">I31*INDEX(Assumptions!$C$89:$E$89,$B$3)*J28</f>
        <v>1.38723039308004</v>
      </c>
      <c r="K32" s="27" t="n">
        <f aca="false">J31*INDEX(Assumptions!$C$89:$E$89,$B$3)*K28</f>
        <v>0.98380589093238</v>
      </c>
      <c r="L32" s="27" t="n">
        <f aca="false">K31*INDEX(Assumptions!$C$89:$E$89,$B$3)*L28</f>
        <v>1.49049677440842</v>
      </c>
      <c r="M32" s="27" t="n">
        <f aca="false">L31*INDEX(Assumptions!$C$89:$E$89,$B$3)*M28</f>
        <v>1.88240396671198</v>
      </c>
      <c r="N32" s="27" t="n">
        <f aca="false">M31*INDEX(Assumptions!$C$89:$E$89,$B$3)*N28</f>
        <v>1.6205698291257</v>
      </c>
      <c r="O32" s="35" t="n">
        <f aca="false">SUM(C32:N32)</f>
        <v>12.0617289445198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3.4375</v>
      </c>
      <c r="E33" s="35" t="n">
        <f aca="false">E29+E30+E31</f>
        <v>4.66666666666667</v>
      </c>
      <c r="F33" s="35" t="n">
        <f aca="false">F29+F30+F31</f>
        <v>6.76</v>
      </c>
      <c r="G33" s="35" t="n">
        <f aca="false">G29+G30+G31</f>
        <v>9.75</v>
      </c>
      <c r="H33" s="35" t="n">
        <f aca="false">H29+H30+H31</f>
        <v>12.9166666666667</v>
      </c>
      <c r="I33" s="35" t="n">
        <f aca="false">I29+I30+I31</f>
        <v>18.9152779097387</v>
      </c>
      <c r="J33" s="35" t="n">
        <f aca="false">J29+J30+J31</f>
        <v>12.3759814658462</v>
      </c>
      <c r="K33" s="35" t="n">
        <f aca="false">K29+K30+K31</f>
        <v>12.4208064534035</v>
      </c>
      <c r="L33" s="35" t="n">
        <f aca="false">L29+L30+L31</f>
        <v>16.5</v>
      </c>
      <c r="M33" s="35" t="n">
        <f aca="false">M29+M30+M31</f>
        <v>14.9736679170271</v>
      </c>
      <c r="N33" s="35" t="n">
        <f aca="false">N29+N30+N31</f>
        <v>13.5284974772521</v>
      </c>
      <c r="O33" s="38" t="n">
        <f aca="false">SUM(C33:N33)</f>
        <v>128.245064556601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0.859375</v>
      </c>
      <c r="E34" s="27" t="n">
        <f aca="false">E33*INDEX(Assumptions!$C$74:$E$74,$B$3)</f>
        <v>1.16666666666667</v>
      </c>
      <c r="F34" s="27" t="n">
        <f aca="false">F33*INDEX(Assumptions!$C$74:$E$74,$B$3)</f>
        <v>1.69</v>
      </c>
      <c r="G34" s="27" t="n">
        <f aca="false">G33*INDEX(Assumptions!$C$74:$E$74,$B$3)</f>
        <v>2.4375</v>
      </c>
      <c r="H34" s="27" t="n">
        <f aca="false">H33*INDEX(Assumptions!$C$74:$E$74,$B$3)</f>
        <v>3.22916666666667</v>
      </c>
      <c r="I34" s="27" t="n">
        <f aca="false">I33*INDEX(Assumptions!$C$74:$E$74,$B$3)</f>
        <v>4.72881947743468</v>
      </c>
      <c r="J34" s="27" t="n">
        <f aca="false">J33*INDEX(Assumptions!$C$74:$E$74,$B$3)</f>
        <v>3.09399536646155</v>
      </c>
      <c r="K34" s="27" t="n">
        <f aca="false">K33*INDEX(Assumptions!$C$74:$E$74,$B$3)</f>
        <v>3.10520161335087</v>
      </c>
      <c r="L34" s="27" t="n">
        <f aca="false">L33*INDEX(Assumptions!$C$74:$E$74,$B$3)</f>
        <v>4.125</v>
      </c>
      <c r="M34" s="27" t="n">
        <f aca="false">M33*INDEX(Assumptions!$C$74:$E$74,$B$3)</f>
        <v>3.74341697925678</v>
      </c>
      <c r="N34" s="27" t="n">
        <f aca="false">N33*INDEX(Assumptions!$C$74:$E$74,$B$3)</f>
        <v>3.38212436931304</v>
      </c>
      <c r="O34" s="35" t="n">
        <f aca="false">SUM(C34:N34)</f>
        <v>32.0612661391503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4.8775</v>
      </c>
      <c r="E35" s="6" t="n">
        <f aca="false">E26+E29+E32+E31+1.25*E30</f>
        <v>8.58166666666667</v>
      </c>
      <c r="F35" s="6" t="n">
        <f aca="false">F26+F29+F32+F31+1.25*F30</f>
        <v>12.835</v>
      </c>
      <c r="G35" s="6" t="n">
        <f aca="false">G26+G29+G32+G31+1.25*G30</f>
        <v>18.3897</v>
      </c>
      <c r="H35" s="6" t="n">
        <f aca="false">H26+H29+H32+H31+1.25*H30</f>
        <v>25.3638666666667</v>
      </c>
      <c r="I35" s="6" t="n">
        <f aca="false">I26+I29+I32+I31+1.25*I30</f>
        <v>36</v>
      </c>
      <c r="J35" s="6" t="n">
        <f aca="false">J26+J29+J32+J31+1.25*J30</f>
        <v>36</v>
      </c>
      <c r="K35" s="6" t="n">
        <f aca="false">K26+K29+K32+K31+1.25*K30</f>
        <v>36</v>
      </c>
      <c r="L35" s="6" t="n">
        <f aca="false">L26+L29+L32+L31+1.25*L30</f>
        <v>34.4677388320964</v>
      </c>
      <c r="M35" s="6" t="n">
        <f aca="false">M26+M29+M32+M31+1.25*M30</f>
        <v>36</v>
      </c>
      <c r="N35" s="6" t="n">
        <f aca="false">N26+N29+N32+N31+1.25*N30</f>
        <v>36</v>
      </c>
      <c r="O35" s="39" t="n">
        <f aca="false">AVERAGE(C35:N35)</f>
        <v>23.8762893471191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0.30484375</v>
      </c>
      <c r="E36" s="36" t="n">
        <f aca="false">E35/(E22*E23)</f>
        <v>0.536354166666667</v>
      </c>
      <c r="F36" s="36" t="n">
        <f aca="false">F35/(F22*F23)</f>
        <v>0.320875</v>
      </c>
      <c r="G36" s="36" t="n">
        <f aca="false">G35/(G22*G23)</f>
        <v>0.4597425</v>
      </c>
      <c r="H36" s="36" t="n">
        <f aca="false">H35/(H22*H23)</f>
        <v>0.634096666666667</v>
      </c>
      <c r="I36" s="36" t="n">
        <f aca="false">I35/(I22*I23)</f>
        <v>0.9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0.861693470802409</v>
      </c>
      <c r="M36" s="36" t="n">
        <f aca="false">M35/(M22*M23)</f>
        <v>0.9</v>
      </c>
      <c r="N36" s="36" t="n">
        <f aca="false">N35/(N22*N23)</f>
        <v>0.9</v>
      </c>
      <c r="O36" s="30" t="n">
        <f aca="false">N36</f>
        <v>0.9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0</v>
      </c>
      <c r="I37" s="8" t="n">
        <f aca="false">IF(I28&lt;0.999,1,0)</f>
        <v>1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0</v>
      </c>
      <c r="M37" s="8" t="n">
        <f aca="false">IF(M28&lt;0.999,1,0)</f>
        <v>1</v>
      </c>
      <c r="N37" s="8" t="n">
        <f aca="false">IF(N28&lt;0.999,1,0)</f>
        <v>1</v>
      </c>
      <c r="O37" s="37" t="n">
        <f aca="false">SUM(C37:N37)</f>
        <v>5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4.25</v>
      </c>
      <c r="F39" s="6" t="n">
        <f aca="false">IF(4&gt;=3,INDEX(Assumptions!$C$192:$E$192,$D$3)*INDEX(Assumptions!$C$193:$E$193,$B$3)*MIN(1,(4-2)/6),0)*$F$3</f>
        <v>8.5</v>
      </c>
      <c r="G39" s="6" t="n">
        <f aca="false">IF(5&gt;=3,INDEX(Assumptions!$C$192:$E$192,$D$3)*INDEX(Assumptions!$C$193:$E$193,$B$3)*MIN(1,(5-2)/6),0)*$F$3</f>
        <v>12.75</v>
      </c>
      <c r="H39" s="6" t="n">
        <f aca="false">IF(6&gt;=3,INDEX(Assumptions!$C$192:$E$192,$D$3)*INDEX(Assumptions!$C$193:$E$193,$B$3)*MIN(1,(6-2)/6),0)*$F$3</f>
        <v>17</v>
      </c>
      <c r="I39" s="6" t="n">
        <f aca="false">IF(7&gt;=3,INDEX(Assumptions!$C$192:$E$192,$D$3)*INDEX(Assumptions!$C$193:$E$193,$B$3)*MIN(1,(7-2)/6),0)*$F$3</f>
        <v>21.25</v>
      </c>
      <c r="J39" s="6" t="n">
        <f aca="false">IF(8&gt;=3,INDEX(Assumptions!$C$192:$E$192,$D$3)*INDEX(Assumptions!$C$193:$E$193,$B$3)*MIN(1,(8-2)/6),0)*$F$3</f>
        <v>25.5</v>
      </c>
      <c r="K39" s="6" t="n">
        <f aca="false">IF(9&gt;=3,INDEX(Assumptions!$C$192:$E$192,$D$3)*INDEX(Assumptions!$C$193:$E$193,$B$3)*MIN(1,(9-2)/6),0)*$F$3</f>
        <v>25.5</v>
      </c>
      <c r="L39" s="6" t="n">
        <f aca="false">IF(10&gt;=3,INDEX(Assumptions!$C$192:$E$192,$D$3)*INDEX(Assumptions!$C$193:$E$193,$B$3)*MIN(1,(10-2)/6),0)*$F$3</f>
        <v>25.5</v>
      </c>
      <c r="M39" s="6" t="n">
        <f aca="false">IF(11&gt;=3,INDEX(Assumptions!$C$192:$E$192,$D$3)*INDEX(Assumptions!$C$193:$E$193,$B$3)*MIN(1,(11-2)/6),0)*$F$3</f>
        <v>25.5</v>
      </c>
      <c r="N39" s="6" t="n">
        <f aca="false">IF(12&gt;=3,INDEX(Assumptions!$C$192:$E$192,$D$3)*INDEX(Assumptions!$C$193:$E$193,$B$3)*MIN(1,(12-2)/6),0)*$F$3</f>
        <v>25.5</v>
      </c>
      <c r="O39" s="39" t="n">
        <f aca="false">SUM(C39:N39)</f>
        <v>191.25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10.2666666666667</v>
      </c>
      <c r="D40" s="6" t="n">
        <f aca="false">INDEX(Assumptions!$C$194:$E$194,$D$3)*D10*MIN(1,2/3)*$F$3</f>
        <v>17.6</v>
      </c>
      <c r="E40" s="6" t="n">
        <f aca="false">INDEX(Assumptions!$C$194:$E$194,$D$3)*E10*MIN(1,3/3)*$F$3</f>
        <v>26.4</v>
      </c>
      <c r="F40" s="6" t="n">
        <f aca="false">INDEX(Assumptions!$C$194:$E$194,$D$3)*F10*MIN(1,4/3)*$F$3</f>
        <v>28.6</v>
      </c>
      <c r="G40" s="6" t="n">
        <f aca="false">INDEX(Assumptions!$C$194:$E$194,$D$3)*G10*MIN(1,5/3)*$F$3</f>
        <v>19.8</v>
      </c>
      <c r="H40" s="6" t="n">
        <f aca="false">INDEX(Assumptions!$C$194:$E$194,$D$3)*H10*MIN(1,6/3)*$F$3</f>
        <v>17.6</v>
      </c>
      <c r="I40" s="6" t="n">
        <f aca="false">INDEX(Assumptions!$C$194:$E$194,$D$3)*I10*MIN(1,7/3)*$F$3</f>
        <v>15.4</v>
      </c>
      <c r="J40" s="6" t="n">
        <f aca="false">INDEX(Assumptions!$C$194:$E$194,$D$3)*J10*MIN(1,8/3)*$F$3</f>
        <v>13.2</v>
      </c>
      <c r="K40" s="6" t="n">
        <f aca="false">INDEX(Assumptions!$C$194:$E$194,$D$3)*K10*MIN(1,9/3)*$F$3</f>
        <v>13.2</v>
      </c>
      <c r="L40" s="6" t="n">
        <f aca="false">INDEX(Assumptions!$C$194:$E$194,$D$3)*L10*MIN(1,10/3)*$F$3</f>
        <v>17.6</v>
      </c>
      <c r="M40" s="6" t="n">
        <f aca="false">INDEX(Assumptions!$C$194:$E$194,$D$3)*M10*MIN(1,11/3)*$F$3</f>
        <v>24.2</v>
      </c>
      <c r="N40" s="6" t="n">
        <f aca="false">INDEX(Assumptions!$C$194:$E$194,$D$3)*N10*MIN(1,12/3)*$F$3</f>
        <v>30.8</v>
      </c>
      <c r="O40" s="39" t="n">
        <f aca="false">SUM(C40:N40)</f>
        <v>234.666666666667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3.22467166979362</v>
      </c>
      <c r="E41" s="6" t="n">
        <f aca="false">E21*INDEX(Assumptions!$C$31:$E$31,$B$3)/(INDEX(Assumptions!$C$56:$E$56,$B$3)*INDEX(Assumptions!$C$57:$E$57,$B$3)*INDEX(Assumptions!$C$58:$E$58,$B$3))</f>
        <v>4.37773608505316</v>
      </c>
      <c r="F41" s="6" t="n">
        <f aca="false">F21*INDEX(Assumptions!$C$31:$E$31,$B$3)/(INDEX(Assumptions!$C$56:$E$56,$B$3)*INDEX(Assumptions!$C$57:$E$57,$B$3)*INDEX(Assumptions!$C$58:$E$58,$B$3))</f>
        <v>6.34146341463415</v>
      </c>
      <c r="G41" s="6" t="n">
        <f aca="false">G21*INDEX(Assumptions!$C$31:$E$31,$B$3)/(INDEX(Assumptions!$C$56:$E$56,$B$3)*INDEX(Assumptions!$C$57:$E$57,$B$3)*INDEX(Assumptions!$C$58:$E$58,$B$3))</f>
        <v>9.14634146341463</v>
      </c>
      <c r="H41" s="6" t="n">
        <f aca="false">H21*INDEX(Assumptions!$C$31:$E$31,$B$3)/(INDEX(Assumptions!$C$56:$E$56,$B$3)*INDEX(Assumptions!$C$57:$E$57,$B$3)*INDEX(Assumptions!$C$58:$E$58,$B$3))</f>
        <v>12.1169480925579</v>
      </c>
      <c r="I41" s="6" t="n">
        <f aca="false">I21*INDEX(Assumptions!$C$31:$E$31,$B$3)/(INDEX(Assumptions!$C$56:$E$56,$B$3)*INDEX(Assumptions!$C$57:$E$57,$B$3)*INDEX(Assumptions!$C$58:$E$58,$B$3))</f>
        <v>18.2926829268293</v>
      </c>
      <c r="J41" s="6" t="n">
        <f aca="false">J21*INDEX(Assumptions!$C$31:$E$31,$B$3)/(INDEX(Assumptions!$C$56:$E$56,$B$3)*INDEX(Assumptions!$C$57:$E$57,$B$3)*INDEX(Assumptions!$C$58:$E$58,$B$3))</f>
        <v>18.9962476547842</v>
      </c>
      <c r="K41" s="6" t="n">
        <f aca="false">K21*INDEX(Assumptions!$C$31:$E$31,$B$3)/(INDEX(Assumptions!$C$56:$E$56,$B$3)*INDEX(Assumptions!$C$57:$E$57,$B$3)*INDEX(Assumptions!$C$58:$E$58,$B$3))</f>
        <v>17.5891181988743</v>
      </c>
      <c r="L41" s="6" t="n">
        <f aca="false">L21*INDEX(Assumptions!$C$31:$E$31,$B$3)/(INDEX(Assumptions!$C$56:$E$56,$B$3)*INDEX(Assumptions!$C$57:$E$57,$B$3)*INDEX(Assumptions!$C$58:$E$58,$B$3))</f>
        <v>15.4784240150094</v>
      </c>
      <c r="M41" s="6" t="n">
        <f aca="false">M21*INDEX(Assumptions!$C$31:$E$31,$B$3)/(INDEX(Assumptions!$C$56:$E$56,$B$3)*INDEX(Assumptions!$C$57:$E$57,$B$3)*INDEX(Assumptions!$C$58:$E$58,$B$3))</f>
        <v>14.7748592870544</v>
      </c>
      <c r="N41" s="6" t="n">
        <f aca="false">N21*INDEX(Assumptions!$C$31:$E$31,$B$3)/(INDEX(Assumptions!$C$56:$E$56,$B$3)*INDEX(Assumptions!$C$57:$E$57,$B$3)*INDEX(Assumptions!$C$58:$E$58,$B$3))</f>
        <v>14.0712945590994</v>
      </c>
      <c r="O41" s="39" t="n">
        <f aca="false">SUM(C41:N41)</f>
        <v>136.285959974984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1</v>
      </c>
      <c r="I42" s="27" t="n">
        <f aca="false">IF(7&gt;=INDEX(Assumptions!$C$191:$E$191,$D$3),MAX(INDEX(Assumptions!$C$86:$E$86,$D$3),0.5),0)</f>
        <v>1</v>
      </c>
      <c r="J42" s="27" t="n">
        <f aca="false">IF(8&gt;=INDEX(Assumptions!$C$191:$E$191,$D$3),MAX(INDEX(Assumptions!$C$86:$E$86,$D$3),0.5),0)</f>
        <v>1</v>
      </c>
      <c r="K42" s="27" t="n">
        <f aca="false">IF(9&gt;=INDEX(Assumptions!$C$191:$E$191,$D$3),MAX(INDEX(Assumptions!$C$86:$E$86,$D$3),0.5),0)</f>
        <v>1</v>
      </c>
      <c r="L42" s="27" t="n">
        <f aca="false">IF(10&gt;=INDEX(Assumptions!$C$191:$E$191,$D$3),MAX(INDEX(Assumptions!$C$86:$E$86,$D$3),0.5),0)</f>
        <v>1</v>
      </c>
      <c r="M42" s="27" t="n">
        <f aca="false">IF(11&gt;=INDEX(Assumptions!$C$191:$E$191,$D$3),MAX(INDEX(Assumptions!$C$86:$E$86,$D$3),0.5),0)</f>
        <v>1</v>
      </c>
      <c r="N42" s="27" t="n">
        <f aca="false">IF(12&gt;=INDEX(Assumptions!$C$191:$E$191,$D$3),MAX(INDEX(Assumptions!$C$86:$E$86,$D$3),0.5),0)</f>
        <v>1</v>
      </c>
      <c r="O42" s="35" t="n">
        <f aca="false">SUM(C42:N42)</f>
        <v>7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32</v>
      </c>
      <c r="I43" s="6" t="n">
        <f aca="false">I42*INDEX(Assumptions!$C$82:$E$82,$B$3)*$F$3</f>
        <v>32</v>
      </c>
      <c r="J43" s="6" t="n">
        <f aca="false">J42*INDEX(Assumptions!$C$82:$E$82,$B$3)*$F$3</f>
        <v>32</v>
      </c>
      <c r="K43" s="6" t="n">
        <f aca="false">K42*INDEX(Assumptions!$C$82:$E$82,$B$3)*$F$3</f>
        <v>32</v>
      </c>
      <c r="L43" s="6" t="n">
        <f aca="false">L42*INDEX(Assumptions!$C$82:$E$82,$B$3)*$F$3</f>
        <v>32</v>
      </c>
      <c r="M43" s="6" t="n">
        <f aca="false">M42*INDEX(Assumptions!$C$82:$E$82,$B$3)*$F$3</f>
        <v>32</v>
      </c>
      <c r="N43" s="6" t="n">
        <f aca="false">N42*INDEX(Assumptions!$C$82:$E$82,$B$3)*$F$3</f>
        <v>32</v>
      </c>
      <c r="O43" s="39" t="n">
        <f aca="false">SUM(C43:N43)</f>
        <v>224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0.2975</v>
      </c>
      <c r="F44" s="27" t="n">
        <f aca="false">F39*0.7*INDEX(Assumptions!$C$73:$E$73,$B$3)</f>
        <v>0.595</v>
      </c>
      <c r="G44" s="27" t="n">
        <f aca="false">G39*0.7*INDEX(Assumptions!$C$73:$E$73,$B$3)</f>
        <v>0.8925</v>
      </c>
      <c r="H44" s="27" t="n">
        <f aca="false">H39*0.7*INDEX(Assumptions!$C$73:$E$73,$B$3)</f>
        <v>1.19</v>
      </c>
      <c r="I44" s="27" t="n">
        <f aca="false">I39*0.7*INDEX(Assumptions!$C$73:$E$73,$B$3)</f>
        <v>1.4875</v>
      </c>
      <c r="J44" s="27" t="n">
        <f aca="false">J39*0.7*INDEX(Assumptions!$C$73:$E$73,$B$3)</f>
        <v>1.785</v>
      </c>
      <c r="K44" s="27" t="n">
        <f aca="false">K39*0.7*INDEX(Assumptions!$C$73:$E$73,$B$3)</f>
        <v>1.785</v>
      </c>
      <c r="L44" s="27" t="n">
        <f aca="false">L39*0.7*INDEX(Assumptions!$C$73:$E$73,$B$3)</f>
        <v>1.785</v>
      </c>
      <c r="M44" s="27" t="n">
        <f aca="false">M39*0.7*INDEX(Assumptions!$C$73:$E$73,$B$3)</f>
        <v>1.785</v>
      </c>
      <c r="N44" s="27" t="n">
        <f aca="false">N39*0.7*INDEX(Assumptions!$C$73:$E$73,$B$3)</f>
        <v>1.785</v>
      </c>
      <c r="O44" s="35" t="n">
        <f aca="false">SUM(C44:N44)</f>
        <v>13.3875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104872.881355932</v>
      </c>
      <c r="E49" s="8" t="n">
        <f aca="false">E29*E46/(1+INDEX(Assumptions!$C$15:$E$15,$B$3)*$H$4)</f>
        <v>142372.881355932</v>
      </c>
      <c r="F49" s="8" t="n">
        <f aca="false">F29*F46/(1+INDEX(Assumptions!$C$15:$E$15,$B$3)*$H$4)</f>
        <v>206237.288135593</v>
      </c>
      <c r="G49" s="8" t="n">
        <f aca="false">G29*G46/(1+INDEX(Assumptions!$C$15:$E$15,$B$3)*$H$4)</f>
        <v>297457.627118644</v>
      </c>
      <c r="H49" s="8" t="n">
        <f aca="false">H29*H46/(1+INDEX(Assumptions!$C$15:$E$15,$B$3)*$H$4)</f>
        <v>394067.79661017</v>
      </c>
      <c r="I49" s="8" t="n">
        <f aca="false">I29*I46/(1+INDEX(Assumptions!$C$15:$E$15,$B$3)*$H$4)</f>
        <v>769435.03361649</v>
      </c>
      <c r="J49" s="8" t="n">
        <f aca="false">J29*J46/(1+INDEX(Assumptions!$C$15:$E$15,$B$3)*$H$4)</f>
        <v>377572.315907173</v>
      </c>
      <c r="K49" s="8" t="n">
        <f aca="false">K29*K46/(1+INDEX(Assumptions!$C$15:$E$15,$B$3)*$H$4)</f>
        <v>378939.857900445</v>
      </c>
      <c r="L49" s="8" t="n">
        <f aca="false">L29*L46/(1+INDEX(Assumptions!$C$15:$E$15,$B$3)*$H$4)</f>
        <v>503389.830508475</v>
      </c>
      <c r="M49" s="8" t="n">
        <f aca="false">M29*M46/(1+INDEX(Assumptions!$C$15:$E$15,$B$3)*$H$4)</f>
        <v>456823.76696015</v>
      </c>
      <c r="N49" s="8" t="n">
        <f aca="false">N29*N46/(1+INDEX(Assumptions!$C$15:$E$15,$B$3)*$H$4)</f>
        <v>412733.821339896</v>
      </c>
      <c r="O49" s="37" t="n">
        <f aca="false">SUM(C49:N49)</f>
        <v>4104920.04996144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125857.438635724</v>
      </c>
      <c r="K50" s="8" t="n">
        <f aca="false">K30*K46/(1+INDEX(Assumptions!$C$15:$E$15,$B$3)*$H$4)</f>
        <v>126313.285966815</v>
      </c>
      <c r="L50" s="8" t="n">
        <f aca="false">L30*L46/(1+INDEX(Assumptions!$C$15:$E$15,$B$3)*$H$4)</f>
        <v>167796.610169492</v>
      </c>
      <c r="M50" s="8" t="n">
        <f aca="false">M30*M46/(1+INDEX(Assumptions!$C$15:$E$15,$B$3)*$H$4)</f>
        <v>152274.588986717</v>
      </c>
      <c r="N50" s="8" t="n">
        <f aca="false">N30*N46/(1+INDEX(Assumptions!$C$15:$E$15,$B$3)*$H$4)</f>
        <v>137577.940446632</v>
      </c>
      <c r="O50" s="37" t="n">
        <f aca="false">SUM(C50:N50)</f>
        <v>709819.864205379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7026.48305084746</v>
      </c>
      <c r="F51" s="8" t="n">
        <f aca="false">F32*MAX(0,F46-INDEX(Assumptions!$C$18:$E$18,$B$3)*$H$3)/(1+INDEX(Assumptions!$C$15:$E$15,$B$3)*$H$4)</f>
        <v>9538.98305084746</v>
      </c>
      <c r="G51" s="8" t="n">
        <f aca="false">G32*MAX(0,G46-INDEX(Assumptions!$C$18:$E$18,$B$3)*$H$3)/(1+INDEX(Assumptions!$C$15:$E$15,$B$3)*$H$4)</f>
        <v>13817.8983050847</v>
      </c>
      <c r="H51" s="8" t="n">
        <f aca="false">H32*MAX(0,H46-INDEX(Assumptions!$C$18:$E$18,$B$3)*$H$3)/(1+INDEX(Assumptions!$C$15:$E$15,$B$3)*$H$4)</f>
        <v>19929.6610169492</v>
      </c>
      <c r="I51" s="8" t="n">
        <f aca="false">I32*MAX(0,I46-INDEX(Assumptions!$C$18:$E$18,$B$3)*$H$3)/(1+INDEX(Assumptions!$C$15:$E$15,$B$3)*$H$4)</f>
        <v>51094.267643625</v>
      </c>
      <c r="J51" s="8" t="n">
        <f aca="false">J32*MAX(0,J46-INDEX(Assumptions!$C$18:$E$18,$B$3)*$H$3)/(1+INDEX(Assumptions!$C$15:$E$15,$B$3)*$H$4)</f>
        <v>47142.3209851776</v>
      </c>
      <c r="K51" s="8" t="n">
        <f aca="false">K32*MAX(0,K46-INDEX(Assumptions!$C$18:$E$18,$B$3)*$H$3)/(1+INDEX(Assumptions!$C$15:$E$15,$B$3)*$H$4)</f>
        <v>33432.7256155834</v>
      </c>
      <c r="L51" s="8" t="n">
        <f aca="false">L32*MAX(0,L46-INDEX(Assumptions!$C$18:$E$18,$B$3)*$H$3)/(1+INDEX(Assumptions!$C$15:$E$15,$B$3)*$H$4)</f>
        <v>50651.6276726928</v>
      </c>
      <c r="M51" s="8" t="n">
        <f aca="false">M32*MAX(0,M46-INDEX(Assumptions!$C$18:$E$18,$B$3)*$H$3)/(1+INDEX(Assumptions!$C$15:$E$15,$B$3)*$H$4)</f>
        <v>63969.8297162292</v>
      </c>
      <c r="N51" s="8" t="n">
        <f aca="false">N32*MAX(0,N46-INDEX(Assumptions!$C$18:$E$18,$B$3)*$H$3)/(1+INDEX(Assumptions!$C$15:$E$15,$B$3)*$H$4)</f>
        <v>55071.9069050345</v>
      </c>
      <c r="O51" s="37" t="n">
        <f aca="false">SUM(C51:N51)</f>
        <v>355763.839555292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46493.6440677966</v>
      </c>
      <c r="E52" s="8" t="n">
        <f aca="false">E31*INDEX(Assumptions!$C$18:$E$18,$B$3)*$H$3/(1+INDEX(Assumptions!$C$15:$E$15,$B$3)*$H$4)</f>
        <v>63118.6440677966</v>
      </c>
      <c r="F52" s="8" t="n">
        <f aca="false">F31*INDEX(Assumptions!$C$18:$E$18,$B$3)*$H$3/(1+INDEX(Assumptions!$C$15:$E$15,$B$3)*$H$4)</f>
        <v>91431.8644067797</v>
      </c>
      <c r="G52" s="8" t="n">
        <f aca="false">G31*INDEX(Assumptions!$C$18:$E$18,$B$3)*$H$3/(1+INDEX(Assumptions!$C$15:$E$15,$B$3)*$H$4)</f>
        <v>131872.881355932</v>
      </c>
      <c r="H52" s="8" t="n">
        <f aca="false">H31*INDEX(Assumptions!$C$18:$E$18,$B$3)*$H$3/(1+INDEX(Assumptions!$C$15:$E$15,$B$3)*$H$4)</f>
        <v>174703.389830509</v>
      </c>
      <c r="I52" s="8" t="n">
        <f aca="false">I31*INDEX(Assumptions!$C$18:$E$18,$B$3)*$H$3/(1+INDEX(Assumptions!$C$15:$E$15,$B$3)*$H$4)</f>
        <v>255837.148677483</v>
      </c>
      <c r="J52" s="8" t="n">
        <f aca="false">J31*INDEX(Assumptions!$C$18:$E$18,$B$3)*$H$3/(1+INDEX(Assumptions!$C$15:$E$15,$B$3)*$H$4)</f>
        <v>167390.393385513</v>
      </c>
      <c r="K52" s="8" t="n">
        <f aca="false">K31*INDEX(Assumptions!$C$18:$E$18,$B$3)*$H$3/(1+INDEX(Assumptions!$C$15:$E$15,$B$3)*$H$4)</f>
        <v>167996.670335864</v>
      </c>
      <c r="L52" s="8" t="n">
        <f aca="false">L31*INDEX(Assumptions!$C$18:$E$18,$B$3)*$H$3/(1+INDEX(Assumptions!$C$15:$E$15,$B$3)*$H$4)</f>
        <v>223169.491525424</v>
      </c>
      <c r="M52" s="8" t="n">
        <f aca="false">M31*INDEX(Assumptions!$C$18:$E$18,$B$3)*$H$3/(1+INDEX(Assumptions!$C$15:$E$15,$B$3)*$H$4)</f>
        <v>202525.203352333</v>
      </c>
      <c r="N52" s="8" t="n">
        <f aca="false">N31*INDEX(Assumptions!$C$18:$E$18,$B$3)*$H$3/(1+INDEX(Assumptions!$C$15:$E$15,$B$3)*$H$4)</f>
        <v>182978.660794021</v>
      </c>
      <c r="O52" s="37" t="n">
        <f aca="false">SUM(C52:N52)</f>
        <v>1734568.83925708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2439.01758315579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3311.15114319331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4796.43894171145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6917.94078131459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9164.7933427672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13835.8815626292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14368.0308534995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13303.7322717588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11707.2843991478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11175.1351082774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10642.9858174071</v>
      </c>
      <c r="O53" s="37" t="n">
        <f aca="false">SUM(C53:N53)</f>
        <v>103081.456580516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36016.9491525424</v>
      </c>
      <c r="F54" s="8" t="n">
        <f aca="false">F39*INDEX(Assumptions!$C$21:$E$21,$B$3)*$H$3/(1+INDEX(Assumptions!$C$15:$E$15,$B$3)*$H$4)</f>
        <v>72033.8983050848</v>
      </c>
      <c r="G54" s="8" t="n">
        <f aca="false">G39*INDEX(Assumptions!$C$21:$E$21,$B$3)*$H$3/(1+INDEX(Assumptions!$C$15:$E$15,$B$3)*$H$4)</f>
        <v>108050.847457627</v>
      </c>
      <c r="H54" s="8" t="n">
        <f aca="false">H39*INDEX(Assumptions!$C$21:$E$21,$B$3)*$H$3/(1+INDEX(Assumptions!$C$15:$E$15,$B$3)*$H$4)</f>
        <v>144067.79661017</v>
      </c>
      <c r="I54" s="8" t="n">
        <f aca="false">I39*INDEX(Assumptions!$C$21:$E$21,$B$3)*$H$3/(1+INDEX(Assumptions!$C$15:$E$15,$B$3)*$H$4)</f>
        <v>180084.745762712</v>
      </c>
      <c r="J54" s="8" t="n">
        <f aca="false">J39*INDEX(Assumptions!$C$21:$E$21,$B$3)*$H$3/(1+INDEX(Assumptions!$C$15:$E$15,$B$3)*$H$4)</f>
        <v>216101.694915254</v>
      </c>
      <c r="K54" s="8" t="n">
        <f aca="false">K39*INDEX(Assumptions!$C$21:$E$21,$B$3)*$H$3/(1+INDEX(Assumptions!$C$15:$E$15,$B$3)*$H$4)</f>
        <v>216101.694915254</v>
      </c>
      <c r="L54" s="8" t="n">
        <f aca="false">L39*INDEX(Assumptions!$C$21:$E$21,$B$3)*$H$3/(1+INDEX(Assumptions!$C$15:$E$15,$B$3)*$H$4)</f>
        <v>216101.694915254</v>
      </c>
      <c r="M54" s="8" t="n">
        <f aca="false">M39*INDEX(Assumptions!$C$21:$E$21,$B$3)*$H$3/(1+INDEX(Assumptions!$C$15:$E$15,$B$3)*$H$4)</f>
        <v>216101.694915254</v>
      </c>
      <c r="N54" s="8" t="n">
        <f aca="false">N39*INDEX(Assumptions!$C$21:$E$21,$B$3)*$H$3/(1+INDEX(Assumptions!$C$15:$E$15,$B$3)*$H$4)</f>
        <v>216101.694915254</v>
      </c>
      <c r="O54" s="37" t="n">
        <f aca="false">SUM(C54:N54)</f>
        <v>1620762.71186441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43494.1242937853</v>
      </c>
      <c r="D55" s="8" t="n">
        <f aca="false">D40*INDEX(Assumptions!$C$22:$E$22,$B$3)*$H$3/(1+INDEX(Assumptions!$C$15:$E$15,$B$3)*$H$4)</f>
        <v>74561.3559322034</v>
      </c>
      <c r="E55" s="8" t="n">
        <f aca="false">E40*INDEX(Assumptions!$C$22:$E$22,$B$3)*$H$3/(1+INDEX(Assumptions!$C$15:$E$15,$B$3)*$H$4)</f>
        <v>111842.033898305</v>
      </c>
      <c r="F55" s="8" t="n">
        <f aca="false">F40*INDEX(Assumptions!$C$22:$E$22,$B$3)*$H$3/(1+INDEX(Assumptions!$C$15:$E$15,$B$3)*$H$4)</f>
        <v>121162.203389831</v>
      </c>
      <c r="G55" s="8" t="n">
        <f aca="false">G40*INDEX(Assumptions!$C$22:$E$22,$B$3)*$H$3/(1+INDEX(Assumptions!$C$15:$E$15,$B$3)*$H$4)</f>
        <v>83881.5254237288</v>
      </c>
      <c r="H55" s="8" t="n">
        <f aca="false">H40*INDEX(Assumptions!$C$22:$E$22,$B$3)*$H$3/(1+INDEX(Assumptions!$C$15:$E$15,$B$3)*$H$4)</f>
        <v>74561.3559322034</v>
      </c>
      <c r="I55" s="8" t="n">
        <f aca="false">I40*INDEX(Assumptions!$C$22:$E$22,$B$3)*$H$3/(1+INDEX(Assumptions!$C$15:$E$15,$B$3)*$H$4)</f>
        <v>65241.186440678</v>
      </c>
      <c r="J55" s="8" t="n">
        <f aca="false">J40*INDEX(Assumptions!$C$22:$E$22,$B$3)*$H$3/(1+INDEX(Assumptions!$C$15:$E$15,$B$3)*$H$4)</f>
        <v>55921.0169491525</v>
      </c>
      <c r="K55" s="8" t="n">
        <f aca="false">K40*INDEX(Assumptions!$C$22:$E$22,$B$3)*$H$3/(1+INDEX(Assumptions!$C$15:$E$15,$B$3)*$H$4)</f>
        <v>55921.0169491525</v>
      </c>
      <c r="L55" s="8" t="n">
        <f aca="false">L40*INDEX(Assumptions!$C$22:$E$22,$B$3)*$H$3/(1+INDEX(Assumptions!$C$15:$E$15,$B$3)*$H$4)</f>
        <v>74561.3559322034</v>
      </c>
      <c r="M55" s="8" t="n">
        <f aca="false">M40*INDEX(Assumptions!$C$22:$E$22,$B$3)*$H$3/(1+INDEX(Assumptions!$C$15:$E$15,$B$3)*$H$4)</f>
        <v>102521.86440678</v>
      </c>
      <c r="N55" s="8" t="n">
        <f aca="false">N40*INDEX(Assumptions!$C$22:$E$22,$B$3)*$H$3/(1+INDEX(Assumptions!$C$15:$E$15,$B$3)*$H$4)</f>
        <v>130482.372881356</v>
      </c>
      <c r="O55" s="37" t="n">
        <f aca="false">SUM(C55:N55)</f>
        <v>994151.412429379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40650.8474576271</v>
      </c>
      <c r="I56" s="8" t="n">
        <f aca="false">I43*INDEX(Assumptions!$C$83:$E$83,$B$3)/(1+INDEX(Assumptions!$C$15:$E$15,$B$3)*$H$4)</f>
        <v>40650.8474576271</v>
      </c>
      <c r="J56" s="8" t="n">
        <f aca="false">J43*INDEX(Assumptions!$C$83:$E$83,$B$3)/(1+INDEX(Assumptions!$C$15:$E$15,$B$3)*$H$4)</f>
        <v>40650.8474576271</v>
      </c>
      <c r="K56" s="8" t="n">
        <f aca="false">K43*INDEX(Assumptions!$C$83:$E$83,$B$3)/(1+INDEX(Assumptions!$C$15:$E$15,$B$3)*$H$4)</f>
        <v>40650.8474576271</v>
      </c>
      <c r="L56" s="8" t="n">
        <f aca="false">L43*INDEX(Assumptions!$C$83:$E$83,$B$3)/(1+INDEX(Assumptions!$C$15:$E$15,$B$3)*$H$4)</f>
        <v>40650.8474576271</v>
      </c>
      <c r="M56" s="8" t="n">
        <f aca="false">M43*INDEX(Assumptions!$C$83:$E$83,$B$3)/(1+INDEX(Assumptions!$C$15:$E$15,$B$3)*$H$4)</f>
        <v>40650.8474576271</v>
      </c>
      <c r="N56" s="8" t="n">
        <f aca="false">N43*INDEX(Assumptions!$C$83:$E$83,$B$3)/(1+INDEX(Assumptions!$C$15:$E$15,$B$3)*$H$4)</f>
        <v>40650.8474576271</v>
      </c>
      <c r="O56" s="37" t="n">
        <f aca="false">SUM(C56:N56)</f>
        <v>284555.93220339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2520.9343220339</v>
      </c>
      <c r="F57" s="8" t="n">
        <f aca="false">F44*INDEX(Assumptions!$C$23:$E$23,$B$3)/(1+INDEX(Assumptions!$C$15:$E$15,$B$3)*$H$4)</f>
        <v>5041.8686440678</v>
      </c>
      <c r="G57" s="8" t="n">
        <f aca="false">G44*INDEX(Assumptions!$C$23:$E$23,$B$3)/(1+INDEX(Assumptions!$C$15:$E$15,$B$3)*$H$4)</f>
        <v>7562.8029661017</v>
      </c>
      <c r="H57" s="8" t="n">
        <f aca="false">H44*INDEX(Assumptions!$C$23:$E$23,$B$3)/(1+INDEX(Assumptions!$C$15:$E$15,$B$3)*$H$4)</f>
        <v>10083.7372881356</v>
      </c>
      <c r="I57" s="8" t="n">
        <f aca="false">I44*INDEX(Assumptions!$C$23:$E$23,$B$3)/(1+INDEX(Assumptions!$C$15:$E$15,$B$3)*$H$4)</f>
        <v>12604.6716101695</v>
      </c>
      <c r="J57" s="8" t="n">
        <f aca="false">J44*INDEX(Assumptions!$C$23:$E$23,$B$3)/(1+INDEX(Assumptions!$C$15:$E$15,$B$3)*$H$4)</f>
        <v>15125.6059322034</v>
      </c>
      <c r="K57" s="8" t="n">
        <f aca="false">K44*INDEX(Assumptions!$C$23:$E$23,$B$3)/(1+INDEX(Assumptions!$C$15:$E$15,$B$3)*$H$4)</f>
        <v>15125.6059322034</v>
      </c>
      <c r="L57" s="8" t="n">
        <f aca="false">L44*INDEX(Assumptions!$C$23:$E$23,$B$3)/(1+INDEX(Assumptions!$C$15:$E$15,$B$3)*$H$4)</f>
        <v>15125.6059322034</v>
      </c>
      <c r="M57" s="8" t="n">
        <f aca="false">M44*INDEX(Assumptions!$C$23:$E$23,$B$3)/(1+INDEX(Assumptions!$C$15:$E$15,$B$3)*$H$4)</f>
        <v>15125.6059322034</v>
      </c>
      <c r="N57" s="8" t="n">
        <f aca="false">N44*INDEX(Assumptions!$C$23:$E$23,$B$3)/(1+INDEX(Assumptions!$C$15:$E$15,$B$3)*$H$4)</f>
        <v>15125.6059322034</v>
      </c>
      <c r="O57" s="37" t="n">
        <f aca="false">SUM(C57:N57)</f>
        <v>113442.044491525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10895.2000760095</v>
      </c>
      <c r="J58" s="8" t="n">
        <f aca="false">(J29+J30)*(1-J47)*INDEX(Assumptions!$C$90:$E$90,$B$3)</f>
        <v>7128.56532432742</v>
      </c>
      <c r="K58" s="8" t="n">
        <f aca="false">(K29+K30)*(1-K47)*INDEX(Assumptions!$C$90:$E$90,$B$3)</f>
        <v>7154.3845171604</v>
      </c>
      <c r="L58" s="8" t="n">
        <f aca="false">(L29+L30)*(1-L47)*INDEX(Assumptions!$C$90:$E$90,$B$3)</f>
        <v>9504</v>
      </c>
      <c r="M58" s="8" t="n">
        <f aca="false">(M29+M30)*(1-M47)*INDEX(Assumptions!$C$90:$E$90,$B$3)</f>
        <v>8624.83272020763</v>
      </c>
      <c r="N58" s="8" t="n">
        <f aca="false">(N29+N30)*(1-N47)*INDEX(Assumptions!$C$90:$E$90,$B$3)</f>
        <v>7792.41454689723</v>
      </c>
      <c r="O58" s="37" t="n">
        <f aca="false">SUM(C58:N58)</f>
        <v>51099.3971846022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132980.985679609</v>
      </c>
      <c r="D59" s="37" t="n">
        <f aca="false">SUM(D49:D58)</f>
        <v>232455.034532308</v>
      </c>
      <c r="E59" s="37" t="n">
        <f aca="false">SUM(E49:E58)</f>
        <v>366209.076990651</v>
      </c>
      <c r="F59" s="37" t="n">
        <f aca="false">SUM(F49:F58)</f>
        <v>510242.544873915</v>
      </c>
      <c r="G59" s="37" t="n">
        <f aca="false">SUM(G49:G58)</f>
        <v>649561.523408433</v>
      </c>
      <c r="H59" s="37" t="n">
        <f aca="false">SUM(H49:H58)</f>
        <v>867229.37808853</v>
      </c>
      <c r="I59" s="37" t="n">
        <f aca="false">SUM(I49:I58)</f>
        <v>1399678.98284742</v>
      </c>
      <c r="J59" s="37" t="n">
        <f aca="false">SUM(J49:J58)</f>
        <v>1067258.23034565</v>
      </c>
      <c r="K59" s="37" t="n">
        <f aca="false">SUM(K49:K58)</f>
        <v>1054939.82186186</v>
      </c>
      <c r="L59" s="37" t="n">
        <f aca="false">SUM(L49:L58)</f>
        <v>1312658.34851252</v>
      </c>
      <c r="M59" s="37" t="n">
        <f aca="false">SUM(M49:M58)</f>
        <v>1269793.36955578</v>
      </c>
      <c r="N59" s="37" t="n">
        <f aca="false">SUM(N49:N58)</f>
        <v>1209158.25103633</v>
      </c>
      <c r="O59" s="31" t="n">
        <f aca="false">SUM(C59:N59)</f>
        <v>10072165.547733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155454.661016949</v>
      </c>
      <c r="E60" s="8" t="n">
        <f aca="false">E49+E50+E51+E52</f>
        <v>212518.008474576</v>
      </c>
      <c r="F60" s="8" t="n">
        <f aca="false">F49+F50+F51+F52</f>
        <v>307208.13559322</v>
      </c>
      <c r="G60" s="8" t="n">
        <f aca="false">G49+G50+G51+G52</f>
        <v>443148.406779661</v>
      </c>
      <c r="H60" s="8" t="n">
        <f aca="false">H49+H50+H51+H52</f>
        <v>588700.847457627</v>
      </c>
      <c r="I60" s="8" t="n">
        <f aca="false">I49+I50+I51+I52</f>
        <v>1076366.4499376</v>
      </c>
      <c r="J60" s="8" t="n">
        <f aca="false">J49+J50+J51+J52</f>
        <v>717962.468913588</v>
      </c>
      <c r="K60" s="8" t="n">
        <f aca="false">K49+K50+K51+K52</f>
        <v>706682.539818707</v>
      </c>
      <c r="L60" s="8" t="n">
        <f aca="false">L49+L50+L51+L52</f>
        <v>945007.559876083</v>
      </c>
      <c r="M60" s="8" t="n">
        <f aca="false">M49+M50+M51+M52</f>
        <v>875593.389015429</v>
      </c>
      <c r="N60" s="8" t="n">
        <f aca="false">N49+N50+N51+N52</f>
        <v>788362.329485583</v>
      </c>
      <c r="O60" s="37" t="n">
        <f aca="false">SUM(C60:N60)</f>
        <v>6905072.59297919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13815</v>
      </c>
      <c r="E62" s="8" t="n">
        <f aca="false">((E29+E32)*INDEX(Assumptions!$C$91:$E$91,$B$3)+E30*INDEX(Assumptions!$C$93:$E$93,$B$3))*$N$3</f>
        <v>19275</v>
      </c>
      <c r="F62" s="8" t="n">
        <f aca="false">((F29+F32)*INDEX(Assumptions!$C$91:$E$91,$B$3)+F30*INDEX(Assumptions!$C$93:$E$93,$B$3))*$N$3</f>
        <v>27696</v>
      </c>
      <c r="G62" s="8" t="n">
        <f aca="false">((G29+G32)*INDEX(Assumptions!$C$91:$E$91,$B$3)+G30*INDEX(Assumptions!$C$93:$E$93,$B$3))*$N$3</f>
        <v>39967.2</v>
      </c>
      <c r="H62" s="8" t="n">
        <f aca="false">((H29+H32)*INDEX(Assumptions!$C$91:$E$91,$B$3)+H30*INDEX(Assumptions!$C$93:$E$93,$B$3))*$N$3</f>
        <v>53520</v>
      </c>
      <c r="I62" s="8" t="n">
        <f aca="false">((I29+I32)*INDEX(Assumptions!$C$91:$E$91,$B$3)+I30*INDEX(Assumptions!$C$93:$E$93,$B$3))*$N$3</f>
        <v>77116.1330166271</v>
      </c>
      <c r="J62" s="8" t="n">
        <f aca="false">((J29+J32)*INDEX(Assumptions!$C$91:$E$91,$B$3)+J30*INDEX(Assumptions!$C$93:$E$93,$B$3))*$N$3</f>
        <v>55661.511465342</v>
      </c>
      <c r="K62" s="8" t="n">
        <f aca="false">((K29+K32)*INDEX(Assumptions!$C$91:$E$91,$B$3)+K30*INDEX(Assumptions!$C$93:$E$93,$B$3))*$N$3</f>
        <v>53412.4200298626</v>
      </c>
      <c r="L62" s="8" t="n">
        <f aca="false">((L29+L32)*INDEX(Assumptions!$C$91:$E$91,$B$3)+L30*INDEX(Assumptions!$C$93:$E$93,$B$3))*$N$3</f>
        <v>72055.4806464505</v>
      </c>
      <c r="M62" s="8" t="n">
        <f aca="false">((M29+M32)*INDEX(Assumptions!$C$91:$E$91,$B$3)+M30*INDEX(Assumptions!$C$93:$E$93,$B$3))*$N$3</f>
        <v>68568.7035829007</v>
      </c>
      <c r="N62" s="8" t="n">
        <f aca="false">((N29+N32)*INDEX(Assumptions!$C$91:$E$91,$B$3)+N30*INDEX(Assumptions!$C$93:$E$93,$B$3))*$N$3</f>
        <v>61469.9218252437</v>
      </c>
      <c r="O62" s="37" t="n">
        <f aca="false">SUM(C62:N62)</f>
        <v>549757.370566427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24750</v>
      </c>
      <c r="E63" s="8" t="n">
        <f aca="false">(E29+E30)*E47*INDEX(Assumptions!$C$14:$E$14,$B$3)*$N$3</f>
        <v>33600</v>
      </c>
      <c r="F63" s="8" t="n">
        <f aca="false">(F29+F30)*F47*INDEX(Assumptions!$C$14:$E$14,$B$3)*$N$3</f>
        <v>48672</v>
      </c>
      <c r="G63" s="8" t="n">
        <f aca="false">(G29+G30)*G47*INDEX(Assumptions!$C$14:$E$14,$B$3)*$N$3</f>
        <v>70200</v>
      </c>
      <c r="H63" s="8" t="n">
        <f aca="false">(H29+H30)*H47*INDEX(Assumptions!$C$14:$E$14,$B$3)*$N$3</f>
        <v>93000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284622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2750</v>
      </c>
      <c r="E64" s="8" t="n">
        <f aca="false">E31*INDEX(Assumptions!$C$92:$E$92,$B$3)*$N$3</f>
        <v>3733.33333333333</v>
      </c>
      <c r="F64" s="8" t="n">
        <f aca="false">F31*INDEX(Assumptions!$C$92:$E$92,$B$3)*$N$3</f>
        <v>5408</v>
      </c>
      <c r="G64" s="8" t="n">
        <f aca="false">G31*INDEX(Assumptions!$C$92:$E$92,$B$3)*$N$3</f>
        <v>7800</v>
      </c>
      <c r="H64" s="8" t="n">
        <f aca="false">H31*INDEX(Assumptions!$C$92:$E$92,$B$3)*$N$3</f>
        <v>10333.3333333333</v>
      </c>
      <c r="I64" s="8" t="n">
        <f aca="false">I31*INDEX(Assumptions!$C$92:$E$92,$B$3)*$N$3</f>
        <v>15132.222327791</v>
      </c>
      <c r="J64" s="8" t="n">
        <f aca="false">J31*INDEX(Assumptions!$C$92:$E$92,$B$3)*$N$3</f>
        <v>9900.78517267697</v>
      </c>
      <c r="K64" s="8" t="n">
        <f aca="false">K31*INDEX(Assumptions!$C$92:$E$92,$B$3)*$N$3</f>
        <v>9936.64516272278</v>
      </c>
      <c r="L64" s="8" t="n">
        <f aca="false">L31*INDEX(Assumptions!$C$92:$E$92,$B$3)*$N$3</f>
        <v>13200</v>
      </c>
      <c r="M64" s="8" t="n">
        <f aca="false">M31*INDEX(Assumptions!$C$92:$E$92,$B$3)*$N$3</f>
        <v>11978.9343336217</v>
      </c>
      <c r="N64" s="8" t="n">
        <f aca="false">N31*INDEX(Assumptions!$C$92:$E$92,$B$3)*$N$3</f>
        <v>10822.7979818017</v>
      </c>
      <c r="O64" s="37" t="n">
        <f aca="false">SUM(C64:N64)</f>
        <v>102596.051645281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4575.70981863665</v>
      </c>
      <c r="D65" s="8" t="n">
        <f aca="false">(D39*INDEX(Assumptions!$C$94:$E$94,$B$3)+D40*INDEX(Assumptions!$C$95:$E$95,$B$3)+D41*INDEX(Assumptions!$C$96:$E$96,$B$3))*$N$3</f>
        <v>7846.1679174484</v>
      </c>
      <c r="E65" s="8" t="n">
        <f aca="false">(E39*INDEX(Assumptions!$C$94:$E$94,$B$3)+E40*INDEX(Assumptions!$C$95:$E$95,$B$3)+E41*INDEX(Assumptions!$C$96:$E$96,$B$3))*$N$3</f>
        <v>15904.4340212633</v>
      </c>
      <c r="F65" s="8" t="n">
        <f aca="false">(F39*INDEX(Assumptions!$C$94:$E$94,$B$3)+F40*INDEX(Assumptions!$C$95:$E$95,$B$3)+F41*INDEX(Assumptions!$C$96:$E$96,$B$3))*$N$3</f>
        <v>21525.3658536585</v>
      </c>
      <c r="G65" s="8" t="n">
        <f aca="false">(G39*INDEX(Assumptions!$C$94:$E$94,$B$3)+G40*INDEX(Assumptions!$C$95:$E$95,$B$3)+G41*INDEX(Assumptions!$C$96:$E$96,$B$3))*$N$3</f>
        <v>22956.5853658537</v>
      </c>
      <c r="H65" s="8" t="n">
        <f aca="false">(H39*INDEX(Assumptions!$C$94:$E$94,$B$3)+H40*INDEX(Assumptions!$C$95:$E$95,$B$3)+H41*INDEX(Assumptions!$C$96:$E$96,$B$3))*$N$3</f>
        <v>27069.2370231395</v>
      </c>
      <c r="I65" s="8" t="n">
        <f aca="false">(I39*INDEX(Assumptions!$C$94:$E$94,$B$3)+I40*INDEX(Assumptions!$C$95:$E$95,$B$3)+I41*INDEX(Assumptions!$C$96:$E$96,$B$3))*$N$3</f>
        <v>31983.1707317073</v>
      </c>
      <c r="J65" s="8" t="n">
        <f aca="false">(J39*INDEX(Assumptions!$C$94:$E$94,$B$3)+J40*INDEX(Assumptions!$C$95:$E$95,$B$3)+J41*INDEX(Assumptions!$C$96:$E$96,$B$3))*$N$3</f>
        <v>35529.0619136961</v>
      </c>
      <c r="K65" s="8" t="n">
        <f aca="false">(K39*INDEX(Assumptions!$C$94:$E$94,$B$3)+K40*INDEX(Assumptions!$C$95:$E$95,$B$3)+K41*INDEX(Assumptions!$C$96:$E$96,$B$3))*$N$3</f>
        <v>35177.2795497186</v>
      </c>
      <c r="L65" s="8" t="n">
        <f aca="false">(L39*INDEX(Assumptions!$C$94:$E$94,$B$3)+L40*INDEX(Assumptions!$C$95:$E$95,$B$3)+L41*INDEX(Assumptions!$C$96:$E$96,$B$3))*$N$3</f>
        <v>36409.6060037523</v>
      </c>
      <c r="M65" s="8" t="n">
        <f aca="false">(M39*INDEX(Assumptions!$C$94:$E$94,$B$3)+M40*INDEX(Assumptions!$C$95:$E$95,$B$3)+M41*INDEX(Assumptions!$C$96:$E$96,$B$3))*$N$3</f>
        <v>38873.7148217636</v>
      </c>
      <c r="N65" s="8" t="n">
        <f aca="false">(N39*INDEX(Assumptions!$C$94:$E$94,$B$3)+N40*INDEX(Assumptions!$C$95:$E$95,$B$3)+N41*INDEX(Assumptions!$C$96:$E$96,$B$3))*$N$3</f>
        <v>41337.8236397749</v>
      </c>
      <c r="O65" s="37" t="n">
        <f aca="false">SUM(C65:N65)</f>
        <v>319188.156660413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52000</v>
      </c>
      <c r="I66" s="8" t="n">
        <f aca="false">I42*INDEX(Assumptions!$C$84:$E$84,$B$3)</f>
        <v>52000</v>
      </c>
      <c r="J66" s="8" t="n">
        <f aca="false">J42*INDEX(Assumptions!$C$84:$E$84,$B$3)</f>
        <v>52000</v>
      </c>
      <c r="K66" s="8" t="n">
        <f aca="false">K42*INDEX(Assumptions!$C$84:$E$84,$B$3)</f>
        <v>52000</v>
      </c>
      <c r="L66" s="8" t="n">
        <f aca="false">L42*INDEX(Assumptions!$C$84:$E$84,$B$3)</f>
        <v>52000</v>
      </c>
      <c r="M66" s="8" t="n">
        <f aca="false">M42*INDEX(Assumptions!$C$84:$E$84,$B$3)</f>
        <v>52000</v>
      </c>
      <c r="N66" s="8" t="n">
        <f aca="false">N42*INDEX(Assumptions!$C$84:$E$84,$B$3)</f>
        <v>52000</v>
      </c>
      <c r="O66" s="37" t="n">
        <f aca="false">SUM(C66:N66)</f>
        <v>364000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595</v>
      </c>
      <c r="F67" s="8" t="n">
        <f aca="false">F44*INDEX(Assumptions!$C$97:$E$97,$B$3)</f>
        <v>1190</v>
      </c>
      <c r="G67" s="8" t="n">
        <f aca="false">G44*INDEX(Assumptions!$C$97:$E$97,$B$3)</f>
        <v>1785</v>
      </c>
      <c r="H67" s="8" t="n">
        <f aca="false">H44*INDEX(Assumptions!$C$97:$E$97,$B$3)</f>
        <v>2380</v>
      </c>
      <c r="I67" s="8" t="n">
        <f aca="false">I44*INDEX(Assumptions!$C$97:$E$97,$B$3)</f>
        <v>2975</v>
      </c>
      <c r="J67" s="8" t="n">
        <f aca="false">J44*INDEX(Assumptions!$C$97:$E$97,$B$3)</f>
        <v>3570</v>
      </c>
      <c r="K67" s="8" t="n">
        <f aca="false">K44*INDEX(Assumptions!$C$97:$E$97,$B$3)</f>
        <v>3570</v>
      </c>
      <c r="L67" s="8" t="n">
        <f aca="false">L44*INDEX(Assumptions!$C$97:$E$97,$B$3)</f>
        <v>3570</v>
      </c>
      <c r="M67" s="8" t="n">
        <f aca="false">M44*INDEX(Assumptions!$C$97:$E$97,$B$3)</f>
        <v>3570</v>
      </c>
      <c r="N67" s="8" t="n">
        <f aca="false">N44*INDEX(Assumptions!$C$97:$E$97,$B$3)</f>
        <v>3570</v>
      </c>
      <c r="O67" s="37" t="n">
        <f aca="false">SUM(C67:N67)</f>
        <v>26775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4398.35126203877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7735.98381496248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11727.6310919794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16497.5040590244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21757.491552439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29015.6608228893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49976.3540662206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36556.6075958121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36020.4430007607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45884.6931363365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43865.9815554593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41037.3074829381</v>
      </c>
      <c r="O68" s="37" t="n">
        <f aca="false">SUM(C68:N68)</f>
        <v>344474.009440861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2062.5</v>
      </c>
      <c r="E69" s="8" t="n">
        <f aca="false">E33*INDEX(Assumptions!$C$198:$E$198,$B$3)*INDEX(Assumptions!$C$69:$E$69,$B$3)</f>
        <v>2800</v>
      </c>
      <c r="F69" s="8" t="n">
        <f aca="false">F33*INDEX(Assumptions!$C$198:$E$198,$B$3)*INDEX(Assumptions!$C$69:$E$69,$B$3)</f>
        <v>4056</v>
      </c>
      <c r="G69" s="8" t="n">
        <f aca="false">G33*INDEX(Assumptions!$C$198:$E$198,$B$3)*INDEX(Assumptions!$C$69:$E$69,$B$3)</f>
        <v>5850</v>
      </c>
      <c r="H69" s="8" t="n">
        <f aca="false">H33*INDEX(Assumptions!$C$198:$E$198,$B$3)*INDEX(Assumptions!$C$69:$E$69,$B$3)</f>
        <v>7750</v>
      </c>
      <c r="I69" s="8" t="n">
        <f aca="false">I33*INDEX(Assumptions!$C$198:$E$198,$B$3)*INDEX(Assumptions!$C$69:$E$69,$B$3)</f>
        <v>11349.1667458432</v>
      </c>
      <c r="J69" s="8" t="n">
        <f aca="false">J33*INDEX(Assumptions!$C$198:$E$198,$B$3)*INDEX(Assumptions!$C$69:$E$69,$B$3)</f>
        <v>7425.58887950773</v>
      </c>
      <c r="K69" s="8" t="n">
        <f aca="false">K33*INDEX(Assumptions!$C$198:$E$198,$B$3)*INDEX(Assumptions!$C$69:$E$69,$B$3)</f>
        <v>7452.48387204209</v>
      </c>
      <c r="L69" s="8" t="n">
        <f aca="false">L33*INDEX(Assumptions!$C$198:$E$198,$B$3)*INDEX(Assumptions!$C$69:$E$69,$B$3)</f>
        <v>9900</v>
      </c>
      <c r="M69" s="8" t="n">
        <f aca="false">M33*INDEX(Assumptions!$C$198:$E$198,$B$3)*INDEX(Assumptions!$C$69:$E$69,$B$3)</f>
        <v>8984.20075021628</v>
      </c>
      <c r="N69" s="8" t="n">
        <f aca="false">N33*INDEX(Assumptions!$C$198:$E$198,$B$3)*INDEX(Assumptions!$C$69:$E$69,$B$3)</f>
        <v>8117.09848635129</v>
      </c>
      <c r="O69" s="37" t="n">
        <f aca="false">SUM(C69:N69)</f>
        <v>76947.0387339606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33374.0610806754</v>
      </c>
      <c r="D70" s="37" t="n">
        <f aca="false">SUM(D62:D69)</f>
        <v>58959.6517324109</v>
      </c>
      <c r="E70" s="37" t="n">
        <f aca="false">SUM(E62:E69)</f>
        <v>87635.398446576</v>
      </c>
      <c r="F70" s="37" t="n">
        <f aca="false">SUM(F62:F69)</f>
        <v>125044.869912683</v>
      </c>
      <c r="G70" s="37" t="n">
        <f aca="false">SUM(G62:G69)</f>
        <v>170316.276918293</v>
      </c>
      <c r="H70" s="37" t="n">
        <f aca="false">SUM(H62:H69)</f>
        <v>275068.231179362</v>
      </c>
      <c r="I70" s="37" t="n">
        <f aca="false">SUM(I62:I69)</f>
        <v>240532.046888189</v>
      </c>
      <c r="J70" s="37" t="n">
        <f aca="false">SUM(J62:J69)</f>
        <v>200643.555027035</v>
      </c>
      <c r="K70" s="37" t="n">
        <f aca="false">SUM(K62:K69)</f>
        <v>197569.271615107</v>
      </c>
      <c r="L70" s="37" t="n">
        <f aca="false">SUM(L62:L69)</f>
        <v>233019.779786539</v>
      </c>
      <c r="M70" s="37" t="n">
        <f aca="false">SUM(M62:M69)</f>
        <v>227841.535043962</v>
      </c>
      <c r="N70" s="37" t="n">
        <f aca="false">SUM(N62:N69)</f>
        <v>218354.94941611</v>
      </c>
      <c r="O70" s="31" t="n">
        <f aca="false">SUM(C70:N70)</f>
        <v>2068359.62704694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99606.9245989336</v>
      </c>
      <c r="D71" s="37" t="n">
        <f aca="false">D59-D70</f>
        <v>173495.382799897</v>
      </c>
      <c r="E71" s="37" t="n">
        <f aca="false">E59-E70</f>
        <v>278573.678544075</v>
      </c>
      <c r="F71" s="37" t="n">
        <f aca="false">F59-F70</f>
        <v>385197.674961232</v>
      </c>
      <c r="G71" s="37" t="n">
        <f aca="false">G59-G70</f>
        <v>479245.246490141</v>
      </c>
      <c r="H71" s="37" t="n">
        <f aca="false">H59-H70</f>
        <v>592161.146909168</v>
      </c>
      <c r="I71" s="37" t="n">
        <f aca="false">I59-I70</f>
        <v>1159146.93595923</v>
      </c>
      <c r="J71" s="37" t="n">
        <f aca="false">J59-J70</f>
        <v>866614.675318617</v>
      </c>
      <c r="K71" s="37" t="n">
        <f aca="false">K59-K70</f>
        <v>857370.550246757</v>
      </c>
      <c r="L71" s="37" t="n">
        <f aca="false">L59-L70</f>
        <v>1079638.56872598</v>
      </c>
      <c r="M71" s="37" t="n">
        <f aca="false">M59-M70</f>
        <v>1041951.83451182</v>
      </c>
      <c r="N71" s="37" t="n">
        <f aca="false">N59-N70</f>
        <v>990803.301620218</v>
      </c>
      <c r="O71" s="31" t="n">
        <f aca="false">SUM(C71:N71)</f>
        <v>8003805.92068607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0.749031330230297</v>
      </c>
      <c r="D72" s="7" t="n">
        <f aca="false">IFERROR(D71/D59,0)</f>
        <v>0.74636104633726</v>
      </c>
      <c r="E72" s="7" t="n">
        <f aca="false">IFERROR(E71/E59,0)</f>
        <v>0.760695722873048</v>
      </c>
      <c r="F72" s="7" t="n">
        <f aca="false">IFERROR(F71/F59,0)</f>
        <v>0.754930530256777</v>
      </c>
      <c r="G72" s="7" t="n">
        <f aca="false">IFERROR(G71/G59,0)</f>
        <v>0.737798082582547</v>
      </c>
      <c r="H72" s="7" t="n">
        <f aca="false">IFERROR(H71/H59,0)</f>
        <v>0.682819519115412</v>
      </c>
      <c r="I72" s="7" t="n">
        <f aca="false">IFERROR(I71/I59,0)</f>
        <v>0.828151990680845</v>
      </c>
      <c r="J72" s="7" t="n">
        <f aca="false">IFERROR(J71/J59,0)</f>
        <v>0.812000929744948</v>
      </c>
      <c r="K72" s="7" t="n">
        <f aca="false">IFERROR(K71/K59,0)</f>
        <v>0.812719865606726</v>
      </c>
      <c r="L72" s="7" t="n">
        <f aca="false">IFERROR(L71/L59,0)</f>
        <v>0.822482537020701</v>
      </c>
      <c r="M72" s="7" t="n">
        <f aca="false">IFERROR(M71/M59,0)</f>
        <v>0.820568022714066</v>
      </c>
      <c r="N72" s="7" t="n">
        <f aca="false">IFERROR(N71/N59,0)</f>
        <v>0.819415738817508</v>
      </c>
      <c r="O72" s="13" t="n">
        <f aca="false">IFERROR(O71/O59,0)</f>
        <v>0.794645985786793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2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3</v>
      </c>
      <c r="I74" s="8" t="n">
        <f aca="false">ROUNDUP(I35/(INDEX(Assumptions!$C$102:$E$102,$B$3)*$J$3),0)</f>
        <v>4</v>
      </c>
      <c r="J74" s="8" t="n">
        <f aca="false">ROUNDUP(J35/(INDEX(Assumptions!$C$102:$E$102,$B$3)*$J$3),0)</f>
        <v>4</v>
      </c>
      <c r="K74" s="8" t="n">
        <f aca="false">ROUNDUP(K35/(INDEX(Assumptions!$C$102:$E$102,$B$3)*$J$3),0)</f>
        <v>4</v>
      </c>
      <c r="L74" s="8" t="n">
        <f aca="false">ROUNDUP(L35/(INDEX(Assumptions!$C$102:$E$102,$B$3)*$J$3),0)</f>
        <v>4</v>
      </c>
      <c r="M74" s="8" t="n">
        <f aca="false">ROUNDUP(M35/(INDEX(Assumptions!$C$102:$E$102,$B$3)*$J$3),0)</f>
        <v>4</v>
      </c>
      <c r="N74" s="8" t="n">
        <f aca="false">ROUNDUP(N35/(INDEX(Assumptions!$C$102:$E$102,$B$3)*$J$3),0)</f>
        <v>4</v>
      </c>
      <c r="O74" s="37" t="n">
        <f aca="false">MAX(C74:N74)</f>
        <v>4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0.0916666666666667</v>
      </c>
      <c r="D75" s="6" t="n">
        <f aca="false">D74*(1-D11)</f>
        <v>0.183333333333333</v>
      </c>
      <c r="E75" s="6" t="n">
        <f aca="false">E74*(1-E11)</f>
        <v>0.275</v>
      </c>
      <c r="F75" s="6" t="n">
        <f aca="false">F74*(1-F11)</f>
        <v>0.733333333333333</v>
      </c>
      <c r="G75" s="6" t="n">
        <f aca="false">G74*(1-G11)</f>
        <v>0.916666666666667</v>
      </c>
      <c r="H75" s="6" t="n">
        <f aca="false">H74*(1-H11)</f>
        <v>1.65</v>
      </c>
      <c r="I75" s="6" t="n">
        <f aca="false">I74*(1-I11)</f>
        <v>2.33333333333333</v>
      </c>
      <c r="J75" s="6" t="n">
        <f aca="false">J74*(1-J11)</f>
        <v>2.46666666666667</v>
      </c>
      <c r="K75" s="6" t="n">
        <f aca="false">K74*(1-K11)</f>
        <v>2.6</v>
      </c>
      <c r="L75" s="6" t="n">
        <f aca="false">L74*(1-L11)</f>
        <v>2.73333333333333</v>
      </c>
      <c r="M75" s="6" t="n">
        <f aca="false">M74*(1-M11)</f>
        <v>2.86666666666667</v>
      </c>
      <c r="N75" s="6" t="n">
        <f aca="false">N74*(1-N11)</f>
        <v>3</v>
      </c>
      <c r="O75" s="39" t="n">
        <f aca="false">MAX(C75:N75)</f>
        <v>3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1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1</v>
      </c>
      <c r="J77" s="8" t="n">
        <f aca="false">IF(J76=0,0,MAX(0,ROUNDUP((J75-J76*INDEX(Assumptions!$C$101:$E$101,$B$3))/INDEX(Assumptions!$C$101:$E$101,$B$3)-0.1,0)))</f>
        <v>1</v>
      </c>
      <c r="K77" s="8" t="n">
        <f aca="false">IF(K76=0,0,MAX(0,ROUNDUP((K75-K76*INDEX(Assumptions!$C$101:$E$101,$B$3))/INDEX(Assumptions!$C$101:$E$101,$B$3)-0.1,0)))</f>
        <v>1</v>
      </c>
      <c r="L77" s="8" t="n">
        <f aca="false">IF(L76=0,0,MAX(0,ROUNDUP((L75-L76*INDEX(Assumptions!$C$101:$E$101,$B$3))/INDEX(Assumptions!$C$101:$E$101,$B$3)-0.1,0)))</f>
        <v>1</v>
      </c>
      <c r="M77" s="8" t="n">
        <f aca="false">IF(M76=0,0,MAX(0,ROUNDUP((M75-M76*INDEX(Assumptions!$C$101:$E$101,$B$3))/INDEX(Assumptions!$C$101:$E$101,$B$3)-0.1,0)))</f>
        <v>1</v>
      </c>
      <c r="N77" s="8" t="n">
        <f aca="false">IF(N76=0,0,MAX(0,ROUNDUP((N75-N76*INDEX(Assumptions!$C$101:$E$101,$B$3))/INDEX(Assumptions!$C$101:$E$101,$B$3)-0.1,0)))</f>
        <v>1</v>
      </c>
      <c r="O77" s="37" t="n">
        <f aca="false">MAX(C77:N77)</f>
        <v>1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2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78000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96000</v>
      </c>
      <c r="I79" s="8" t="n">
        <f aca="false">I76*INDEX(Assumptions!$C$98:$E$98,$B$3)+I77*INDEX(Assumptions!$C$99:$E$99,$B$3)+I78*INDEX(Assumptions!$C$100:$E$100,$B$3)</f>
        <v>134000</v>
      </c>
      <c r="J79" s="8" t="n">
        <f aca="false">J76*INDEX(Assumptions!$C$98:$E$98,$B$3)+J77*INDEX(Assumptions!$C$99:$E$99,$B$3)+J78*INDEX(Assumptions!$C$100:$E$100,$B$3)</f>
        <v>134000</v>
      </c>
      <c r="K79" s="8" t="n">
        <f aca="false">K76*INDEX(Assumptions!$C$98:$E$98,$B$3)+K77*INDEX(Assumptions!$C$99:$E$99,$B$3)+K78*INDEX(Assumptions!$C$100:$E$100,$B$3)</f>
        <v>134000</v>
      </c>
      <c r="L79" s="8" t="n">
        <f aca="false">L76*INDEX(Assumptions!$C$98:$E$98,$B$3)+L77*INDEX(Assumptions!$C$99:$E$99,$B$3)+L78*INDEX(Assumptions!$C$100:$E$100,$B$3)</f>
        <v>134000</v>
      </c>
      <c r="M79" s="8" t="n">
        <f aca="false">M76*INDEX(Assumptions!$C$98:$E$98,$B$3)+M77*INDEX(Assumptions!$C$99:$E$99,$B$3)+M78*INDEX(Assumptions!$C$100:$E$100,$B$3)</f>
        <v>134000</v>
      </c>
      <c r="N79" s="8" t="n">
        <f aca="false">N76*INDEX(Assumptions!$C$98:$E$98,$B$3)+N77*INDEX(Assumptions!$C$99:$E$99,$B$3)+N78*INDEX(Assumptions!$C$100:$E$100,$B$3)</f>
        <v>134000</v>
      </c>
      <c r="O79" s="37" t="n">
        <f aca="false">SUM(C79:N79)</f>
        <v>1290000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50000</v>
      </c>
      <c r="G80" s="8" t="n">
        <f aca="false">(IF(5&gt;=INDEX(Assumptions!$C$164:$E$164,$D$3),1,0)+IF(5&gt;=INDEX(Assumptions!$C$166:$E$166,$D$3),INDEX(Assumptions!$C$165:$E$165,$D$3),0))*INDEX(Assumptions!$C$108:$E$108,$D$3)</f>
        <v>50000</v>
      </c>
      <c r="H80" s="8" t="n">
        <f aca="false">(IF(6&gt;=INDEX(Assumptions!$C$164:$E$164,$D$3),1,0)+IF(6&gt;=INDEX(Assumptions!$C$166:$E$166,$D$3),INDEX(Assumptions!$C$165:$E$165,$D$3),0))*INDEX(Assumptions!$C$108:$E$108,$D$3)</f>
        <v>50000</v>
      </c>
      <c r="I80" s="8" t="n">
        <f aca="false">(IF(7&gt;=INDEX(Assumptions!$C$164:$E$164,$D$3),1,0)+IF(7&gt;=INDEX(Assumptions!$C$166:$E$166,$D$3),INDEX(Assumptions!$C$165:$E$165,$D$3),0))*INDEX(Assumptions!$C$108:$E$108,$D$3)</f>
        <v>50000</v>
      </c>
      <c r="J80" s="8" t="n">
        <f aca="false">(IF(8&gt;=INDEX(Assumptions!$C$164:$E$164,$D$3),1,0)+IF(8&gt;=INDEX(Assumptions!$C$166:$E$166,$D$3),INDEX(Assumptions!$C$165:$E$165,$D$3),0))*INDEX(Assumptions!$C$108:$E$108,$D$3)</f>
        <v>50000</v>
      </c>
      <c r="K80" s="8" t="n">
        <f aca="false">(IF(9&gt;=INDEX(Assumptions!$C$164:$E$164,$D$3),1,0)+IF(9&gt;=INDEX(Assumptions!$C$166:$E$166,$D$3),INDEX(Assumptions!$C$165:$E$165,$D$3),0))*INDEX(Assumptions!$C$108:$E$108,$D$3)</f>
        <v>50000</v>
      </c>
      <c r="L80" s="8" t="n">
        <f aca="false">(IF(10&gt;=INDEX(Assumptions!$C$164:$E$164,$D$3),1,0)+IF(10&gt;=INDEX(Assumptions!$C$166:$E$166,$D$3),INDEX(Assumptions!$C$165:$E$165,$D$3),0))*INDEX(Assumptions!$C$108:$E$108,$D$3)</f>
        <v>50000</v>
      </c>
      <c r="M80" s="8" t="n">
        <f aca="false">(IF(11&gt;=INDEX(Assumptions!$C$164:$E$164,$D$3),1,0)+IF(11&gt;=INDEX(Assumptions!$C$166:$E$166,$D$3),INDEX(Assumptions!$C$165:$E$165,$D$3),0))*INDEX(Assumptions!$C$108:$E$108,$D$3)</f>
        <v>50000</v>
      </c>
      <c r="N80" s="8" t="n">
        <f aca="false">(IF(12&gt;=INDEX(Assumptions!$C$164:$E$164,$D$3),1,0)+IF(12&gt;=INDEX(Assumptions!$C$166:$E$166,$D$3),INDEX(Assumptions!$C$165:$E$165,$D$3),0))*INDEX(Assumptions!$C$108:$E$108,$D$3)</f>
        <v>50000</v>
      </c>
      <c r="O80" s="37" t="n">
        <f aca="false">SUM(C80:N80)</f>
        <v>525000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25000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135000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160000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160000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160000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160000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160000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160000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160000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160000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160000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160000</v>
      </c>
      <c r="O81" s="37" t="n">
        <f aca="false">SUM(C81:N81)</f>
        <v>1760000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18000</v>
      </c>
      <c r="G82" s="8" t="n">
        <f aca="false">IF(5&gt;=INDEX(Assumptions!$C$173:$E$173,$D$3),INDEX(Assumptions!$C$185:$E$185,$D$3),0)</f>
        <v>18000</v>
      </c>
      <c r="H82" s="8" t="n">
        <f aca="false">IF(6&gt;=INDEX(Assumptions!$C$173:$E$173,$D$3),INDEX(Assumptions!$C$185:$E$185,$D$3),0)</f>
        <v>18000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162000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65000</v>
      </c>
      <c r="M83" s="8" t="n">
        <f aca="false">IF(11&gt;=INDEX(Assumptions!$C$187:$E$187,$D$3),INDEX(Assumptions!$C$186:$E$186,$B$3),0)</f>
        <v>65000</v>
      </c>
      <c r="N83" s="8" t="n">
        <f aca="false">IF(12&gt;=INDEX(Assumptions!$C$187:$E$187,$D$3),INDEX(Assumptions!$C$186:$E$186,$B$3),0)</f>
        <v>65000</v>
      </c>
      <c r="O83" s="37" t="n">
        <f aca="false">SUM(C83:N83)</f>
        <v>195000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128000</v>
      </c>
      <c r="D84" s="37" t="n">
        <f aca="false">SUM(D79:D83)</f>
        <v>238000</v>
      </c>
      <c r="E84" s="37" t="n">
        <f aca="false">SUM(E79:E83)</f>
        <v>263000</v>
      </c>
      <c r="F84" s="37" t="n">
        <f aca="false">SUM(F79:F83)</f>
        <v>306000</v>
      </c>
      <c r="G84" s="37" t="n">
        <f aca="false">SUM(G79:G83)</f>
        <v>306000</v>
      </c>
      <c r="H84" s="37" t="n">
        <f aca="false">SUM(H79:H83)</f>
        <v>324000</v>
      </c>
      <c r="I84" s="37" t="n">
        <f aca="false">SUM(I79:I83)</f>
        <v>362000</v>
      </c>
      <c r="J84" s="37" t="n">
        <f aca="false">SUM(J79:J83)</f>
        <v>362000</v>
      </c>
      <c r="K84" s="37" t="n">
        <f aca="false">SUM(K79:K83)</f>
        <v>362000</v>
      </c>
      <c r="L84" s="37" t="n">
        <f aca="false">SUM(L79:L83)</f>
        <v>427000</v>
      </c>
      <c r="M84" s="37" t="n">
        <f aca="false">SUM(M79:M83)</f>
        <v>427000</v>
      </c>
      <c r="N84" s="37" t="n">
        <f aca="false">SUM(N79:N83)</f>
        <v>427000</v>
      </c>
      <c r="O84" s="31" t="n">
        <f aca="false">SUM(C84:N84)</f>
        <v>3932000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128000</v>
      </c>
      <c r="G86" s="8" t="n">
        <f aca="false">IF(5&gt;=INDEX(Assumptions!$C$173:$E$173,$D$3),INDEX(Assumptions!$C$174:$E$174,$D$3)*INDEX(Assumptions!$C$175:$E$175,$B$3),INDEX(Assumptions!$C$179:$E$179,$B$3))*$F$4</f>
        <v>128000</v>
      </c>
      <c r="H86" s="8" t="n">
        <f aca="false">IF(6&gt;=INDEX(Assumptions!$C$173:$E$173,$D$3),INDEX(Assumptions!$C$174:$E$174,$D$3)*INDEX(Assumptions!$C$175:$E$175,$B$3),INDEX(Assumptions!$C$179:$E$179,$B$3))*$F$4</f>
        <v>128000</v>
      </c>
      <c r="I86" s="8" t="n">
        <f aca="false">IF(7&gt;=INDEX(Assumptions!$C$173:$E$173,$D$3),INDEX(Assumptions!$C$174:$E$174,$D$3)*INDEX(Assumptions!$C$175:$E$175,$B$3),INDEX(Assumptions!$C$179:$E$179,$B$3))*$F$4</f>
        <v>128000</v>
      </c>
      <c r="J86" s="8" t="n">
        <f aca="false">IF(8&gt;=INDEX(Assumptions!$C$173:$E$173,$D$3),INDEX(Assumptions!$C$174:$E$174,$D$3)*INDEX(Assumptions!$C$175:$E$175,$B$3),INDEX(Assumptions!$C$179:$E$179,$B$3))*$F$4</f>
        <v>128000</v>
      </c>
      <c r="K86" s="8" t="n">
        <f aca="false">IF(9&gt;=INDEX(Assumptions!$C$173:$E$173,$D$3),INDEX(Assumptions!$C$174:$E$174,$D$3)*INDEX(Assumptions!$C$175:$E$175,$B$3),INDEX(Assumptions!$C$179:$E$179,$B$3))*$F$4</f>
        <v>128000</v>
      </c>
      <c r="L86" s="8" t="n">
        <f aca="false">IF(10&gt;=INDEX(Assumptions!$C$173:$E$173,$D$3),INDEX(Assumptions!$C$174:$E$174,$D$3)*INDEX(Assumptions!$C$175:$E$175,$B$3),INDEX(Assumptions!$C$179:$E$179,$B$3))*$F$4</f>
        <v>128000</v>
      </c>
      <c r="M86" s="8" t="n">
        <f aca="false">IF(11&gt;=INDEX(Assumptions!$C$173:$E$173,$D$3),INDEX(Assumptions!$C$174:$E$174,$D$3)*INDEX(Assumptions!$C$175:$E$175,$B$3),INDEX(Assumptions!$C$179:$E$179,$B$3))*$F$4</f>
        <v>128000</v>
      </c>
      <c r="N86" s="8" t="n">
        <f aca="false">IF(12&gt;=INDEX(Assumptions!$C$173:$E$173,$D$3),INDEX(Assumptions!$C$174:$E$174,$D$3)*INDEX(Assumptions!$C$175:$E$175,$B$3),INDEX(Assumptions!$C$179:$E$179,$B$3))*$F$4</f>
        <v>128000</v>
      </c>
      <c r="O86" s="37" t="n">
        <f aca="false">SUM(C86:N86)</f>
        <v>1257000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19200</v>
      </c>
      <c r="G87" s="8" t="n">
        <f aca="false">IF(5&gt;=INDEX(Assumptions!$C$173:$E$173,$D$3),INDEX(Assumptions!$C$174:$E$174,$D$3)*INDEX(Assumptions!$C$181:$E$181,$B$3),INDEX(Assumptions!$C$180:$E$180,$B$3))</f>
        <v>19200</v>
      </c>
      <c r="H87" s="8" t="n">
        <f aca="false">IF(6&gt;=INDEX(Assumptions!$C$173:$E$173,$D$3),INDEX(Assumptions!$C$174:$E$174,$D$3)*INDEX(Assumptions!$C$181:$E$181,$B$3),INDEX(Assumptions!$C$180:$E$180,$B$3))</f>
        <v>19200</v>
      </c>
      <c r="I87" s="8" t="n">
        <f aca="false">IF(7&gt;=INDEX(Assumptions!$C$173:$E$173,$D$3),INDEX(Assumptions!$C$174:$E$174,$D$3)*INDEX(Assumptions!$C$181:$E$181,$B$3),INDEX(Assumptions!$C$180:$E$180,$B$3))</f>
        <v>19200</v>
      </c>
      <c r="J87" s="8" t="n">
        <f aca="false">IF(8&gt;=INDEX(Assumptions!$C$173:$E$173,$D$3),INDEX(Assumptions!$C$174:$E$174,$D$3)*INDEX(Assumptions!$C$181:$E$181,$B$3),INDEX(Assumptions!$C$180:$E$180,$B$3))</f>
        <v>19200</v>
      </c>
      <c r="K87" s="8" t="n">
        <f aca="false">IF(9&gt;=INDEX(Assumptions!$C$173:$E$173,$D$3),INDEX(Assumptions!$C$174:$E$174,$D$3)*INDEX(Assumptions!$C$181:$E$181,$B$3),INDEX(Assumptions!$C$180:$E$180,$B$3))</f>
        <v>19200</v>
      </c>
      <c r="L87" s="8" t="n">
        <f aca="false">IF(10&gt;=INDEX(Assumptions!$C$173:$E$173,$D$3),INDEX(Assumptions!$C$174:$E$174,$D$3)*INDEX(Assumptions!$C$181:$E$181,$B$3),INDEX(Assumptions!$C$180:$E$180,$B$3))</f>
        <v>19200</v>
      </c>
      <c r="M87" s="8" t="n">
        <f aca="false">IF(11&gt;=INDEX(Assumptions!$C$173:$E$173,$D$3),INDEX(Assumptions!$C$174:$E$174,$D$3)*INDEX(Assumptions!$C$181:$E$181,$B$3),INDEX(Assumptions!$C$180:$E$180,$B$3))</f>
        <v>19200</v>
      </c>
      <c r="N87" s="8" t="n">
        <f aca="false">IF(12&gt;=INDEX(Assumptions!$C$173:$E$173,$D$3),INDEX(Assumptions!$C$174:$E$174,$D$3)*INDEX(Assumptions!$C$181:$E$181,$B$3),INDEX(Assumptions!$C$180:$E$180,$B$3))</f>
        <v>19200</v>
      </c>
      <c r="O87" s="37" t="n">
        <f aca="false">SUM(C87:N87)</f>
        <v>202800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30000</v>
      </c>
      <c r="D88" s="8" t="n">
        <f aca="false">INDEX(Assumptions!$C$107:$E$107,$D$3)+IF(2&gt;=INDEX(Assumptions!$C$189:$E$189,$D$3)-1,INDEX(Assumptions!$C$188:$E$188,$D$3),0)</f>
        <v>30000</v>
      </c>
      <c r="E88" s="8" t="n">
        <f aca="false">INDEX(Assumptions!$C$107:$E$107,$D$3)+IF(3&gt;=INDEX(Assumptions!$C$189:$E$189,$D$3)-1,INDEX(Assumptions!$C$188:$E$188,$D$3),0)</f>
        <v>30000</v>
      </c>
      <c r="F88" s="8" t="n">
        <f aca="false">INDEX(Assumptions!$C$107:$E$107,$D$3)+IF(4&gt;=INDEX(Assumptions!$C$189:$E$189,$D$3)-1,INDEX(Assumptions!$C$188:$E$188,$D$3),0)</f>
        <v>30000</v>
      </c>
      <c r="G88" s="8" t="n">
        <f aca="false">INDEX(Assumptions!$C$107:$E$107,$D$3)+IF(5&gt;=INDEX(Assumptions!$C$189:$E$189,$D$3)-1,INDEX(Assumptions!$C$188:$E$188,$D$3),0)</f>
        <v>30000</v>
      </c>
      <c r="H88" s="8" t="n">
        <f aca="false">INDEX(Assumptions!$C$107:$E$107,$D$3)+IF(6&gt;=INDEX(Assumptions!$C$189:$E$189,$D$3)-1,INDEX(Assumptions!$C$188:$E$188,$D$3),0)</f>
        <v>30000</v>
      </c>
      <c r="I88" s="8" t="n">
        <f aca="false">INDEX(Assumptions!$C$107:$E$107,$D$3)+IF(7&gt;=INDEX(Assumptions!$C$189:$E$189,$D$3)-1,INDEX(Assumptions!$C$188:$E$188,$D$3),0)</f>
        <v>38000</v>
      </c>
      <c r="J88" s="8" t="n">
        <f aca="false">INDEX(Assumptions!$C$107:$E$107,$D$3)+IF(8&gt;=INDEX(Assumptions!$C$189:$E$189,$D$3)-1,INDEX(Assumptions!$C$188:$E$188,$D$3),0)</f>
        <v>38000</v>
      </c>
      <c r="K88" s="8" t="n">
        <f aca="false">INDEX(Assumptions!$C$107:$E$107,$D$3)+IF(9&gt;=INDEX(Assumptions!$C$189:$E$189,$D$3)-1,INDEX(Assumptions!$C$188:$E$188,$D$3),0)</f>
        <v>38000</v>
      </c>
      <c r="L88" s="8" t="n">
        <f aca="false">INDEX(Assumptions!$C$107:$E$107,$D$3)+IF(10&gt;=INDEX(Assumptions!$C$189:$E$189,$D$3)-1,INDEX(Assumptions!$C$188:$E$188,$D$3),0)</f>
        <v>38000</v>
      </c>
      <c r="M88" s="8" t="n">
        <f aca="false">INDEX(Assumptions!$C$107:$E$107,$D$3)+IF(11&gt;=INDEX(Assumptions!$C$189:$E$189,$D$3)-1,INDEX(Assumptions!$C$188:$E$188,$D$3),0)</f>
        <v>38000</v>
      </c>
      <c r="N88" s="8" t="n">
        <f aca="false">INDEX(Assumptions!$C$107:$E$107,$D$3)+IF(12&gt;=INDEX(Assumptions!$C$189:$E$189,$D$3)-1,INDEX(Assumptions!$C$188:$E$188,$D$3),0)</f>
        <v>38000</v>
      </c>
      <c r="O88" s="37" t="n">
        <f aca="false">SUM(C88:N88)</f>
        <v>408000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50000</v>
      </c>
      <c r="E89" s="8" t="n">
        <f aca="false">E17</f>
        <v>60000</v>
      </c>
      <c r="F89" s="8" t="n">
        <f aca="false">F17</f>
        <v>70000</v>
      </c>
      <c r="G89" s="8" t="n">
        <f aca="false">G17</f>
        <v>120000</v>
      </c>
      <c r="H89" s="8" t="n">
        <f aca="false">H17</f>
        <v>170000</v>
      </c>
      <c r="I89" s="8" t="n">
        <f aca="false">I17</f>
        <v>200000</v>
      </c>
      <c r="J89" s="8" t="n">
        <f aca="false">J17</f>
        <v>200000</v>
      </c>
      <c r="K89" s="8" t="n">
        <f aca="false">K17</f>
        <v>200000</v>
      </c>
      <c r="L89" s="8" t="n">
        <f aca="false">L17</f>
        <v>200000</v>
      </c>
      <c r="M89" s="8" t="n">
        <f aca="false">M17</f>
        <v>200000</v>
      </c>
      <c r="N89" s="8" t="n">
        <f aca="false">N17</f>
        <v>200000</v>
      </c>
      <c r="O89" s="37" t="n">
        <f aca="false">SUM(C89:N89)</f>
        <v>1685000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19167</v>
      </c>
      <c r="D90" s="8" t="n">
        <f aca="false">INDEX(Assumptions!$C$170:$E$170,$D$3)</f>
        <v>19167</v>
      </c>
      <c r="E90" s="8" t="n">
        <f aca="false">INDEX(Assumptions!$C$170:$E$170,$D$3)</f>
        <v>19167</v>
      </c>
      <c r="F90" s="8" t="n">
        <f aca="false">INDEX(Assumptions!$C$170:$E$170,$D$3)</f>
        <v>19167</v>
      </c>
      <c r="G90" s="8" t="n">
        <f aca="false">INDEX(Assumptions!$C$170:$E$170,$D$3)</f>
        <v>19167</v>
      </c>
      <c r="H90" s="8" t="n">
        <f aca="false">INDEX(Assumptions!$C$170:$E$170,$D$3)</f>
        <v>19167</v>
      </c>
      <c r="I90" s="8" t="n">
        <f aca="false">INDEX(Assumptions!$C$170:$E$170,$D$3)</f>
        <v>19167</v>
      </c>
      <c r="J90" s="8" t="n">
        <f aca="false">INDEX(Assumptions!$C$170:$E$170,$D$3)</f>
        <v>19167</v>
      </c>
      <c r="K90" s="8" t="n">
        <f aca="false">INDEX(Assumptions!$C$170:$E$170,$D$3)</f>
        <v>19167</v>
      </c>
      <c r="L90" s="8" t="n">
        <f aca="false">INDEX(Assumptions!$C$170:$E$170,$D$3)</f>
        <v>19167</v>
      </c>
      <c r="M90" s="8" t="n">
        <f aca="false">INDEX(Assumptions!$C$170:$E$170,$D$3)</f>
        <v>19167</v>
      </c>
      <c r="N90" s="8" t="n">
        <f aca="false">INDEX(Assumptions!$C$170:$E$170,$D$3)</f>
        <v>19167</v>
      </c>
      <c r="O90" s="37" t="n">
        <f aca="false">SUM(C90:N90)</f>
        <v>230004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20000</v>
      </c>
      <c r="D91" s="8" t="n">
        <f aca="false">INDEX(Assumptions!$C$195:$E$195,$D$3)</f>
        <v>20000</v>
      </c>
      <c r="E91" s="8" t="n">
        <f aca="false">INDEX(Assumptions!$C$195:$E$195,$D$3)</f>
        <v>20000</v>
      </c>
      <c r="F91" s="8" t="n">
        <f aca="false">INDEX(Assumptions!$C$195:$E$195,$D$3)</f>
        <v>20000</v>
      </c>
      <c r="G91" s="8" t="n">
        <f aca="false">INDEX(Assumptions!$C$195:$E$195,$D$3)</f>
        <v>20000</v>
      </c>
      <c r="H91" s="8" t="n">
        <f aca="false">INDEX(Assumptions!$C$195:$E$195,$D$3)</f>
        <v>20000</v>
      </c>
      <c r="I91" s="8" t="n">
        <f aca="false">INDEX(Assumptions!$C$195:$E$195,$D$3)</f>
        <v>20000</v>
      </c>
      <c r="J91" s="8" t="n">
        <f aca="false">INDEX(Assumptions!$C$195:$E$195,$D$3)</f>
        <v>20000</v>
      </c>
      <c r="K91" s="8" t="n">
        <f aca="false">INDEX(Assumptions!$C$195:$E$195,$D$3)</f>
        <v>20000</v>
      </c>
      <c r="L91" s="8" t="n">
        <f aca="false">INDEX(Assumptions!$C$195:$E$195,$D$3)</f>
        <v>20000</v>
      </c>
      <c r="M91" s="8" t="n">
        <f aca="false">INDEX(Assumptions!$C$195:$E$195,$D$3)</f>
        <v>20000</v>
      </c>
      <c r="N91" s="8" t="n">
        <f aca="false">INDEX(Assumptions!$C$195:$E$195,$D$3)</f>
        <v>20000</v>
      </c>
      <c r="O91" s="37" t="n">
        <f aca="false">SUM(C91:N91)</f>
        <v>240000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250000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200000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450000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507167</v>
      </c>
      <c r="D93" s="37" t="n">
        <f aca="false">D84+SUM(D86:D92)</f>
        <v>402167</v>
      </c>
      <c r="E93" s="37" t="n">
        <f aca="false">E84+SUM(E86:E92)</f>
        <v>637167</v>
      </c>
      <c r="F93" s="37" t="n">
        <f aca="false">F84+SUM(F86:F92)</f>
        <v>592367</v>
      </c>
      <c r="G93" s="37" t="n">
        <f aca="false">G84+SUM(G86:G92)</f>
        <v>642367</v>
      </c>
      <c r="H93" s="37" t="n">
        <f aca="false">H84+SUM(H86:H92)</f>
        <v>710367</v>
      </c>
      <c r="I93" s="37" t="n">
        <f aca="false">I84+SUM(I86:I92)</f>
        <v>786367</v>
      </c>
      <c r="J93" s="37" t="n">
        <f aca="false">J84+SUM(J86:J92)</f>
        <v>786367</v>
      </c>
      <c r="K93" s="37" t="n">
        <f aca="false">K84+SUM(K86:K92)</f>
        <v>786367</v>
      </c>
      <c r="L93" s="37" t="n">
        <f aca="false">L84+SUM(L86:L92)</f>
        <v>851367</v>
      </c>
      <c r="M93" s="37" t="n">
        <f aca="false">M84+SUM(M86:M92)</f>
        <v>851367</v>
      </c>
      <c r="N93" s="37" t="n">
        <f aca="false">N84+SUM(N86:N92)</f>
        <v>851367</v>
      </c>
      <c r="O93" s="31" t="n">
        <f aca="false">SUM(C93:N93)</f>
        <v>8404804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-407560.075401066</v>
      </c>
      <c r="D94" s="37" t="n">
        <f aca="false">D71-D93</f>
        <v>-228671.617200103</v>
      </c>
      <c r="E94" s="37" t="n">
        <f aca="false">E71-E93</f>
        <v>-358593.321455925</v>
      </c>
      <c r="F94" s="37" t="n">
        <f aca="false">F71-F93</f>
        <v>-207169.325038768</v>
      </c>
      <c r="G94" s="37" t="n">
        <f aca="false">G71-G93</f>
        <v>-163121.753509859</v>
      </c>
      <c r="H94" s="37" t="n">
        <f aca="false">H71-H93</f>
        <v>-118205.853090832</v>
      </c>
      <c r="I94" s="37" t="n">
        <f aca="false">I71-I93</f>
        <v>372779.935959234</v>
      </c>
      <c r="J94" s="37" t="n">
        <f aca="false">J71-J93</f>
        <v>80247.6753186171</v>
      </c>
      <c r="K94" s="37" t="n">
        <f aca="false">K71-K93</f>
        <v>71003.5502467573</v>
      </c>
      <c r="L94" s="37" t="n">
        <f aca="false">L71-L93</f>
        <v>228271.568725979</v>
      </c>
      <c r="M94" s="37" t="n">
        <f aca="false">M71-M93</f>
        <v>190584.834511817</v>
      </c>
      <c r="N94" s="37" t="n">
        <f aca="false">N71-N93</f>
        <v>139436.301620218</v>
      </c>
      <c r="O94" s="31" t="n">
        <f aca="false">SUM(C94:N94)</f>
        <v>-400998.07931393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-3.06479962769264</v>
      </c>
      <c r="D95" s="7" t="n">
        <f aca="false">IFERROR(D94/D59,0)</f>
        <v>-0.983724089522011</v>
      </c>
      <c r="E95" s="7" t="n">
        <f aca="false">IFERROR(E94/E59,0)</f>
        <v>-0.979203804566209</v>
      </c>
      <c r="F95" s="7" t="n">
        <f aca="false">IFERROR(F94/F59,0)</f>
        <v>-0.406021267963771</v>
      </c>
      <c r="G95" s="7" t="n">
        <f aca="false">IFERROR(G94/G59,0)</f>
        <v>-0.251125948245692</v>
      </c>
      <c r="H95" s="7" t="n">
        <f aca="false">IFERROR(H94/H59,0)</f>
        <v>-0.136302869895126</v>
      </c>
      <c r="I95" s="7" t="n">
        <f aca="false">IFERROR(I94/I59,0)</f>
        <v>0.266332452317654</v>
      </c>
      <c r="J95" s="7" t="n">
        <f aca="false">IFERROR(J94/J59,0)</f>
        <v>0.0751904956428656</v>
      </c>
      <c r="K95" s="7" t="n">
        <f aca="false">IFERROR(K94/K59,0)</f>
        <v>0.0673057825435418</v>
      </c>
      <c r="L95" s="7" t="n">
        <f aca="false">IFERROR(L94/L59,0)</f>
        <v>0.173900214770014</v>
      </c>
      <c r="M95" s="7" t="n">
        <f aca="false">IFERROR(M94/M59,0)</f>
        <v>0.150091218840189</v>
      </c>
      <c r="N95" s="7" t="n">
        <f aca="false">IFERROR(N94/N59,0)</f>
        <v>0.115316834252847</v>
      </c>
      <c r="O95" s="7" t="n">
        <f aca="false">IFERROR(O94/O59,0)</f>
        <v>-0.0398124988527601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-482560.075401066</v>
      </c>
      <c r="D96" s="8" t="n">
        <f aca="false">D94-INDEX(Assumptions!$C$163:$E$163,$B$3)</f>
        <v>-303671.617200103</v>
      </c>
      <c r="E96" s="8" t="n">
        <f aca="false">E94-INDEX(Assumptions!$C$163:$E$163,$B$3)</f>
        <v>-433593.321455925</v>
      </c>
      <c r="F96" s="8" t="n">
        <f aca="false">F94-INDEX(Assumptions!$C$163:$E$163,$B$3)</f>
        <v>-282169.325038768</v>
      </c>
      <c r="G96" s="8" t="n">
        <f aca="false">G94-INDEX(Assumptions!$C$163:$E$163,$B$3)</f>
        <v>-238121.753509859</v>
      </c>
      <c r="H96" s="8" t="n">
        <f aca="false">H94-INDEX(Assumptions!$C$163:$E$163,$B$3)</f>
        <v>-193205.853090832</v>
      </c>
      <c r="I96" s="8" t="n">
        <f aca="false">I94-INDEX(Assumptions!$C$163:$E$163,$B$3)</f>
        <v>297779.935959234</v>
      </c>
      <c r="J96" s="8" t="n">
        <f aca="false">J94-INDEX(Assumptions!$C$163:$E$163,$B$3)</f>
        <v>5247.67531861714</v>
      </c>
      <c r="K96" s="8" t="n">
        <f aca="false">K94-INDEX(Assumptions!$C$163:$E$163,$B$3)</f>
        <v>-3996.44975324266</v>
      </c>
      <c r="L96" s="8" t="n">
        <f aca="false">L94-INDEX(Assumptions!$C$163:$E$163,$B$3)</f>
        <v>153271.568725979</v>
      </c>
      <c r="M96" s="8" t="n">
        <f aca="false">M94-INDEX(Assumptions!$C$163:$E$163,$B$3)</f>
        <v>115584.834511817</v>
      </c>
      <c r="N96" s="8" t="n">
        <f aca="false">N94-INDEX(Assumptions!$C$163:$E$163,$B$3)</f>
        <v>64436.3016202182</v>
      </c>
      <c r="O96" s="37" t="n">
        <f aca="false">SUM(C96:N96)</f>
        <v>-1300998.07931393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1280000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1280000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240000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240000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384000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384000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250000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250000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550000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550000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250000</v>
      </c>
      <c r="D103" s="37" t="n">
        <f aca="false">SUM(D98:D102)</f>
        <v>0</v>
      </c>
      <c r="E103" s="37" t="n">
        <f aca="false">SUM(E98:E102)</f>
        <v>1904000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550000</v>
      </c>
      <c r="I103" s="37" t="n">
        <f aca="false">SUM(I98:I102)</f>
        <v>0</v>
      </c>
      <c r="J103" s="37" t="n">
        <f aca="false">SUM(J98:J102)</f>
        <v>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2704000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-33693.4322033898</v>
      </c>
      <c r="E104" s="8" t="n">
        <f aca="false">((E60+IF(INDEX(Assumptions!$C$87:$E$87,$B$3)&gt;=2,D60,0)+IF(INDEX(Assumptions!$C$87:$E$87,$B$3)&gt;=3,C60,0))/INDEX(Assumptions!$C$87:$E$87,$B$3))-E60</f>
        <v>-28531.6737288135</v>
      </c>
      <c r="F104" s="8" t="n">
        <f aca="false">((F60+IF(INDEX(Assumptions!$C$87:$E$87,$B$3)&gt;=2,E60,0)+IF(INDEX(Assumptions!$C$87:$E$87,$B$3)&gt;=3,D60,0))/INDEX(Assumptions!$C$87:$E$87,$B$3))-F60</f>
        <v>-47345.0635593221</v>
      </c>
      <c r="G104" s="8" t="n">
        <f aca="false">((G60+IF(INDEX(Assumptions!$C$87:$E$87,$B$3)&gt;=2,F60,0)+IF(INDEX(Assumptions!$C$87:$E$87,$B$3)&gt;=3,E60,0))/INDEX(Assumptions!$C$87:$E$87,$B$3))-G60</f>
        <v>-67970.1355932203</v>
      </c>
      <c r="H104" s="8" t="n">
        <f aca="false">((H60+IF(INDEX(Assumptions!$C$87:$E$87,$B$3)&gt;=2,G60,0)+IF(INDEX(Assumptions!$C$87:$E$87,$B$3)&gt;=3,F60,0))/INDEX(Assumptions!$C$87:$E$87,$B$3))-H60</f>
        <v>-72776.2203389831</v>
      </c>
      <c r="I104" s="8" t="n">
        <f aca="false">((I60+IF(INDEX(Assumptions!$C$87:$E$87,$B$3)&gt;=2,H60,0)+IF(INDEX(Assumptions!$C$87:$E$87,$B$3)&gt;=3,G60,0))/INDEX(Assumptions!$C$87:$E$87,$B$3))-I60</f>
        <v>-243832.801239986</v>
      </c>
      <c r="J104" s="8" t="n">
        <f aca="false">((J60+IF(INDEX(Assumptions!$C$87:$E$87,$B$3)&gt;=2,I60,0)+IF(INDEX(Assumptions!$C$87:$E$87,$B$3)&gt;=3,H60,0))/INDEX(Assumptions!$C$87:$E$87,$B$3))-J60</f>
        <v>179201.990512005</v>
      </c>
      <c r="K104" s="8" t="n">
        <f aca="false">((K60+IF(INDEX(Assumptions!$C$87:$E$87,$B$3)&gt;=2,J60,0)+IF(INDEX(Assumptions!$C$87:$E$87,$B$3)&gt;=3,I60,0))/INDEX(Assumptions!$C$87:$E$87,$B$3))-K60</f>
        <v>5639.96454744018</v>
      </c>
      <c r="L104" s="8" t="n">
        <f aca="false">((L60+IF(INDEX(Assumptions!$C$87:$E$87,$B$3)&gt;=2,K60,0)+IF(INDEX(Assumptions!$C$87:$E$87,$B$3)&gt;=3,J60,0))/INDEX(Assumptions!$C$87:$E$87,$B$3))-L60</f>
        <v>-119162.510028688</v>
      </c>
      <c r="M104" s="8" t="n">
        <f aca="false">((M60+IF(INDEX(Assumptions!$C$87:$E$87,$B$3)&gt;=2,L60,0)+IF(INDEX(Assumptions!$C$87:$E$87,$B$3)&gt;=3,K60,0))/INDEX(Assumptions!$C$87:$E$87,$B$3))-M60</f>
        <v>34707.0854303269</v>
      </c>
      <c r="N104" s="8" t="n">
        <f aca="false">((N60+IF(INDEX(Assumptions!$C$87:$E$87,$B$3)&gt;=2,M60,0)+IF(INDEX(Assumptions!$C$87:$E$87,$B$3)&gt;=3,L60,0))/INDEX(Assumptions!$C$87:$E$87,$B$3))-N60</f>
        <v>43615.5297649232</v>
      </c>
      <c r="O104" s="37" t="n">
        <f aca="false">SUM(C104:N104)</f>
        <v>-394181.164742791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-701593.973706151</v>
      </c>
      <c r="D105" s="37" t="n">
        <f aca="false">D94+D104-D103</f>
        <v>-262365.049403492</v>
      </c>
      <c r="E105" s="37" t="n">
        <f aca="false">E94+E104-E103</f>
        <v>-2291124.99518474</v>
      </c>
      <c r="F105" s="37" t="n">
        <f aca="false">F94+F104-F103</f>
        <v>-254514.38859809</v>
      </c>
      <c r="G105" s="37" t="n">
        <f aca="false">G94+G104-G103</f>
        <v>-231091.88910308</v>
      </c>
      <c r="H105" s="37" t="n">
        <f aca="false">H94+H104-H103</f>
        <v>-740982.073429815</v>
      </c>
      <c r="I105" s="37" t="n">
        <f aca="false">I94+I104-I103</f>
        <v>128947.134719249</v>
      </c>
      <c r="J105" s="37" t="n">
        <f aca="false">J94+J104-J103</f>
        <v>259449.665830622</v>
      </c>
      <c r="K105" s="37" t="n">
        <f aca="false">K94+K104-K103</f>
        <v>76643.5147941975</v>
      </c>
      <c r="L105" s="37" t="n">
        <f aca="false">L94+L104-L103</f>
        <v>109109.058697292</v>
      </c>
      <c r="M105" s="37" t="n">
        <f aca="false">M94+M104-M103</f>
        <v>225291.919942144</v>
      </c>
      <c r="N105" s="37" t="n">
        <f aca="false">N94+N104-N103</f>
        <v>183051.831385141</v>
      </c>
      <c r="O105" s="31" t="n">
        <f aca="false">SUM(C105:N105)</f>
        <v>-3499179.24405672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-701593.973706151</v>
      </c>
      <c r="D106" s="37" t="n">
        <f aca="false">C106+D105</f>
        <v>-963959.023109644</v>
      </c>
      <c r="E106" s="37" t="n">
        <f aca="false">D106+E105</f>
        <v>-3255084.01829438</v>
      </c>
      <c r="F106" s="37" t="n">
        <f aca="false">E106+F105</f>
        <v>-3509598.40689247</v>
      </c>
      <c r="G106" s="37" t="n">
        <f aca="false">F106+G105</f>
        <v>-3740690.29599555</v>
      </c>
      <c r="H106" s="37" t="n">
        <f aca="false">G106+H105</f>
        <v>-4481672.36942537</v>
      </c>
      <c r="I106" s="37" t="n">
        <f aca="false">H106+I105</f>
        <v>-4352725.23470612</v>
      </c>
      <c r="J106" s="37" t="n">
        <f aca="false">I106+J105</f>
        <v>-4093275.5688755</v>
      </c>
      <c r="K106" s="37" t="n">
        <f aca="false">J106+K105</f>
        <v>-4016632.0540813</v>
      </c>
      <c r="L106" s="37" t="n">
        <f aca="false">K106+L105</f>
        <v>-3907522.99538401</v>
      </c>
      <c r="M106" s="37" t="n">
        <f aca="false">L106+M105</f>
        <v>-3682231.07544186</v>
      </c>
      <c r="N106" s="37" t="n">
        <f aca="false">M106+N105</f>
        <v>-3499179.24405672</v>
      </c>
      <c r="O106" s="31" t="n">
        <f aca="false">N106</f>
        <v>-3499179.24405672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701593.973706151</v>
      </c>
      <c r="D107" s="37" t="n">
        <f aca="false">-MIN(0,MIN($C$106:D106))</f>
        <v>963959.023109644</v>
      </c>
      <c r="E107" s="37" t="n">
        <f aca="false">-MIN(0,MIN($C$106:E106))</f>
        <v>3255084.01829438</v>
      </c>
      <c r="F107" s="37" t="n">
        <f aca="false">-MIN(0,MIN($C$106:F106))</f>
        <v>3509598.40689247</v>
      </c>
      <c r="G107" s="37" t="n">
        <f aca="false">-MIN(0,MIN($C$106:G106))</f>
        <v>3740690.29599555</v>
      </c>
      <c r="H107" s="37" t="n">
        <f aca="false">-MIN(0,MIN($C$106:H106))</f>
        <v>4481672.36942537</v>
      </c>
      <c r="I107" s="37" t="n">
        <f aca="false">-MIN(0,MIN($C$106:I106))</f>
        <v>4481672.36942537</v>
      </c>
      <c r="J107" s="37" t="n">
        <f aca="false">-MIN(0,MIN($C$106:J106))</f>
        <v>4481672.36942537</v>
      </c>
      <c r="K107" s="37" t="n">
        <f aca="false">-MIN(0,MIN($C$106:K106))</f>
        <v>4481672.36942537</v>
      </c>
      <c r="L107" s="37" t="n">
        <f aca="false">-MIN(0,MIN($C$106:L106))</f>
        <v>4481672.36942537</v>
      </c>
      <c r="M107" s="37" t="n">
        <f aca="false">-MIN(0,MIN($C$106:M106))</f>
        <v>4481672.36942537</v>
      </c>
      <c r="N107" s="37" t="n">
        <f aca="false">-MIN(0,MIN($C$106:N106))</f>
        <v>4481672.36942537</v>
      </c>
      <c r="O107" s="31" t="n">
        <f aca="false">MAX(C107:N107)</f>
        <v>4481672.36942537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10072165.547733</v>
      </c>
    </row>
    <row r="112" customFormat="false" ht="15" hidden="false" customHeight="false" outlineLevel="0" collapsed="false">
      <c r="A112" s="3" t="s">
        <v>28</v>
      </c>
      <c r="B112" s="31" t="n">
        <f aca="false">O94</f>
        <v>-400998.07931393</v>
      </c>
    </row>
    <row r="113" customFormat="false" ht="15" hidden="false" customHeight="false" outlineLevel="0" collapsed="false">
      <c r="A113" s="3" t="s">
        <v>29</v>
      </c>
      <c r="B113" s="30" t="n">
        <f aca="false">O95</f>
        <v>-0.0398124988527601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-1300998.07931393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2704000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4481672.36942537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5000000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518327.630574633</v>
      </c>
    </row>
    <row r="119" customFormat="false" ht="15" hidden="false" customHeight="false" outlineLevel="0" collapsed="false">
      <c r="A119" s="3" t="s">
        <v>35</v>
      </c>
      <c r="B119" s="32" t="n">
        <f aca="false">O33</f>
        <v>128.245064556601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14.7857052038779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191.25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7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0.25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4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50031.1278910276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851367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313957.314162373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10.7415065078716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128.898078094459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15781.0080828702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0.232769869222335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0.551029826536619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31.3083402664892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558292.704858014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-3499179.24405672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1216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0.8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14583.3333333333</v>
      </c>
      <c r="D18" s="8" t="n">
        <f aca="false">INDEX(Assumptions!$C$115:$E$115,$B$3)*INDEX(Assumptions!$C$120:$E$120,$B$3)*$L$3/$F$3</f>
        <v>14583.3333333333</v>
      </c>
      <c r="E18" s="8" t="n">
        <f aca="false">INDEX(Assumptions!$C$115:$E$115,$B$3)*INDEX(Assumptions!$C$120:$E$120,$B$3)*$L$3/$F$3</f>
        <v>14583.3333333333</v>
      </c>
      <c r="F18" s="8" t="n">
        <f aca="false">INDEX(Assumptions!$C$115:$E$115,$B$3)*INDEX(Assumptions!$C$120:$E$120,$B$3)*$L$3/$F$3</f>
        <v>14583.3333333333</v>
      </c>
      <c r="G18" s="8" t="n">
        <f aca="false">INDEX(Assumptions!$C$115:$E$115,$B$3)*INDEX(Assumptions!$C$120:$E$120,$B$3)*$L$3/$F$3</f>
        <v>14583.3333333333</v>
      </c>
      <c r="H18" s="8" t="n">
        <f aca="false">INDEX(Assumptions!$C$115:$E$115,$B$3)*INDEX(Assumptions!$C$120:$E$120,$B$3)*$L$3/$F$3</f>
        <v>14583.3333333333</v>
      </c>
      <c r="I18" s="8" t="n">
        <f aca="false">INDEX(Assumptions!$C$115:$E$115,$B$3)*INDEX(Assumptions!$C$120:$E$120,$B$3)*$L$3/$F$3</f>
        <v>14583.3333333333</v>
      </c>
      <c r="J18" s="8" t="n">
        <f aca="false">INDEX(Assumptions!$C$115:$E$115,$B$3)*INDEX(Assumptions!$C$120:$E$120,$B$3)*$L$3/$F$3</f>
        <v>14583.3333333333</v>
      </c>
      <c r="K18" s="8" t="n">
        <f aca="false">INDEX(Assumptions!$C$115:$E$115,$B$3)*INDEX(Assumptions!$C$120:$E$120,$B$3)*$L$3/$F$3</f>
        <v>14583.3333333333</v>
      </c>
      <c r="L18" s="8" t="n">
        <f aca="false">INDEX(Assumptions!$C$115:$E$115,$B$3)*INDEX(Assumptions!$C$120:$E$120,$B$3)*$L$3/$F$3</f>
        <v>14583.3333333333</v>
      </c>
      <c r="M18" s="8" t="n">
        <f aca="false">INDEX(Assumptions!$C$115:$E$115,$B$3)*INDEX(Assumptions!$C$120:$E$120,$B$3)*$L$3/$F$3</f>
        <v>14583.3333333333</v>
      </c>
      <c r="N18" s="8" t="n">
        <f aca="false">INDEX(Assumptions!$C$115:$E$115,$B$3)*INDEX(Assumptions!$C$120:$E$120,$B$3)*$L$3/$F$3</f>
        <v>14583.3333333333</v>
      </c>
      <c r="O18" s="37" t="n">
        <f aca="false">AVERAGE(C18:N18)</f>
        <v>14583.3333333333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0.72</v>
      </c>
      <c r="D20" s="27" t="n">
        <f aca="false">D17*INDEX(Assumptions!$C$119:$E$119,$B$3)/D18</f>
        <v>1.92</v>
      </c>
      <c r="E20" s="27" t="n">
        <f aca="false">E17*INDEX(Assumptions!$C$119:$E$119,$B$3)/E18</f>
        <v>2.4</v>
      </c>
      <c r="F20" s="27" t="n">
        <f aca="false">F17*INDEX(Assumptions!$C$119:$E$119,$B$3)/F18</f>
        <v>2.88</v>
      </c>
      <c r="G20" s="27" t="n">
        <f aca="false">G17*INDEX(Assumptions!$C$119:$E$119,$B$3)/G18</f>
        <v>3.84</v>
      </c>
      <c r="H20" s="27" t="n">
        <f aca="false">H17*INDEX(Assumptions!$C$119:$E$119,$B$3)/H18</f>
        <v>4.32</v>
      </c>
      <c r="I20" s="27" t="n">
        <f aca="false">I17*INDEX(Assumptions!$C$119:$E$119,$B$3)/I18</f>
        <v>4.8</v>
      </c>
      <c r="J20" s="27" t="n">
        <f aca="false">J17*INDEX(Assumptions!$C$119:$E$119,$B$3)/J18</f>
        <v>4.8</v>
      </c>
      <c r="K20" s="27" t="n">
        <f aca="false">K17*INDEX(Assumptions!$C$119:$E$119,$B$3)/K18</f>
        <v>4.8</v>
      </c>
      <c r="L20" s="27" t="n">
        <f aca="false">L17*INDEX(Assumptions!$C$119:$E$119,$B$3)/L18</f>
        <v>4.8</v>
      </c>
      <c r="M20" s="27" t="n">
        <f aca="false">M17*INDEX(Assumptions!$C$119:$E$119,$B$3)/M18</f>
        <v>4.8</v>
      </c>
      <c r="N20" s="27" t="n">
        <f aca="false">N17*INDEX(Assumptions!$C$119:$E$119,$B$3)/N18</f>
        <v>4.8</v>
      </c>
      <c r="O20" s="35" t="n">
        <f aca="false">SUM(C20:N20)</f>
        <v>44.88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1.6</v>
      </c>
      <c r="D21" s="35" t="n">
        <f aca="false">D9*(D13*$F$3+(D14-D13)*$F$3*D19+MIN(D15,D20*D19))</f>
        <v>2.3505</v>
      </c>
      <c r="E21" s="35" t="n">
        <f aca="false">E9*(E13*$F$3+(E14-E13)*$F$3*E19+MIN(E15,E20*E19))</f>
        <v>3.08</v>
      </c>
      <c r="F21" s="35" t="n">
        <f aca="false">F9*(F13*$F$3+(F14-F13)*$F$3*F19+MIN(F15,F20*F19))</f>
        <v>4.384</v>
      </c>
      <c r="G21" s="35" t="n">
        <f aca="false">G9*(G13*$F$3+(G14-G13)*$F$3*G19+MIN(G15,G20*G19))</f>
        <v>5.976</v>
      </c>
      <c r="H21" s="35" t="n">
        <f aca="false">H9*(H13*$F$3+(H14-H13)*$F$3*H19+MIN(H15,H20*H19))</f>
        <v>7.32</v>
      </c>
      <c r="I21" s="35" t="n">
        <f aca="false">I9*(I13*$F$3+(I14-I13)*$F$3*I19+MIN(I15,I20*I19))</f>
        <v>10.4</v>
      </c>
      <c r="J21" s="35" t="n">
        <f aca="false">J9*(J13*$F$3+(J14-J13)*$F$3*J19+MIN(J15,J20*J19))</f>
        <v>10.8</v>
      </c>
      <c r="K21" s="35" t="n">
        <f aca="false">K9*(K13*$F$3+(K14-K13)*$F$3*K19+MIN(K15,K20*K19))</f>
        <v>10</v>
      </c>
      <c r="L21" s="35" t="n">
        <f aca="false">L9*(L13*$F$3+(L14-L13)*$F$3*L19+MIN(L15,L20*L19))</f>
        <v>8.8</v>
      </c>
      <c r="M21" s="35" t="n">
        <f aca="false">M9*(M13*$F$3+(M14-M13)*$F$3*M19+MIN(M15,M20*M19))</f>
        <v>8.4</v>
      </c>
      <c r="N21" s="35" t="n">
        <f aca="false">N9*(N13*$F$3+(N14-N13)*$F$3*N19+MIN(N15,N20*N19))</f>
        <v>8</v>
      </c>
      <c r="O21" s="38" t="n">
        <f aca="false">SUM(C21:N21)</f>
        <v>81.1105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0.96</v>
      </c>
      <c r="E26" s="6" t="n">
        <f aca="false">D29+C29+D32+C32+1.25*D30</f>
        <v>2.5623</v>
      </c>
      <c r="F26" s="6" t="n">
        <f aca="false">E29+D29+E32+D32+1.25*E30</f>
        <v>3.73236</v>
      </c>
      <c r="G26" s="6" t="n">
        <f aca="false">F29+E29+F32+E32+1.25*F30</f>
        <v>5.13006</v>
      </c>
      <c r="H26" s="6" t="n">
        <f aca="false">G29+F29+G32+F32+1.25*G30</f>
        <v>7.11168</v>
      </c>
      <c r="I26" s="6" t="n">
        <f aca="false">H29+G29+H32+G32+1.25*H30</f>
        <v>8.7447950310559</v>
      </c>
      <c r="J26" s="6" t="n">
        <f aca="false">I29+H29+I32+H32+1.25*I30</f>
        <v>11.6696765217391</v>
      </c>
      <c r="K26" s="6" t="n">
        <f aca="false">J29+I29+J32+I32+1.25*J30</f>
        <v>14.7645614906832</v>
      </c>
      <c r="L26" s="6" t="n">
        <f aca="false">K29+J29+K32+J32+1.25*K30</f>
        <v>15.024</v>
      </c>
      <c r="M26" s="6" t="n">
        <f aca="false">L29+K29+L32+K32+1.25*L30</f>
        <v>14.106</v>
      </c>
      <c r="N26" s="6" t="n">
        <f aca="false">M29+L29+M32+L32+1.25*M30</f>
        <v>11.571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1.6</v>
      </c>
      <c r="D27" s="6" t="n">
        <f aca="false">D21*(INDEX(Assumptions!$C$26:$E$26,$B$3)*(1-D25)+INDEX(Assumptions!$C$26:$E$26,$B$3)*D25*1.25+(1-INDEX(Assumptions!$C$26:$E$26,$B$3)))+C31*INDEX(Assumptions!$C$89:$E$89,$B$3)</f>
        <v>2.5425</v>
      </c>
      <c r="E27" s="6" t="n">
        <f aca="false">E21*(INDEX(Assumptions!$C$26:$E$26,$B$3)*(1-E25)+INDEX(Assumptions!$C$26:$E$26,$B$3)*E25*1.25+(1-INDEX(Assumptions!$C$26:$E$26,$B$3)))+D31*INDEX(Assumptions!$C$89:$E$89,$B$3)</f>
        <v>3.36206</v>
      </c>
      <c r="F27" s="6" t="n">
        <f aca="false">F21*(INDEX(Assumptions!$C$26:$E$26,$B$3)*(1-F25)+INDEX(Assumptions!$C$26:$E$26,$B$3)*F25*1.25+(1-INDEX(Assumptions!$C$26:$E$26,$B$3)))+E31*INDEX(Assumptions!$C$89:$E$89,$B$3)</f>
        <v>4.7536</v>
      </c>
      <c r="G27" s="6" t="n">
        <f aca="false">G21*(INDEX(Assumptions!$C$26:$E$26,$B$3)*(1-G25)+INDEX(Assumptions!$C$26:$E$26,$B$3)*G25*1.25+(1-INDEX(Assumptions!$C$26:$E$26,$B$3)))+F31*INDEX(Assumptions!$C$89:$E$89,$B$3)</f>
        <v>6.50208</v>
      </c>
      <c r="H27" s="6" t="n">
        <f aca="false">H21*(INDEX(Assumptions!$C$26:$E$26,$B$3)*(1-H25)+INDEX(Assumptions!$C$26:$E$26,$B$3)*H25*1.25+(1-INDEX(Assumptions!$C$26:$E$26,$B$3)))+G31*INDEX(Assumptions!$C$89:$E$89,$B$3)</f>
        <v>8.03712</v>
      </c>
      <c r="I27" s="6" t="n">
        <f aca="false">I21*(INDEX(Assumptions!$C$26:$E$26,$B$3)*(1-I25)+INDEX(Assumptions!$C$26:$E$26,$B$3)*I25*1.25+(1-INDEX(Assumptions!$C$26:$E$26,$B$3)))+H31*INDEX(Assumptions!$C$89:$E$89,$B$3)</f>
        <v>11.1965614906832</v>
      </c>
      <c r="J27" s="6" t="n">
        <f aca="false">J21*(INDEX(Assumptions!$C$26:$E$26,$B$3)*(1-J25)+INDEX(Assumptions!$C$26:$E$26,$B$3)*J25*1.25+(1-INDEX(Assumptions!$C$26:$E$26,$B$3)))+I31*INDEX(Assumptions!$C$89:$E$89,$B$3)</f>
        <v>12.048</v>
      </c>
      <c r="K27" s="6" t="n">
        <f aca="false">K21*(INDEX(Assumptions!$C$26:$E$26,$B$3)*(1-K25)+INDEX(Assumptions!$C$26:$E$26,$B$3)*K25*1.25+(1-INDEX(Assumptions!$C$26:$E$26,$B$3)))+J31*INDEX(Assumptions!$C$89:$E$89,$B$3)</f>
        <v>11.296</v>
      </c>
      <c r="L27" s="6" t="n">
        <f aca="false">L21*(INDEX(Assumptions!$C$26:$E$26,$B$3)*(1-L25)+INDEX(Assumptions!$C$26:$E$26,$B$3)*L25*1.25+(1-INDEX(Assumptions!$C$26:$E$26,$B$3)))+K31*INDEX(Assumptions!$C$89:$E$89,$B$3)</f>
        <v>10.33</v>
      </c>
      <c r="M27" s="6" t="n">
        <f aca="false">M21*(INDEX(Assumptions!$C$26:$E$26,$B$3)*(1-M25)+INDEX(Assumptions!$C$26:$E$26,$B$3)*M25*1.25+(1-INDEX(Assumptions!$C$26:$E$26,$B$3)))+L31*INDEX(Assumptions!$C$89:$E$89,$B$3)</f>
        <v>9.771</v>
      </c>
      <c r="N27" s="6" t="n">
        <f aca="false">N21*(INDEX(Assumptions!$C$26:$E$26,$B$3)*(1-N25)+INDEX(Assumptions!$C$26:$E$26,$B$3)*N25*1.25+(1-INDEX(Assumptions!$C$26:$E$26,$B$3)))+M31*INDEX(Assumptions!$C$89:$E$89,$B$3)</f>
        <v>9.308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0.906832298136646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0.906832298136646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0.96</v>
      </c>
      <c r="D29" s="35" t="n">
        <f aca="false">D21*INDEX(Assumptions!$C$26:$E$26,$B$3)*(1-D25)*D28</f>
        <v>1.4103</v>
      </c>
      <c r="E29" s="35" t="n">
        <f aca="false">E21*INDEX(Assumptions!$C$26:$E$26,$B$3)*(1-E25)*E28</f>
        <v>1.848</v>
      </c>
      <c r="F29" s="35" t="n">
        <f aca="false">F21*INDEX(Assumptions!$C$26:$E$26,$B$3)*(1-F25)*F28</f>
        <v>2.6304</v>
      </c>
      <c r="G29" s="35" t="n">
        <f aca="false">G21*INDEX(Assumptions!$C$26:$E$26,$B$3)*(1-G25)*G28</f>
        <v>3.5856</v>
      </c>
      <c r="H29" s="35" t="n">
        <f aca="false">H21*INDEX(Assumptions!$C$26:$E$26,$B$3)*(1-H25)*H28</f>
        <v>3.98280745341615</v>
      </c>
      <c r="I29" s="35" t="n">
        <f aca="false">I21*INDEX(Assumptions!$C$26:$E$26,$B$3)*(1-I25)*I28</f>
        <v>6.24</v>
      </c>
      <c r="J29" s="35" t="n">
        <f aca="false">J21*INDEX(Assumptions!$C$26:$E$26,$B$3)*(1-J25)*J28</f>
        <v>6.48</v>
      </c>
      <c r="K29" s="35" t="n">
        <f aca="false">K21*INDEX(Assumptions!$C$26:$E$26,$B$3)*(1-K25)*K28</f>
        <v>6</v>
      </c>
      <c r="L29" s="35" t="n">
        <f aca="false">L21*INDEX(Assumptions!$C$26:$E$26,$B$3)*(1-L25)*L28</f>
        <v>3.96</v>
      </c>
      <c r="M29" s="35" t="n">
        <f aca="false">M21*INDEX(Assumptions!$C$26:$E$26,$B$3)*(1-M25)*M28</f>
        <v>3.78</v>
      </c>
      <c r="N29" s="35" t="n">
        <f aca="false">N21*INDEX(Assumptions!$C$26:$E$26,$B$3)*(1-N25)*N28</f>
        <v>3.6</v>
      </c>
      <c r="O29" s="38" t="n">
        <f aca="false">SUM(C29:N29)</f>
        <v>44.4771074534162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1.32</v>
      </c>
      <c r="M30" s="27" t="n">
        <f aca="false">M21*INDEX(Assumptions!$C$26:$E$26,$B$3)*M25*M28</f>
        <v>1.26</v>
      </c>
      <c r="N30" s="27" t="n">
        <f aca="false">N21*INDEX(Assumptions!$C$26:$E$26,$B$3)*N25*N28</f>
        <v>1.2</v>
      </c>
      <c r="O30" s="35" t="n">
        <f aca="false">SUM(C30:N30)</f>
        <v>3.78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0.64</v>
      </c>
      <c r="D31" s="27" t="n">
        <f aca="false">D21*(1-INDEX(Assumptions!$C$26:$E$26,$B$3))*D28</f>
        <v>0.9402</v>
      </c>
      <c r="E31" s="27" t="n">
        <f aca="false">E21*(1-INDEX(Assumptions!$C$26:$E$26,$B$3))*E28</f>
        <v>1.232</v>
      </c>
      <c r="F31" s="27" t="n">
        <f aca="false">F21*(1-INDEX(Assumptions!$C$26:$E$26,$B$3))*F28</f>
        <v>1.7536</v>
      </c>
      <c r="G31" s="27" t="n">
        <f aca="false">G21*(1-INDEX(Assumptions!$C$26:$E$26,$B$3))*G28</f>
        <v>2.3904</v>
      </c>
      <c r="H31" s="27" t="n">
        <f aca="false">H21*(1-INDEX(Assumptions!$C$26:$E$26,$B$3))*H28</f>
        <v>2.6552049689441</v>
      </c>
      <c r="I31" s="27" t="n">
        <f aca="false">I21*(1-INDEX(Assumptions!$C$26:$E$26,$B$3))*I28</f>
        <v>4.16</v>
      </c>
      <c r="J31" s="27" t="n">
        <f aca="false">J21*(1-INDEX(Assumptions!$C$26:$E$26,$B$3))*J28</f>
        <v>4.32</v>
      </c>
      <c r="K31" s="27" t="n">
        <f aca="false">K21*(1-INDEX(Assumptions!$C$26:$E$26,$B$3))*K28</f>
        <v>4</v>
      </c>
      <c r="L31" s="27" t="n">
        <f aca="false">L21*(1-INDEX(Assumptions!$C$26:$E$26,$B$3))*L28</f>
        <v>3.52</v>
      </c>
      <c r="M31" s="27" t="n">
        <f aca="false">M21*(1-INDEX(Assumptions!$C$26:$E$26,$B$3))*M28</f>
        <v>3.36</v>
      </c>
      <c r="N31" s="27" t="n">
        <f aca="false">N21*(1-INDEX(Assumptions!$C$26:$E$26,$B$3))*N28</f>
        <v>3.2</v>
      </c>
      <c r="O31" s="35" t="n">
        <f aca="false">SUM(C31:N31)</f>
        <v>32.1714049689441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0.192</v>
      </c>
      <c r="E32" s="27" t="n">
        <f aca="false">D31*INDEX(Assumptions!$C$89:$E$89,$B$3)*E28</f>
        <v>0.28206</v>
      </c>
      <c r="F32" s="27" t="n">
        <f aca="false">E31*INDEX(Assumptions!$C$89:$E$89,$B$3)*F28</f>
        <v>0.3696</v>
      </c>
      <c r="G32" s="27" t="n">
        <f aca="false">F31*INDEX(Assumptions!$C$89:$E$89,$B$3)*G28</f>
        <v>0.52608</v>
      </c>
      <c r="H32" s="27" t="n">
        <f aca="false">G31*INDEX(Assumptions!$C$89:$E$89,$B$3)*H28</f>
        <v>0.650307577639752</v>
      </c>
      <c r="I32" s="27" t="n">
        <f aca="false">H31*INDEX(Assumptions!$C$89:$E$89,$B$3)*I28</f>
        <v>0.79656149068323</v>
      </c>
      <c r="J32" s="27" t="n">
        <f aca="false">I31*INDEX(Assumptions!$C$89:$E$89,$B$3)*J28</f>
        <v>1.248</v>
      </c>
      <c r="K32" s="27" t="n">
        <f aca="false">J31*INDEX(Assumptions!$C$89:$E$89,$B$3)*K28</f>
        <v>1.296</v>
      </c>
      <c r="L32" s="27" t="n">
        <f aca="false">K31*INDEX(Assumptions!$C$89:$E$89,$B$3)*L28</f>
        <v>1.2</v>
      </c>
      <c r="M32" s="27" t="n">
        <f aca="false">L31*INDEX(Assumptions!$C$89:$E$89,$B$3)*M28</f>
        <v>1.056</v>
      </c>
      <c r="N32" s="27" t="n">
        <f aca="false">M31*INDEX(Assumptions!$C$89:$E$89,$B$3)*N28</f>
        <v>1.008</v>
      </c>
      <c r="O32" s="35" t="n">
        <f aca="false">SUM(C32:N32)</f>
        <v>8.62460906832298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1.6</v>
      </c>
      <c r="D33" s="35" t="n">
        <f aca="false">D29+D30+D31</f>
        <v>2.3505</v>
      </c>
      <c r="E33" s="35" t="n">
        <f aca="false">E29+E30+E31</f>
        <v>3.08</v>
      </c>
      <c r="F33" s="35" t="n">
        <f aca="false">F29+F30+F31</f>
        <v>4.384</v>
      </c>
      <c r="G33" s="35" t="n">
        <f aca="false">G29+G30+G31</f>
        <v>5.976</v>
      </c>
      <c r="H33" s="35" t="n">
        <f aca="false">H29+H30+H31</f>
        <v>6.63801242236025</v>
      </c>
      <c r="I33" s="35" t="n">
        <f aca="false">I29+I30+I31</f>
        <v>10.4</v>
      </c>
      <c r="J33" s="35" t="n">
        <f aca="false">J29+J30+J31</f>
        <v>10.8</v>
      </c>
      <c r="K33" s="35" t="n">
        <f aca="false">K29+K30+K31</f>
        <v>10</v>
      </c>
      <c r="L33" s="35" t="n">
        <f aca="false">L29+L30+L31</f>
        <v>8.8</v>
      </c>
      <c r="M33" s="35" t="n">
        <f aca="false">M29+M30+M31</f>
        <v>8.4</v>
      </c>
      <c r="N33" s="35" t="n">
        <f aca="false">N29+N30+N31</f>
        <v>8</v>
      </c>
      <c r="O33" s="38" t="n">
        <f aca="false">SUM(C33:N33)</f>
        <v>80.4285124223603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0.4</v>
      </c>
      <c r="D34" s="27" t="n">
        <f aca="false">D33*INDEX(Assumptions!$C$74:$E$74,$B$3)</f>
        <v>0.587625</v>
      </c>
      <c r="E34" s="27" t="n">
        <f aca="false">E33*INDEX(Assumptions!$C$74:$E$74,$B$3)</f>
        <v>0.77</v>
      </c>
      <c r="F34" s="27" t="n">
        <f aca="false">F33*INDEX(Assumptions!$C$74:$E$74,$B$3)</f>
        <v>1.096</v>
      </c>
      <c r="G34" s="27" t="n">
        <f aca="false">G33*INDEX(Assumptions!$C$74:$E$74,$B$3)</f>
        <v>1.494</v>
      </c>
      <c r="H34" s="27" t="n">
        <f aca="false">H33*INDEX(Assumptions!$C$74:$E$74,$B$3)</f>
        <v>1.65950310559006</v>
      </c>
      <c r="I34" s="27" t="n">
        <f aca="false">I33*INDEX(Assumptions!$C$74:$E$74,$B$3)</f>
        <v>2.6</v>
      </c>
      <c r="J34" s="27" t="n">
        <f aca="false">J33*INDEX(Assumptions!$C$74:$E$74,$B$3)</f>
        <v>2.7</v>
      </c>
      <c r="K34" s="27" t="n">
        <f aca="false">K33*INDEX(Assumptions!$C$74:$E$74,$B$3)</f>
        <v>2.5</v>
      </c>
      <c r="L34" s="27" t="n">
        <f aca="false">L33*INDEX(Assumptions!$C$74:$E$74,$B$3)</f>
        <v>2.2</v>
      </c>
      <c r="M34" s="27" t="n">
        <f aca="false">M33*INDEX(Assumptions!$C$74:$E$74,$B$3)</f>
        <v>2.1</v>
      </c>
      <c r="N34" s="27" t="n">
        <f aca="false">N33*INDEX(Assumptions!$C$74:$E$74,$B$3)</f>
        <v>2</v>
      </c>
      <c r="O34" s="35" t="n">
        <f aca="false">SUM(C34:N34)</f>
        <v>20.1071281055901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1.6</v>
      </c>
      <c r="D35" s="6" t="n">
        <f aca="false">D26+D29+D32+D31+1.25*D30</f>
        <v>3.5025</v>
      </c>
      <c r="E35" s="6" t="n">
        <f aca="false">E26+E29+E32+E31+1.25*E30</f>
        <v>5.92436</v>
      </c>
      <c r="F35" s="6" t="n">
        <f aca="false">F26+F29+F32+F31+1.25*F30</f>
        <v>8.48596</v>
      </c>
      <c r="G35" s="6" t="n">
        <f aca="false">G26+G29+G32+G31+1.25*G30</f>
        <v>11.63214</v>
      </c>
      <c r="H35" s="6" t="n">
        <f aca="false">H26+H29+H32+H31+1.25*H30</f>
        <v>14.4</v>
      </c>
      <c r="I35" s="6" t="n">
        <f aca="false">I26+I29+I32+I31+1.25*I30</f>
        <v>19.9413565217391</v>
      </c>
      <c r="J35" s="6" t="n">
        <f aca="false">J26+J29+J32+J31+1.25*J30</f>
        <v>23.7176765217391</v>
      </c>
      <c r="K35" s="6" t="n">
        <f aca="false">K26+K29+K32+K31+1.25*K30</f>
        <v>26.0605614906832</v>
      </c>
      <c r="L35" s="6" t="n">
        <f aca="false">L26+L29+L32+L31+1.25*L30</f>
        <v>25.354</v>
      </c>
      <c r="M35" s="6" t="n">
        <f aca="false">M26+M29+M32+M31+1.25*M30</f>
        <v>23.877</v>
      </c>
      <c r="N35" s="6" t="n">
        <f aca="false">N26+N29+N32+N31+1.25*N30</f>
        <v>20.879</v>
      </c>
      <c r="O35" s="39" t="n">
        <f aca="false">AVERAGE(C35:N35)</f>
        <v>15.4478795445135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</v>
      </c>
      <c r="D36" s="36" t="n">
        <f aca="false">D35/(D22*D23)</f>
        <v>0.21890625</v>
      </c>
      <c r="E36" s="36" t="n">
        <f aca="false">E35/(E22*E23)</f>
        <v>0.3702725</v>
      </c>
      <c r="F36" s="36" t="n">
        <f aca="false">F35/(F22*F23)</f>
        <v>0.5303725</v>
      </c>
      <c r="G36" s="36" t="n">
        <f aca="false">G35/(G22*G23)</f>
        <v>0.72700875</v>
      </c>
      <c r="H36" s="36" t="n">
        <f aca="false">H35/(H22*H23)</f>
        <v>0.9</v>
      </c>
      <c r="I36" s="36" t="n">
        <f aca="false">I35/(I22*I23)</f>
        <v>0.664711884057971</v>
      </c>
      <c r="J36" s="36" t="n">
        <f aca="false">J35/(J22*J23)</f>
        <v>0.790589217391304</v>
      </c>
      <c r="K36" s="36" t="n">
        <f aca="false">K35/(K22*K23)</f>
        <v>0.868685383022774</v>
      </c>
      <c r="L36" s="36" t="n">
        <f aca="false">L35/(L22*L23)</f>
        <v>0.845133333333333</v>
      </c>
      <c r="M36" s="36" t="n">
        <f aca="false">M35/(M22*M23)</f>
        <v>0.7959</v>
      </c>
      <c r="N36" s="36" t="n">
        <f aca="false">N35/(N22*N23)</f>
        <v>0.695966666666667</v>
      </c>
      <c r="O36" s="30" t="n">
        <f aca="false">N36</f>
        <v>0.695966666666667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0</v>
      </c>
      <c r="K37" s="8" t="n">
        <f aca="false">IF(K28&lt;0.999,1,0)</f>
        <v>0</v>
      </c>
      <c r="L37" s="8" t="n">
        <f aca="false">IF(L28&lt;0.999,1,0)</f>
        <v>0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1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2.72</v>
      </c>
      <c r="F39" s="6" t="n">
        <f aca="false">IF(4&gt;=3,INDEX(Assumptions!$C$192:$E$192,$D$3)*INDEX(Assumptions!$C$193:$E$193,$B$3)*MIN(1,(4-2)/6),0)*$F$3</f>
        <v>5.44</v>
      </c>
      <c r="G39" s="6" t="n">
        <f aca="false">IF(5&gt;=3,INDEX(Assumptions!$C$192:$E$192,$D$3)*INDEX(Assumptions!$C$193:$E$193,$B$3)*MIN(1,(5-2)/6),0)*$F$3</f>
        <v>8.16</v>
      </c>
      <c r="H39" s="6" t="n">
        <f aca="false">IF(6&gt;=3,INDEX(Assumptions!$C$192:$E$192,$D$3)*INDEX(Assumptions!$C$193:$E$193,$B$3)*MIN(1,(6-2)/6),0)*$F$3</f>
        <v>10.88</v>
      </c>
      <c r="I39" s="6" t="n">
        <f aca="false">IF(7&gt;=3,INDEX(Assumptions!$C$192:$E$192,$D$3)*INDEX(Assumptions!$C$193:$E$193,$B$3)*MIN(1,(7-2)/6),0)*$F$3</f>
        <v>13.6</v>
      </c>
      <c r="J39" s="6" t="n">
        <f aca="false">IF(8&gt;=3,INDEX(Assumptions!$C$192:$E$192,$D$3)*INDEX(Assumptions!$C$193:$E$193,$B$3)*MIN(1,(8-2)/6),0)*$F$3</f>
        <v>16.32</v>
      </c>
      <c r="K39" s="6" t="n">
        <f aca="false">IF(9&gt;=3,INDEX(Assumptions!$C$192:$E$192,$D$3)*INDEX(Assumptions!$C$193:$E$193,$B$3)*MIN(1,(9-2)/6),0)*$F$3</f>
        <v>16.32</v>
      </c>
      <c r="L39" s="6" t="n">
        <f aca="false">IF(10&gt;=3,INDEX(Assumptions!$C$192:$E$192,$D$3)*INDEX(Assumptions!$C$193:$E$193,$B$3)*MIN(1,(10-2)/6),0)*$F$3</f>
        <v>16.32</v>
      </c>
      <c r="M39" s="6" t="n">
        <f aca="false">IF(11&gt;=3,INDEX(Assumptions!$C$192:$E$192,$D$3)*INDEX(Assumptions!$C$193:$E$193,$B$3)*MIN(1,(11-2)/6),0)*$F$3</f>
        <v>16.32</v>
      </c>
      <c r="N39" s="6" t="n">
        <f aca="false">IF(12&gt;=3,INDEX(Assumptions!$C$192:$E$192,$D$3)*INDEX(Assumptions!$C$193:$E$193,$B$3)*MIN(1,(12-2)/6),0)*$F$3</f>
        <v>16.32</v>
      </c>
      <c r="O39" s="39" t="n">
        <f aca="false">SUM(C39:N39)</f>
        <v>122.4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5.6</v>
      </c>
      <c r="D40" s="6" t="n">
        <f aca="false">INDEX(Assumptions!$C$194:$E$194,$D$3)*D10*MIN(1,2/3)*$F$3</f>
        <v>9.6</v>
      </c>
      <c r="E40" s="6" t="n">
        <f aca="false">INDEX(Assumptions!$C$194:$E$194,$D$3)*E10*MIN(1,3/3)*$F$3</f>
        <v>14.4</v>
      </c>
      <c r="F40" s="6" t="n">
        <f aca="false">INDEX(Assumptions!$C$194:$E$194,$D$3)*F10*MIN(1,4/3)*$F$3</f>
        <v>15.6</v>
      </c>
      <c r="G40" s="6" t="n">
        <f aca="false">INDEX(Assumptions!$C$194:$E$194,$D$3)*G10*MIN(1,5/3)*$F$3</f>
        <v>10.8</v>
      </c>
      <c r="H40" s="6" t="n">
        <f aca="false">INDEX(Assumptions!$C$194:$E$194,$D$3)*H10*MIN(1,6/3)*$F$3</f>
        <v>9.6</v>
      </c>
      <c r="I40" s="6" t="n">
        <f aca="false">INDEX(Assumptions!$C$194:$E$194,$D$3)*I10*MIN(1,7/3)*$F$3</f>
        <v>8.4</v>
      </c>
      <c r="J40" s="6" t="n">
        <f aca="false">INDEX(Assumptions!$C$194:$E$194,$D$3)*J10*MIN(1,8/3)*$F$3</f>
        <v>7.2</v>
      </c>
      <c r="K40" s="6" t="n">
        <f aca="false">INDEX(Assumptions!$C$194:$E$194,$D$3)*K10*MIN(1,9/3)*$F$3</f>
        <v>7.2</v>
      </c>
      <c r="L40" s="6" t="n">
        <f aca="false">INDEX(Assumptions!$C$194:$E$194,$D$3)*L10*MIN(1,10/3)*$F$3</f>
        <v>9.6</v>
      </c>
      <c r="M40" s="6" t="n">
        <f aca="false">INDEX(Assumptions!$C$194:$E$194,$D$3)*M10*MIN(1,11/3)*$F$3</f>
        <v>13.2</v>
      </c>
      <c r="N40" s="6" t="n">
        <f aca="false">INDEX(Assumptions!$C$194:$E$194,$D$3)*N10*MIN(1,12/3)*$F$3</f>
        <v>16.8</v>
      </c>
      <c r="O40" s="39" t="n">
        <f aca="false">SUM(C40:N40)</f>
        <v>128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1.50093808630394</v>
      </c>
      <c r="D41" s="6" t="n">
        <f aca="false">D21*INDEX(Assumptions!$C$31:$E$31,$B$3)/(INDEX(Assumptions!$C$56:$E$56,$B$3)*INDEX(Assumptions!$C$57:$E$57,$B$3)*INDEX(Assumptions!$C$58:$E$58,$B$3))</f>
        <v>2.20497185741088</v>
      </c>
      <c r="E41" s="6" t="n">
        <f aca="false">E21*INDEX(Assumptions!$C$31:$E$31,$B$3)/(INDEX(Assumptions!$C$56:$E$56,$B$3)*INDEX(Assumptions!$C$57:$E$57,$B$3)*INDEX(Assumptions!$C$58:$E$58,$B$3))</f>
        <v>2.88930581613508</v>
      </c>
      <c r="F41" s="6" t="n">
        <f aca="false">F21*INDEX(Assumptions!$C$31:$E$31,$B$3)/(INDEX(Assumptions!$C$56:$E$56,$B$3)*INDEX(Assumptions!$C$57:$E$57,$B$3)*INDEX(Assumptions!$C$58:$E$58,$B$3))</f>
        <v>4.1125703564728</v>
      </c>
      <c r="G41" s="6" t="n">
        <f aca="false">G21*INDEX(Assumptions!$C$31:$E$31,$B$3)/(INDEX(Assumptions!$C$56:$E$56,$B$3)*INDEX(Assumptions!$C$57:$E$57,$B$3)*INDEX(Assumptions!$C$58:$E$58,$B$3))</f>
        <v>5.60600375234522</v>
      </c>
      <c r="H41" s="6" t="n">
        <f aca="false">H21*INDEX(Assumptions!$C$31:$E$31,$B$3)/(INDEX(Assumptions!$C$56:$E$56,$B$3)*INDEX(Assumptions!$C$57:$E$57,$B$3)*INDEX(Assumptions!$C$58:$E$58,$B$3))</f>
        <v>6.86679174484053</v>
      </c>
      <c r="I41" s="6" t="n">
        <f aca="false">I21*INDEX(Assumptions!$C$31:$E$31,$B$3)/(INDEX(Assumptions!$C$56:$E$56,$B$3)*INDEX(Assumptions!$C$57:$E$57,$B$3)*INDEX(Assumptions!$C$58:$E$58,$B$3))</f>
        <v>9.75609756097561</v>
      </c>
      <c r="J41" s="6" t="n">
        <f aca="false">J21*INDEX(Assumptions!$C$31:$E$31,$B$3)/(INDEX(Assumptions!$C$56:$E$56,$B$3)*INDEX(Assumptions!$C$57:$E$57,$B$3)*INDEX(Assumptions!$C$58:$E$58,$B$3))</f>
        <v>10.1313320825516</v>
      </c>
      <c r="K41" s="6" t="n">
        <f aca="false">K21*INDEX(Assumptions!$C$31:$E$31,$B$3)/(INDEX(Assumptions!$C$56:$E$56,$B$3)*INDEX(Assumptions!$C$57:$E$57,$B$3)*INDEX(Assumptions!$C$58:$E$58,$B$3))</f>
        <v>9.38086303939962</v>
      </c>
      <c r="L41" s="6" t="n">
        <f aca="false">L21*INDEX(Assumptions!$C$31:$E$31,$B$3)/(INDEX(Assumptions!$C$56:$E$56,$B$3)*INDEX(Assumptions!$C$57:$E$57,$B$3)*INDEX(Assumptions!$C$58:$E$58,$B$3))</f>
        <v>8.25515947467167</v>
      </c>
      <c r="M41" s="6" t="n">
        <f aca="false">M21*INDEX(Assumptions!$C$31:$E$31,$B$3)/(INDEX(Assumptions!$C$56:$E$56,$B$3)*INDEX(Assumptions!$C$57:$E$57,$B$3)*INDEX(Assumptions!$C$58:$E$58,$B$3))</f>
        <v>7.87992495309568</v>
      </c>
      <c r="N41" s="6" t="n">
        <f aca="false">N21*INDEX(Assumptions!$C$31:$E$31,$B$3)/(INDEX(Assumptions!$C$56:$E$56,$B$3)*INDEX(Assumptions!$C$57:$E$57,$B$3)*INDEX(Assumptions!$C$58:$E$58,$B$3))</f>
        <v>7.5046904315197</v>
      </c>
      <c r="O41" s="39" t="n">
        <f aca="false">SUM(C41:N41)</f>
        <v>76.0886491557223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12.8</v>
      </c>
      <c r="L43" s="6" t="n">
        <f aca="false">L42*INDEX(Assumptions!$C$82:$E$82,$B$3)*$F$3</f>
        <v>12.8</v>
      </c>
      <c r="M43" s="6" t="n">
        <f aca="false">M42*INDEX(Assumptions!$C$82:$E$82,$B$3)*$F$3</f>
        <v>12.8</v>
      </c>
      <c r="N43" s="6" t="n">
        <f aca="false">N42*INDEX(Assumptions!$C$82:$E$82,$B$3)*$F$3</f>
        <v>12.8</v>
      </c>
      <c r="O43" s="39" t="n">
        <f aca="false">SUM(C43:N43)</f>
        <v>51.2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0.1904</v>
      </c>
      <c r="F44" s="27" t="n">
        <f aca="false">F39*0.7*INDEX(Assumptions!$C$73:$E$73,$B$3)</f>
        <v>0.3808</v>
      </c>
      <c r="G44" s="27" t="n">
        <f aca="false">G39*0.7*INDEX(Assumptions!$C$73:$E$73,$B$3)</f>
        <v>0.5712</v>
      </c>
      <c r="H44" s="27" t="n">
        <f aca="false">H39*0.7*INDEX(Assumptions!$C$73:$E$73,$B$3)</f>
        <v>0.7616</v>
      </c>
      <c r="I44" s="27" t="n">
        <f aca="false">I39*0.7*INDEX(Assumptions!$C$73:$E$73,$B$3)</f>
        <v>0.952</v>
      </c>
      <c r="J44" s="27" t="n">
        <f aca="false">J39*0.7*INDEX(Assumptions!$C$73:$E$73,$B$3)</f>
        <v>1.1424</v>
      </c>
      <c r="K44" s="27" t="n">
        <f aca="false">K39*0.7*INDEX(Assumptions!$C$73:$E$73,$B$3)</f>
        <v>1.1424</v>
      </c>
      <c r="L44" s="27" t="n">
        <f aca="false">L39*0.7*INDEX(Assumptions!$C$73:$E$73,$B$3)</f>
        <v>1.1424</v>
      </c>
      <c r="M44" s="27" t="n">
        <f aca="false">M39*0.7*INDEX(Assumptions!$C$73:$E$73,$B$3)</f>
        <v>1.1424</v>
      </c>
      <c r="N44" s="27" t="n">
        <f aca="false">N39*0.7*INDEX(Assumptions!$C$73:$E$73,$B$3)</f>
        <v>1.1424</v>
      </c>
      <c r="O44" s="35" t="n">
        <f aca="false">SUM(C44:N44)</f>
        <v>8.568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48813.5593220339</v>
      </c>
      <c r="D49" s="8" t="n">
        <f aca="false">D29*D46/(1+INDEX(Assumptions!$C$15:$E$15,$B$3)*$H$4)</f>
        <v>71710.1694915254</v>
      </c>
      <c r="E49" s="8" t="n">
        <f aca="false">E29*E46/(1+INDEX(Assumptions!$C$15:$E$15,$B$3)*$H$4)</f>
        <v>93966.1016949152</v>
      </c>
      <c r="F49" s="8" t="n">
        <f aca="false">F29*F46/(1+INDEX(Assumptions!$C$15:$E$15,$B$3)*$H$4)</f>
        <v>133749.152542373</v>
      </c>
      <c r="G49" s="8" t="n">
        <f aca="false">G29*G46/(1+INDEX(Assumptions!$C$15:$E$15,$B$3)*$H$4)</f>
        <v>182318.644067797</v>
      </c>
      <c r="H49" s="8" t="n">
        <f aca="false">H29*H46/(1+INDEX(Assumptions!$C$15:$E$15,$B$3)*$H$4)</f>
        <v>202515.63322455</v>
      </c>
      <c r="I49" s="8" t="n">
        <f aca="false">I29*I46/(1+INDEX(Assumptions!$C$15:$E$15,$B$3)*$H$4)</f>
        <v>423050.847457627</v>
      </c>
      <c r="J49" s="8" t="n">
        <f aca="false">J29*J46/(1+INDEX(Assumptions!$C$15:$E$15,$B$3)*$H$4)</f>
        <v>439322.033898305</v>
      </c>
      <c r="K49" s="8" t="n">
        <f aca="false">K29*K46/(1+INDEX(Assumptions!$C$15:$E$15,$B$3)*$H$4)</f>
        <v>406779.661016949</v>
      </c>
      <c r="L49" s="8" t="n">
        <f aca="false">L29*L46/(1+INDEX(Assumptions!$C$15:$E$15,$B$3)*$H$4)</f>
        <v>268474.576271186</v>
      </c>
      <c r="M49" s="8" t="n">
        <f aca="false">M29*M46/(1+INDEX(Assumptions!$C$15:$E$15,$B$3)*$H$4)</f>
        <v>256271.186440678</v>
      </c>
      <c r="N49" s="8" t="n">
        <f aca="false">N29*N46/(1+INDEX(Assumptions!$C$15:$E$15,$B$3)*$H$4)</f>
        <v>244067.79661017</v>
      </c>
      <c r="O49" s="37" t="n">
        <f aca="false">SUM(C49:N49)</f>
        <v>2771039.36203811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89491.5254237288</v>
      </c>
      <c r="M50" s="8" t="n">
        <f aca="false">M30*M46/(1+INDEX(Assumptions!$C$15:$E$15,$B$3)*$H$4)</f>
        <v>85423.7288135593</v>
      </c>
      <c r="N50" s="8" t="n">
        <f aca="false">N30*N46/(1+INDEX(Assumptions!$C$15:$E$15,$B$3)*$H$4)</f>
        <v>81355.9322033898</v>
      </c>
      <c r="O50" s="37" t="n">
        <f aca="false">SUM(C50:N50)</f>
        <v>256271.186440678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3270.50847457627</v>
      </c>
      <c r="E51" s="8" t="n">
        <f aca="false">E32*MAX(0,E46-INDEX(Assumptions!$C$18:$E$18,$B$3)*$H$3)/(1+INDEX(Assumptions!$C$15:$E$15,$B$3)*$H$4)</f>
        <v>4804.5813559322</v>
      </c>
      <c r="F51" s="8" t="n">
        <f aca="false">F32*MAX(0,F46-INDEX(Assumptions!$C$18:$E$18,$B$3)*$H$3)/(1+INDEX(Assumptions!$C$15:$E$15,$B$3)*$H$4)</f>
        <v>6295.72881355932</v>
      </c>
      <c r="G51" s="8" t="n">
        <f aca="false">G32*MAX(0,G46-INDEX(Assumptions!$C$18:$E$18,$B$3)*$H$3)/(1+INDEX(Assumptions!$C$15:$E$15,$B$3)*$H$4)</f>
        <v>8961.19322033899</v>
      </c>
      <c r="H51" s="8" t="n">
        <f aca="false">H32*MAX(0,H46-INDEX(Assumptions!$C$18:$E$18,$B$3)*$H$3)/(1+INDEX(Assumptions!$C$15:$E$15,$B$3)*$H$4)</f>
        <v>11077.2731445415</v>
      </c>
      <c r="I51" s="8" t="n">
        <f aca="false">I32*MAX(0,I46-INDEX(Assumptions!$C$18:$E$18,$B$3)*$H$3)/(1+INDEX(Assumptions!$C$15:$E$15,$B$3)*$H$4)</f>
        <v>27069.5896410148</v>
      </c>
      <c r="J51" s="8" t="n">
        <f aca="false">J32*MAX(0,J46-INDEX(Assumptions!$C$18:$E$18,$B$3)*$H$3)/(1+INDEX(Assumptions!$C$15:$E$15,$B$3)*$H$4)</f>
        <v>42410.8474576271</v>
      </c>
      <c r="K51" s="8" t="n">
        <f aca="false">K32*MAX(0,K46-INDEX(Assumptions!$C$18:$E$18,$B$3)*$H$3)/(1+INDEX(Assumptions!$C$15:$E$15,$B$3)*$H$4)</f>
        <v>44042.0338983051</v>
      </c>
      <c r="L51" s="8" t="n">
        <f aca="false">L32*MAX(0,L46-INDEX(Assumptions!$C$18:$E$18,$B$3)*$H$3)/(1+INDEX(Assumptions!$C$15:$E$15,$B$3)*$H$4)</f>
        <v>40779.6610169492</v>
      </c>
      <c r="M51" s="8" t="n">
        <f aca="false">M32*MAX(0,M46-INDEX(Assumptions!$C$18:$E$18,$B$3)*$H$3)/(1+INDEX(Assumptions!$C$15:$E$15,$B$3)*$H$4)</f>
        <v>35886.1016949153</v>
      </c>
      <c r="N51" s="8" t="n">
        <f aca="false">N32*MAX(0,N46-INDEX(Assumptions!$C$18:$E$18,$B$3)*$H$3)/(1+INDEX(Assumptions!$C$15:$E$15,$B$3)*$H$4)</f>
        <v>34254.9152542373</v>
      </c>
      <c r="O51" s="37" t="n">
        <f aca="false">SUM(C51:N51)</f>
        <v>258852.433971997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21640.6779661017</v>
      </c>
      <c r="D52" s="8" t="n">
        <f aca="false">D31*INDEX(Assumptions!$C$18:$E$18,$B$3)*$H$3/(1+INDEX(Assumptions!$C$15:$E$15,$B$3)*$H$4)</f>
        <v>31791.5084745763</v>
      </c>
      <c r="E52" s="8" t="n">
        <f aca="false">E31*INDEX(Assumptions!$C$18:$E$18,$B$3)*$H$3/(1+INDEX(Assumptions!$C$15:$E$15,$B$3)*$H$4)</f>
        <v>41658.3050847458</v>
      </c>
      <c r="F52" s="8" t="n">
        <f aca="false">F31*INDEX(Assumptions!$C$18:$E$18,$B$3)*$H$3/(1+INDEX(Assumptions!$C$15:$E$15,$B$3)*$H$4)</f>
        <v>59295.4576271187</v>
      </c>
      <c r="G52" s="8" t="n">
        <f aca="false">G31*INDEX(Assumptions!$C$18:$E$18,$B$3)*$H$3/(1+INDEX(Assumptions!$C$15:$E$15,$B$3)*$H$4)</f>
        <v>80827.9322033899</v>
      </c>
      <c r="H52" s="8" t="n">
        <f aca="false">H31*INDEX(Assumptions!$C$18:$E$18,$B$3)*$H$3/(1+INDEX(Assumptions!$C$15:$E$15,$B$3)*$H$4)</f>
        <v>89781.9307295505</v>
      </c>
      <c r="I52" s="8" t="n">
        <f aca="false">I31*INDEX(Assumptions!$C$18:$E$18,$B$3)*$H$3/(1+INDEX(Assumptions!$C$15:$E$15,$B$3)*$H$4)</f>
        <v>140664.406779661</v>
      </c>
      <c r="J52" s="8" t="n">
        <f aca="false">J31*INDEX(Assumptions!$C$18:$E$18,$B$3)*$H$3/(1+INDEX(Assumptions!$C$15:$E$15,$B$3)*$H$4)</f>
        <v>146074.576271186</v>
      </c>
      <c r="K52" s="8" t="n">
        <f aca="false">K31*INDEX(Assumptions!$C$18:$E$18,$B$3)*$H$3/(1+INDEX(Assumptions!$C$15:$E$15,$B$3)*$H$4)</f>
        <v>135254.237288136</v>
      </c>
      <c r="L52" s="8" t="n">
        <f aca="false">L31*INDEX(Assumptions!$C$18:$E$18,$B$3)*$H$3/(1+INDEX(Assumptions!$C$15:$E$15,$B$3)*$H$4)</f>
        <v>119023.728813559</v>
      </c>
      <c r="M52" s="8" t="n">
        <f aca="false">M31*INDEX(Assumptions!$C$18:$E$18,$B$3)*$H$3/(1+INDEX(Assumptions!$C$15:$E$15,$B$3)*$H$4)</f>
        <v>113613.559322034</v>
      </c>
      <c r="N52" s="8" t="n">
        <f aca="false">N31*INDEX(Assumptions!$C$18:$E$18,$B$3)*$H$3/(1+INDEX(Assumptions!$C$15:$E$15,$B$3)*$H$4)</f>
        <v>108203.389830508</v>
      </c>
      <c r="O52" s="37" t="n">
        <f aca="false">SUM(C52:N52)</f>
        <v>1087829.71039057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1135.25182052342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1667.75587758769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2185.35975450758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3110.58998823417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4240.16554965498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5193.77707889465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7379.13683340223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7662.94978853309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7095.32387827138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6243.88501287881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5960.07205774796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5676.2591026171</v>
      </c>
      <c r="O53" s="37" t="n">
        <f aca="false">SUM(C53:N53)</f>
        <v>57550.5267428531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23050.8474576271</v>
      </c>
      <c r="F54" s="8" t="n">
        <f aca="false">F39*INDEX(Assumptions!$C$21:$E$21,$B$3)*$H$3/(1+INDEX(Assumptions!$C$15:$E$15,$B$3)*$H$4)</f>
        <v>46101.6949152542</v>
      </c>
      <c r="G54" s="8" t="n">
        <f aca="false">G39*INDEX(Assumptions!$C$21:$E$21,$B$3)*$H$3/(1+INDEX(Assumptions!$C$15:$E$15,$B$3)*$H$4)</f>
        <v>69152.5423728814</v>
      </c>
      <c r="H54" s="8" t="n">
        <f aca="false">H39*INDEX(Assumptions!$C$21:$E$21,$B$3)*$H$3/(1+INDEX(Assumptions!$C$15:$E$15,$B$3)*$H$4)</f>
        <v>92203.3898305085</v>
      </c>
      <c r="I54" s="8" t="n">
        <f aca="false">I39*INDEX(Assumptions!$C$21:$E$21,$B$3)*$H$3/(1+INDEX(Assumptions!$C$15:$E$15,$B$3)*$H$4)</f>
        <v>115254.237288136</v>
      </c>
      <c r="J54" s="8" t="n">
        <f aca="false">J39*INDEX(Assumptions!$C$21:$E$21,$B$3)*$H$3/(1+INDEX(Assumptions!$C$15:$E$15,$B$3)*$H$4)</f>
        <v>138305.084745763</v>
      </c>
      <c r="K54" s="8" t="n">
        <f aca="false">K39*INDEX(Assumptions!$C$21:$E$21,$B$3)*$H$3/(1+INDEX(Assumptions!$C$15:$E$15,$B$3)*$H$4)</f>
        <v>138305.084745763</v>
      </c>
      <c r="L54" s="8" t="n">
        <f aca="false">L39*INDEX(Assumptions!$C$21:$E$21,$B$3)*$H$3/(1+INDEX(Assumptions!$C$15:$E$15,$B$3)*$H$4)</f>
        <v>138305.084745763</v>
      </c>
      <c r="M54" s="8" t="n">
        <f aca="false">M39*INDEX(Assumptions!$C$21:$E$21,$B$3)*$H$3/(1+INDEX(Assumptions!$C$15:$E$15,$B$3)*$H$4)</f>
        <v>138305.084745763</v>
      </c>
      <c r="N54" s="8" t="n">
        <f aca="false">N39*INDEX(Assumptions!$C$21:$E$21,$B$3)*$H$3/(1+INDEX(Assumptions!$C$15:$E$15,$B$3)*$H$4)</f>
        <v>138305.084745763</v>
      </c>
      <c r="O54" s="37" t="n">
        <f aca="false">SUM(C54:N54)</f>
        <v>1037288.13559322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23724.0677966102</v>
      </c>
      <c r="D55" s="8" t="n">
        <f aca="false">D40*INDEX(Assumptions!$C$22:$E$22,$B$3)*$H$3/(1+INDEX(Assumptions!$C$15:$E$15,$B$3)*$H$4)</f>
        <v>40669.8305084746</v>
      </c>
      <c r="E55" s="8" t="n">
        <f aca="false">E40*INDEX(Assumptions!$C$22:$E$22,$B$3)*$H$3/(1+INDEX(Assumptions!$C$15:$E$15,$B$3)*$H$4)</f>
        <v>61004.7457627119</v>
      </c>
      <c r="F55" s="8" t="n">
        <f aca="false">F40*INDEX(Assumptions!$C$22:$E$22,$B$3)*$H$3/(1+INDEX(Assumptions!$C$15:$E$15,$B$3)*$H$4)</f>
        <v>66088.4745762712</v>
      </c>
      <c r="G55" s="8" t="n">
        <f aca="false">G40*INDEX(Assumptions!$C$22:$E$22,$B$3)*$H$3/(1+INDEX(Assumptions!$C$15:$E$15,$B$3)*$H$4)</f>
        <v>45753.5593220339</v>
      </c>
      <c r="H55" s="8" t="n">
        <f aca="false">H40*INDEX(Assumptions!$C$22:$E$22,$B$3)*$H$3/(1+INDEX(Assumptions!$C$15:$E$15,$B$3)*$H$4)</f>
        <v>40669.8305084746</v>
      </c>
      <c r="I55" s="8" t="n">
        <f aca="false">I40*INDEX(Assumptions!$C$22:$E$22,$B$3)*$H$3/(1+INDEX(Assumptions!$C$15:$E$15,$B$3)*$H$4)</f>
        <v>35586.1016949153</v>
      </c>
      <c r="J55" s="8" t="n">
        <f aca="false">J40*INDEX(Assumptions!$C$22:$E$22,$B$3)*$H$3/(1+INDEX(Assumptions!$C$15:$E$15,$B$3)*$H$4)</f>
        <v>30502.3728813559</v>
      </c>
      <c r="K55" s="8" t="n">
        <f aca="false">K40*INDEX(Assumptions!$C$22:$E$22,$B$3)*$H$3/(1+INDEX(Assumptions!$C$15:$E$15,$B$3)*$H$4)</f>
        <v>30502.3728813559</v>
      </c>
      <c r="L55" s="8" t="n">
        <f aca="false">L40*INDEX(Assumptions!$C$22:$E$22,$B$3)*$H$3/(1+INDEX(Assumptions!$C$15:$E$15,$B$3)*$H$4)</f>
        <v>40669.8305084746</v>
      </c>
      <c r="M55" s="8" t="n">
        <f aca="false">M40*INDEX(Assumptions!$C$22:$E$22,$B$3)*$H$3/(1+INDEX(Assumptions!$C$15:$E$15,$B$3)*$H$4)</f>
        <v>55921.0169491525</v>
      </c>
      <c r="N55" s="8" t="n">
        <f aca="false">N40*INDEX(Assumptions!$C$22:$E$22,$B$3)*$H$3/(1+INDEX(Assumptions!$C$15:$E$15,$B$3)*$H$4)</f>
        <v>71172.2033898305</v>
      </c>
      <c r="O55" s="37" t="n">
        <f aca="false">SUM(C55:N55)</f>
        <v>542264.406779661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16260.3389830509</v>
      </c>
      <c r="L56" s="8" t="n">
        <f aca="false">L43*INDEX(Assumptions!$C$83:$E$83,$B$3)/(1+INDEX(Assumptions!$C$15:$E$15,$B$3)*$H$4)</f>
        <v>16260.3389830509</v>
      </c>
      <c r="M56" s="8" t="n">
        <f aca="false">M43*INDEX(Assumptions!$C$83:$E$83,$B$3)/(1+INDEX(Assumptions!$C$15:$E$15,$B$3)*$H$4)</f>
        <v>16260.3389830509</v>
      </c>
      <c r="N56" s="8" t="n">
        <f aca="false">N43*INDEX(Assumptions!$C$83:$E$83,$B$3)/(1+INDEX(Assumptions!$C$15:$E$15,$B$3)*$H$4)</f>
        <v>16260.3389830509</v>
      </c>
      <c r="O56" s="37" t="n">
        <f aca="false">SUM(C56:N56)</f>
        <v>65041.3559322034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1613.3979661017</v>
      </c>
      <c r="F57" s="8" t="n">
        <f aca="false">F44*INDEX(Assumptions!$C$23:$E$23,$B$3)/(1+INDEX(Assumptions!$C$15:$E$15,$B$3)*$H$4)</f>
        <v>3226.79593220339</v>
      </c>
      <c r="G57" s="8" t="n">
        <f aca="false">G44*INDEX(Assumptions!$C$23:$E$23,$B$3)/(1+INDEX(Assumptions!$C$15:$E$15,$B$3)*$H$4)</f>
        <v>4840.19389830509</v>
      </c>
      <c r="H57" s="8" t="n">
        <f aca="false">H44*INDEX(Assumptions!$C$23:$E$23,$B$3)/(1+INDEX(Assumptions!$C$15:$E$15,$B$3)*$H$4)</f>
        <v>6453.59186440678</v>
      </c>
      <c r="I57" s="8" t="n">
        <f aca="false">I44*INDEX(Assumptions!$C$23:$E$23,$B$3)/(1+INDEX(Assumptions!$C$15:$E$15,$B$3)*$H$4)</f>
        <v>8066.98983050847</v>
      </c>
      <c r="J57" s="8" t="n">
        <f aca="false">J44*INDEX(Assumptions!$C$23:$E$23,$B$3)/(1+INDEX(Assumptions!$C$15:$E$15,$B$3)*$H$4)</f>
        <v>9680.38779661017</v>
      </c>
      <c r="K57" s="8" t="n">
        <f aca="false">K44*INDEX(Assumptions!$C$23:$E$23,$B$3)/(1+INDEX(Assumptions!$C$15:$E$15,$B$3)*$H$4)</f>
        <v>9680.38779661017</v>
      </c>
      <c r="L57" s="8" t="n">
        <f aca="false">L44*INDEX(Assumptions!$C$23:$E$23,$B$3)/(1+INDEX(Assumptions!$C$15:$E$15,$B$3)*$H$4)</f>
        <v>9680.38779661017</v>
      </c>
      <c r="M57" s="8" t="n">
        <f aca="false">M44*INDEX(Assumptions!$C$23:$E$23,$B$3)/(1+INDEX(Assumptions!$C$15:$E$15,$B$3)*$H$4)</f>
        <v>9680.38779661017</v>
      </c>
      <c r="N57" s="8" t="n">
        <f aca="false">N44*INDEX(Assumptions!$C$23:$E$23,$B$3)/(1+INDEX(Assumptions!$C$15:$E$15,$B$3)*$H$4)</f>
        <v>9680.38779661017</v>
      </c>
      <c r="O57" s="37" t="n">
        <f aca="false">SUM(C57:N57)</f>
        <v>72602.9084745763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5990.4</v>
      </c>
      <c r="J58" s="8" t="n">
        <f aca="false">(J29+J30)*(1-J47)*INDEX(Assumptions!$C$90:$E$90,$B$3)</f>
        <v>6220.8</v>
      </c>
      <c r="K58" s="8" t="n">
        <f aca="false">(K29+K30)*(1-K47)*INDEX(Assumptions!$C$90:$E$90,$B$3)</f>
        <v>5760</v>
      </c>
      <c r="L58" s="8" t="n">
        <f aca="false">(L29+L30)*(1-L47)*INDEX(Assumptions!$C$90:$E$90,$B$3)</f>
        <v>5068.8</v>
      </c>
      <c r="M58" s="8" t="n">
        <f aca="false">(M29+M30)*(1-M47)*INDEX(Assumptions!$C$90:$E$90,$B$3)</f>
        <v>4838.4</v>
      </c>
      <c r="N58" s="8" t="n">
        <f aca="false">(N29+N30)*(1-N47)*INDEX(Assumptions!$C$90:$E$90,$B$3)</f>
        <v>4608</v>
      </c>
      <c r="O58" s="37" t="n">
        <f aca="false">SUM(C58:N58)</f>
        <v>32486.4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95313.5569052692</v>
      </c>
      <c r="D59" s="37" t="n">
        <f aca="false">SUM(D49:D58)</f>
        <v>149109.77282674</v>
      </c>
      <c r="E59" s="37" t="n">
        <f aca="false">SUM(E49:E58)</f>
        <v>228283.339076541</v>
      </c>
      <c r="F59" s="37" t="n">
        <f aca="false">SUM(F49:F58)</f>
        <v>317867.894395014</v>
      </c>
      <c r="G59" s="37" t="n">
        <f aca="false">SUM(G49:G58)</f>
        <v>396094.230634401</v>
      </c>
      <c r="H59" s="37" t="n">
        <f aca="false">SUM(H49:H58)</f>
        <v>447895.426380926</v>
      </c>
      <c r="I59" s="37" t="n">
        <f aca="false">SUM(I49:I58)</f>
        <v>763061.709525265</v>
      </c>
      <c r="J59" s="37" t="n">
        <f aca="false">SUM(J49:J58)</f>
        <v>820179.052839381</v>
      </c>
      <c r="K59" s="37" t="n">
        <f aca="false">SUM(K49:K58)</f>
        <v>793679.440488441</v>
      </c>
      <c r="L59" s="37" t="n">
        <f aca="false">SUM(L49:L58)</f>
        <v>733997.818572201</v>
      </c>
      <c r="M59" s="37" t="n">
        <f aca="false">SUM(M49:M58)</f>
        <v>722159.876803511</v>
      </c>
      <c r="N59" s="37" t="n">
        <f aca="false">SUM(N49:N58)</f>
        <v>713584.307916176</v>
      </c>
      <c r="O59" s="31" t="n">
        <f aca="false">SUM(C59:N59)</f>
        <v>6181226.42636387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70454.2372881356</v>
      </c>
      <c r="D60" s="8" t="n">
        <f aca="false">D49+D50+D51+D52</f>
        <v>106772.186440678</v>
      </c>
      <c r="E60" s="8" t="n">
        <f aca="false">E49+E50+E51+E52</f>
        <v>140428.988135593</v>
      </c>
      <c r="F60" s="8" t="n">
        <f aca="false">F49+F50+F51+F52</f>
        <v>199340.338983051</v>
      </c>
      <c r="G60" s="8" t="n">
        <f aca="false">G49+G50+G51+G52</f>
        <v>272107.769491526</v>
      </c>
      <c r="H60" s="8" t="n">
        <f aca="false">H49+H50+H51+H52</f>
        <v>303374.837098642</v>
      </c>
      <c r="I60" s="8" t="n">
        <f aca="false">I49+I50+I51+I52</f>
        <v>590784.843878303</v>
      </c>
      <c r="J60" s="8" t="n">
        <f aca="false">J49+J50+J51+J52</f>
        <v>627807.457627119</v>
      </c>
      <c r="K60" s="8" t="n">
        <f aca="false">K49+K50+K51+K52</f>
        <v>586075.93220339</v>
      </c>
      <c r="L60" s="8" t="n">
        <f aca="false">L49+L50+L51+L52</f>
        <v>517769.491525424</v>
      </c>
      <c r="M60" s="8" t="n">
        <f aca="false">M49+M50+M51+M52</f>
        <v>491194.576271186</v>
      </c>
      <c r="N60" s="8" t="n">
        <f aca="false">N49+N50+N51+N52</f>
        <v>467882.033898305</v>
      </c>
      <c r="O60" s="37" t="n">
        <f aca="false">SUM(C60:N60)</f>
        <v>4373992.69284135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5760</v>
      </c>
      <c r="D62" s="8" t="n">
        <f aca="false">((D29+D32)*INDEX(Assumptions!$C$91:$E$91,$B$3)+D30*INDEX(Assumptions!$C$93:$E$93,$B$3))*$N$3</f>
        <v>9613.8</v>
      </c>
      <c r="E62" s="8" t="n">
        <f aca="false">((E29+E32)*INDEX(Assumptions!$C$91:$E$91,$B$3)+E30*INDEX(Assumptions!$C$93:$E$93,$B$3))*$N$3</f>
        <v>12780.36</v>
      </c>
      <c r="F62" s="8" t="n">
        <f aca="false">((F29+F32)*INDEX(Assumptions!$C$91:$E$91,$B$3)+F30*INDEX(Assumptions!$C$93:$E$93,$B$3))*$N$3</f>
        <v>18000</v>
      </c>
      <c r="G62" s="8" t="n">
        <f aca="false">((G29+G32)*INDEX(Assumptions!$C$91:$E$91,$B$3)+G30*INDEX(Assumptions!$C$93:$E$93,$B$3))*$N$3</f>
        <v>24670.08</v>
      </c>
      <c r="H62" s="8" t="n">
        <f aca="false">((H29+H32)*INDEX(Assumptions!$C$91:$E$91,$B$3)+H30*INDEX(Assumptions!$C$93:$E$93,$B$3))*$N$3</f>
        <v>27798.6901863354</v>
      </c>
      <c r="I62" s="8" t="n">
        <f aca="false">((I29+I32)*INDEX(Assumptions!$C$91:$E$91,$B$3)+I30*INDEX(Assumptions!$C$93:$E$93,$B$3))*$N$3</f>
        <v>42219.3689440994</v>
      </c>
      <c r="J62" s="8" t="n">
        <f aca="false">((J29+J32)*INDEX(Assumptions!$C$91:$E$91,$B$3)+J30*INDEX(Assumptions!$C$93:$E$93,$B$3))*$N$3</f>
        <v>46368</v>
      </c>
      <c r="K62" s="8" t="n">
        <f aca="false">((K29+K32)*INDEX(Assumptions!$C$91:$E$91,$B$3)+K30*INDEX(Assumptions!$C$93:$E$93,$B$3))*$N$3</f>
        <v>43776</v>
      </c>
      <c r="L62" s="8" t="n">
        <f aca="false">((L29+L32)*INDEX(Assumptions!$C$91:$E$91,$B$3)+L30*INDEX(Assumptions!$C$93:$E$93,$B$3))*$N$3</f>
        <v>40860</v>
      </c>
      <c r="M62" s="8" t="n">
        <f aca="false">((M29+M32)*INDEX(Assumptions!$C$91:$E$91,$B$3)+M30*INDEX(Assumptions!$C$93:$E$93,$B$3))*$N$3</f>
        <v>38466</v>
      </c>
      <c r="N62" s="8" t="n">
        <f aca="false">((N29+N32)*INDEX(Assumptions!$C$91:$E$91,$B$3)+N30*INDEX(Assumptions!$C$93:$E$93,$B$3))*$N$3</f>
        <v>36648</v>
      </c>
      <c r="O62" s="37" t="n">
        <f aca="false">SUM(C62:N62)</f>
        <v>346960.299130435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11520</v>
      </c>
      <c r="D63" s="8" t="n">
        <f aca="false">(D29+D30)*D47*INDEX(Assumptions!$C$14:$E$14,$B$3)*$N$3</f>
        <v>16923.6</v>
      </c>
      <c r="E63" s="8" t="n">
        <f aca="false">(E29+E30)*E47*INDEX(Assumptions!$C$14:$E$14,$B$3)*$N$3</f>
        <v>22176</v>
      </c>
      <c r="F63" s="8" t="n">
        <f aca="false">(F29+F30)*F47*INDEX(Assumptions!$C$14:$E$14,$B$3)*$N$3</f>
        <v>31564.8</v>
      </c>
      <c r="G63" s="8" t="n">
        <f aca="false">(G29+G30)*G47*INDEX(Assumptions!$C$14:$E$14,$B$3)*$N$3</f>
        <v>43027.2</v>
      </c>
      <c r="H63" s="8" t="n">
        <f aca="false">(H29+H30)*H47*INDEX(Assumptions!$C$14:$E$14,$B$3)*$N$3</f>
        <v>47793.6894409938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173005.289440994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1280</v>
      </c>
      <c r="D64" s="8" t="n">
        <f aca="false">D31*INDEX(Assumptions!$C$92:$E$92,$B$3)*$N$3</f>
        <v>1880.4</v>
      </c>
      <c r="E64" s="8" t="n">
        <f aca="false">E31*INDEX(Assumptions!$C$92:$E$92,$B$3)*$N$3</f>
        <v>2464</v>
      </c>
      <c r="F64" s="8" t="n">
        <f aca="false">F31*INDEX(Assumptions!$C$92:$E$92,$B$3)*$N$3</f>
        <v>3507.2</v>
      </c>
      <c r="G64" s="8" t="n">
        <f aca="false">G31*INDEX(Assumptions!$C$92:$E$92,$B$3)*$N$3</f>
        <v>4780.8</v>
      </c>
      <c r="H64" s="8" t="n">
        <f aca="false">H31*INDEX(Assumptions!$C$92:$E$92,$B$3)*$N$3</f>
        <v>5310.4099378882</v>
      </c>
      <c r="I64" s="8" t="n">
        <f aca="false">I31*INDEX(Assumptions!$C$92:$E$92,$B$3)*$N$3</f>
        <v>8320</v>
      </c>
      <c r="J64" s="8" t="n">
        <f aca="false">J31*INDEX(Assumptions!$C$92:$E$92,$B$3)*$N$3</f>
        <v>8640</v>
      </c>
      <c r="K64" s="8" t="n">
        <f aca="false">K31*INDEX(Assumptions!$C$92:$E$92,$B$3)*$N$3</f>
        <v>8000</v>
      </c>
      <c r="L64" s="8" t="n">
        <f aca="false">L31*INDEX(Assumptions!$C$92:$E$92,$B$3)*$N$3</f>
        <v>7040</v>
      </c>
      <c r="M64" s="8" t="n">
        <f aca="false">M31*INDEX(Assumptions!$C$92:$E$92,$B$3)*$N$3</f>
        <v>6720</v>
      </c>
      <c r="N64" s="8" t="n">
        <f aca="false">N31*INDEX(Assumptions!$C$92:$E$92,$B$3)*$N$3</f>
        <v>6400</v>
      </c>
      <c r="O64" s="37" t="n">
        <f aca="false">SUM(C64:N64)</f>
        <v>64342.8099378882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2615.23452157599</v>
      </c>
      <c r="D65" s="8" t="n">
        <f aca="false">(D39*INDEX(Assumptions!$C$94:$E$94,$B$3)+D40*INDEX(Assumptions!$C$95:$E$95,$B$3)+D41*INDEX(Assumptions!$C$96:$E$96,$B$3))*$N$3</f>
        <v>4391.24296435272</v>
      </c>
      <c r="E65" s="8" t="n">
        <f aca="false">(E39*INDEX(Assumptions!$C$94:$E$94,$B$3)+E40*INDEX(Assumptions!$C$95:$E$95,$B$3)+E41*INDEX(Assumptions!$C$96:$E$96,$B$3))*$N$3</f>
        <v>9202.32645403377</v>
      </c>
      <c r="F65" s="8" t="n">
        <f aca="false">(F39*INDEX(Assumptions!$C$94:$E$94,$B$3)+F40*INDEX(Assumptions!$C$95:$E$95,$B$3)+F41*INDEX(Assumptions!$C$96:$E$96,$B$3))*$N$3</f>
        <v>12708.1425891182</v>
      </c>
      <c r="G65" s="8" t="n">
        <f aca="false">(G39*INDEX(Assumptions!$C$94:$E$94,$B$3)+G40*INDEX(Assumptions!$C$95:$E$95,$B$3)+G41*INDEX(Assumptions!$C$96:$E$96,$B$3))*$N$3</f>
        <v>13881.5009380863</v>
      </c>
      <c r="H65" s="8" t="n">
        <f aca="false">(H39*INDEX(Assumptions!$C$94:$E$94,$B$3)+H40*INDEX(Assumptions!$C$95:$E$95,$B$3)+H41*INDEX(Assumptions!$C$96:$E$96,$B$3))*$N$3</f>
        <v>16436.6979362101</v>
      </c>
      <c r="I65" s="8" t="n">
        <f aca="false">(I39*INDEX(Assumptions!$C$94:$E$94,$B$3)+I40*INDEX(Assumptions!$C$95:$E$95,$B$3)+I41*INDEX(Assumptions!$C$96:$E$96,$B$3))*$N$3</f>
        <v>19399.0243902439</v>
      </c>
      <c r="J65" s="8" t="n">
        <f aca="false">(J39*INDEX(Assumptions!$C$94:$E$94,$B$3)+J40*INDEX(Assumptions!$C$95:$E$95,$B$3)+J41*INDEX(Assumptions!$C$96:$E$96,$B$3))*$N$3</f>
        <v>21732.8330206379</v>
      </c>
      <c r="K65" s="8" t="n">
        <f aca="false">(K39*INDEX(Assumptions!$C$94:$E$94,$B$3)+K40*INDEX(Assumptions!$C$95:$E$95,$B$3)+K41*INDEX(Assumptions!$C$96:$E$96,$B$3))*$N$3</f>
        <v>21545.2157598499</v>
      </c>
      <c r="L65" s="8" t="n">
        <f aca="false">(L39*INDEX(Assumptions!$C$94:$E$94,$B$3)+L40*INDEX(Assumptions!$C$95:$E$95,$B$3)+L41*INDEX(Assumptions!$C$96:$E$96,$B$3))*$N$3</f>
        <v>22223.7898686679</v>
      </c>
      <c r="M65" s="8" t="n">
        <f aca="false">(M39*INDEX(Assumptions!$C$94:$E$94,$B$3)+M40*INDEX(Assumptions!$C$95:$E$95,$B$3)+M41*INDEX(Assumptions!$C$96:$E$96,$B$3))*$N$3</f>
        <v>23569.9812382739</v>
      </c>
      <c r="N65" s="8" t="n">
        <f aca="false">(N39*INDEX(Assumptions!$C$94:$E$94,$B$3)+N40*INDEX(Assumptions!$C$95:$E$95,$B$3)+N41*INDEX(Assumptions!$C$96:$E$96,$B$3))*$N$3</f>
        <v>24916.1726078799</v>
      </c>
      <c r="O65" s="37" t="n">
        <f aca="false">SUM(C65:N65)</f>
        <v>192622.162288931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380.8</v>
      </c>
      <c r="F67" s="8" t="n">
        <f aca="false">F44*INDEX(Assumptions!$C$97:$E$97,$B$3)</f>
        <v>761.6</v>
      </c>
      <c r="G67" s="8" t="n">
        <f aca="false">G44*INDEX(Assumptions!$C$97:$E$97,$B$3)</f>
        <v>1142.4</v>
      </c>
      <c r="H67" s="8" t="n">
        <f aca="false">H44*INDEX(Assumptions!$C$97:$E$97,$B$3)</f>
        <v>1523.2</v>
      </c>
      <c r="I67" s="8" t="n">
        <f aca="false">I44*INDEX(Assumptions!$C$97:$E$97,$B$3)</f>
        <v>1904</v>
      </c>
      <c r="J67" s="8" t="n">
        <f aca="false">J44*INDEX(Assumptions!$C$97:$E$97,$B$3)</f>
        <v>2284.8</v>
      </c>
      <c r="K67" s="8" t="n">
        <f aca="false">K44*INDEX(Assumptions!$C$97:$E$97,$B$3)</f>
        <v>2284.8</v>
      </c>
      <c r="L67" s="8" t="n">
        <f aca="false">L44*INDEX(Assumptions!$C$97:$E$97,$B$3)</f>
        <v>2284.8</v>
      </c>
      <c r="M67" s="8" t="n">
        <f aca="false">M44*INDEX(Assumptions!$C$97:$E$97,$B$3)</f>
        <v>2284.8</v>
      </c>
      <c r="N67" s="8" t="n">
        <f aca="false">N44*INDEX(Assumptions!$C$97:$E$97,$B$3)</f>
        <v>2284.8</v>
      </c>
      <c r="O67" s="37" t="n">
        <f aca="false">SUM(C67:N67)</f>
        <v>17136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3257.39994296435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5067.34163871107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7427.10140720638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10393.6091077223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13297.7524829719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14981.0255791116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27303.2433708832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29304.0096470094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28040.3027955272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25556.4485183039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24840.0210925629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24267.9536668218</v>
      </c>
      <c r="O68" s="37" t="n">
        <f aca="false">SUM(C68:N68)</f>
        <v>213736.209249796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960</v>
      </c>
      <c r="D69" s="8" t="n">
        <f aca="false">D33*INDEX(Assumptions!$C$198:$E$198,$B$3)*INDEX(Assumptions!$C$69:$E$69,$B$3)</f>
        <v>1410.3</v>
      </c>
      <c r="E69" s="8" t="n">
        <f aca="false">E33*INDEX(Assumptions!$C$198:$E$198,$B$3)*INDEX(Assumptions!$C$69:$E$69,$B$3)</f>
        <v>1848</v>
      </c>
      <c r="F69" s="8" t="n">
        <f aca="false">F33*INDEX(Assumptions!$C$198:$E$198,$B$3)*INDEX(Assumptions!$C$69:$E$69,$B$3)</f>
        <v>2630.4</v>
      </c>
      <c r="G69" s="8" t="n">
        <f aca="false">G33*INDEX(Assumptions!$C$198:$E$198,$B$3)*INDEX(Assumptions!$C$69:$E$69,$B$3)</f>
        <v>3585.6</v>
      </c>
      <c r="H69" s="8" t="n">
        <f aca="false">H33*INDEX(Assumptions!$C$198:$E$198,$B$3)*INDEX(Assumptions!$C$69:$E$69,$B$3)</f>
        <v>3982.80745341615</v>
      </c>
      <c r="I69" s="8" t="n">
        <f aca="false">I33*INDEX(Assumptions!$C$198:$E$198,$B$3)*INDEX(Assumptions!$C$69:$E$69,$B$3)</f>
        <v>6240</v>
      </c>
      <c r="J69" s="8" t="n">
        <f aca="false">J33*INDEX(Assumptions!$C$198:$E$198,$B$3)*INDEX(Assumptions!$C$69:$E$69,$B$3)</f>
        <v>6480</v>
      </c>
      <c r="K69" s="8" t="n">
        <f aca="false">K33*INDEX(Assumptions!$C$198:$E$198,$B$3)*INDEX(Assumptions!$C$69:$E$69,$B$3)</f>
        <v>6000</v>
      </c>
      <c r="L69" s="8" t="n">
        <f aca="false">L33*INDEX(Assumptions!$C$198:$E$198,$B$3)*INDEX(Assumptions!$C$69:$E$69,$B$3)</f>
        <v>5280</v>
      </c>
      <c r="M69" s="8" t="n">
        <f aca="false">M33*INDEX(Assumptions!$C$198:$E$198,$B$3)*INDEX(Assumptions!$C$69:$E$69,$B$3)</f>
        <v>5040</v>
      </c>
      <c r="N69" s="8" t="n">
        <f aca="false">N33*INDEX(Assumptions!$C$198:$E$198,$B$3)*INDEX(Assumptions!$C$69:$E$69,$B$3)</f>
        <v>4800</v>
      </c>
      <c r="O69" s="37" t="n">
        <f aca="false">SUM(C69:N69)</f>
        <v>48257.1074534162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25392.6344645403</v>
      </c>
      <c r="D70" s="37" t="n">
        <f aca="false">SUM(D62:D69)</f>
        <v>39286.6846030638</v>
      </c>
      <c r="E70" s="37" t="n">
        <f aca="false">SUM(E62:E69)</f>
        <v>56278.5878612402</v>
      </c>
      <c r="F70" s="37" t="n">
        <f aca="false">SUM(F62:F69)</f>
        <v>79565.7516968405</v>
      </c>
      <c r="G70" s="37" t="n">
        <f aca="false">SUM(G62:G69)</f>
        <v>104385.333421058</v>
      </c>
      <c r="H70" s="37" t="n">
        <f aca="false">SUM(H62:H69)</f>
        <v>117826.520533955</v>
      </c>
      <c r="I70" s="37" t="n">
        <f aca="false">SUM(I62:I69)</f>
        <v>105385.636705226</v>
      </c>
      <c r="J70" s="37" t="n">
        <f aca="false">SUM(J62:J69)</f>
        <v>114809.642667647</v>
      </c>
      <c r="K70" s="37" t="n">
        <f aca="false">SUM(K62:K69)</f>
        <v>135646.318555377</v>
      </c>
      <c r="L70" s="37" t="n">
        <f aca="false">SUM(L62:L69)</f>
        <v>129245.038386972</v>
      </c>
      <c r="M70" s="37" t="n">
        <f aca="false">SUM(M62:M69)</f>
        <v>126920.802330837</v>
      </c>
      <c r="N70" s="37" t="n">
        <f aca="false">SUM(N62:N69)</f>
        <v>125316.926274702</v>
      </c>
      <c r="O70" s="31" t="n">
        <f aca="false">SUM(C70:N70)</f>
        <v>1160059.87750146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69920.9224407288</v>
      </c>
      <c r="D71" s="37" t="n">
        <f aca="false">D59-D70</f>
        <v>109823.088223676</v>
      </c>
      <c r="E71" s="37" t="n">
        <f aca="false">E59-E70</f>
        <v>172004.751215301</v>
      </c>
      <c r="F71" s="37" t="n">
        <f aca="false">F59-F70</f>
        <v>238302.142698173</v>
      </c>
      <c r="G71" s="37" t="n">
        <f aca="false">G59-G70</f>
        <v>291708.897213343</v>
      </c>
      <c r="H71" s="37" t="n">
        <f aca="false">H59-H70</f>
        <v>330068.905846971</v>
      </c>
      <c r="I71" s="37" t="n">
        <f aca="false">I59-I70</f>
        <v>657676.072820038</v>
      </c>
      <c r="J71" s="37" t="n">
        <f aca="false">J59-J70</f>
        <v>705369.410171733</v>
      </c>
      <c r="K71" s="37" t="n">
        <f aca="false">K59-K70</f>
        <v>658033.121933064</v>
      </c>
      <c r="L71" s="37" t="n">
        <f aca="false">L59-L70</f>
        <v>604752.780185229</v>
      </c>
      <c r="M71" s="37" t="n">
        <f aca="false">M59-M70</f>
        <v>595239.074472674</v>
      </c>
      <c r="N71" s="37" t="n">
        <f aca="false">N59-N70</f>
        <v>588267.381641475</v>
      </c>
      <c r="O71" s="31" t="n">
        <f aca="false">SUM(C71:N71)</f>
        <v>5021166.54886241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0.736525085792241</v>
      </c>
      <c r="E72" s="7" t="n">
        <f aca="false">IFERROR(E71/E59,0)</f>
        <v>0.753470454353349</v>
      </c>
      <c r="F72" s="7" t="n">
        <f aca="false">IFERROR(F71/F59,0)</f>
        <v>0.749689247955428</v>
      </c>
      <c r="G72" s="7" t="n">
        <f aca="false">IFERROR(G71/G59,0)</f>
        <v>0.736463383337166</v>
      </c>
      <c r="H72" s="7" t="n">
        <f aca="false">IFERROR(H71/H59,0)</f>
        <v>0.736932967844717</v>
      </c>
      <c r="I72" s="7" t="n">
        <f aca="false">IFERROR(I71/I59,0)</f>
        <v>0.861891069372631</v>
      </c>
      <c r="J72" s="7" t="n">
        <f aca="false">IFERROR(J71/J59,0)</f>
        <v>0.860018806539636</v>
      </c>
      <c r="K72" s="7" t="n">
        <f aca="false">IFERROR(K71/K59,0)</f>
        <v>0.829091807554069</v>
      </c>
      <c r="L72" s="7" t="n">
        <f aca="false">IFERROR(L71/L59,0)</f>
        <v>0.823916318118787</v>
      </c>
      <c r="M72" s="7" t="n">
        <f aca="false">IFERROR(M71/M59,0)</f>
        <v>0.824248332803222</v>
      </c>
      <c r="N72" s="7" t="n">
        <f aca="false">IFERROR(N71/N59,0)</f>
        <v>0.824383853618286</v>
      </c>
      <c r="O72" s="13" t="n">
        <f aca="false">IFERROR(O71/O59,0)</f>
        <v>0.812325289920843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2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1.06666666666667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1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78000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966000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223500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2456500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491933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5255096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-221912.077559271</v>
      </c>
      <c r="D94" s="37" t="n">
        <f aca="false">D71-D93</f>
        <v>-202009.911776324</v>
      </c>
      <c r="E94" s="37" t="n">
        <f aca="false">E71-E93</f>
        <v>-314828.248784699</v>
      </c>
      <c r="F94" s="37" t="n">
        <f aca="false">F71-F93</f>
        <v>-108530.857301827</v>
      </c>
      <c r="G94" s="37" t="n">
        <f aca="false">G71-G93</f>
        <v>-75124.1027866574</v>
      </c>
      <c r="H94" s="37" t="n">
        <f aca="false">H71-H93</f>
        <v>-59264.0941530289</v>
      </c>
      <c r="I94" s="37" t="n">
        <f aca="false">I71-I93</f>
        <v>165743.072820038</v>
      </c>
      <c r="J94" s="37" t="n">
        <f aca="false">J71-J93</f>
        <v>195436.410171733</v>
      </c>
      <c r="K94" s="37" t="n">
        <f aca="false">K71-K93</f>
        <v>143100.121933064</v>
      </c>
      <c r="L94" s="37" t="n">
        <f aca="false">L71-L93</f>
        <v>89819.7801852291</v>
      </c>
      <c r="M94" s="37" t="n">
        <f aca="false">M71-M93</f>
        <v>80306.0744726739</v>
      </c>
      <c r="N94" s="37" t="n">
        <f aca="false">N71-N93</f>
        <v>73334.3816414747</v>
      </c>
      <c r="O94" s="31" t="n">
        <f aca="false">SUM(C94:N94)</f>
        <v>-233929.451137593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-2.32823204551926</v>
      </c>
      <c r="D95" s="7" t="n">
        <f aca="false">IFERROR(D94/D59,0)</f>
        <v>-1.35477311746059</v>
      </c>
      <c r="E95" s="7" t="n">
        <f aca="false">IFERROR(E94/E59,0)</f>
        <v>-1.37911180929038</v>
      </c>
      <c r="F95" s="7" t="n">
        <f aca="false">IFERROR(F94/F59,0)</f>
        <v>-0.341433844737259</v>
      </c>
      <c r="G95" s="7" t="n">
        <f aca="false">IFERROR(G94/G59,0)</f>
        <v>-0.189662198983145</v>
      </c>
      <c r="H95" s="7" t="n">
        <f aca="false">IFERROR(H94/H59,0)</f>
        <v>-0.132316810269516</v>
      </c>
      <c r="I95" s="7" t="n">
        <f aca="false">IFERROR(I94/I59,0)</f>
        <v>0.21720795415505</v>
      </c>
      <c r="J95" s="7" t="n">
        <f aca="false">IFERROR(J94/J59,0)</f>
        <v>0.238285054336796</v>
      </c>
      <c r="K95" s="7" t="n">
        <f aca="false">IFERROR(K94/K59,0)</f>
        <v>0.180299645717165</v>
      </c>
      <c r="L95" s="7" t="n">
        <f aca="false">IFERROR(L94/L59,0)</f>
        <v>0.122370636414083</v>
      </c>
      <c r="M95" s="7" t="n">
        <f aca="false">IFERROR(M94/M59,0)</f>
        <v>0.111202625695756</v>
      </c>
      <c r="N95" s="7" t="n">
        <f aca="false">IFERROR(N94/N59,0)</f>
        <v>0.102769050311136</v>
      </c>
      <c r="O95" s="7" t="n">
        <f aca="false">IFERROR(O94/O59,0)</f>
        <v>-0.0378451515931934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-296912.077559271</v>
      </c>
      <c r="D96" s="8" t="n">
        <f aca="false">D94-INDEX(Assumptions!$C$163:$E$163,$B$3)</f>
        <v>-277009.911776324</v>
      </c>
      <c r="E96" s="8" t="n">
        <f aca="false">E94-INDEX(Assumptions!$C$163:$E$163,$B$3)</f>
        <v>-389828.248784699</v>
      </c>
      <c r="F96" s="8" t="n">
        <f aca="false">F94-INDEX(Assumptions!$C$163:$E$163,$B$3)</f>
        <v>-183530.857301827</v>
      </c>
      <c r="G96" s="8" t="n">
        <f aca="false">G94-INDEX(Assumptions!$C$163:$E$163,$B$3)</f>
        <v>-150124.102786657</v>
      </c>
      <c r="H96" s="8" t="n">
        <f aca="false">H94-INDEX(Assumptions!$C$163:$E$163,$B$3)</f>
        <v>-134264.094153029</v>
      </c>
      <c r="I96" s="8" t="n">
        <f aca="false">I94-INDEX(Assumptions!$C$163:$E$163,$B$3)</f>
        <v>90743.0728200381</v>
      </c>
      <c r="J96" s="8" t="n">
        <f aca="false">J94-INDEX(Assumptions!$C$163:$E$163,$B$3)</f>
        <v>120436.410171733</v>
      </c>
      <c r="K96" s="8" t="n">
        <f aca="false">K94-INDEX(Assumptions!$C$163:$E$163,$B$3)</f>
        <v>68100.1219330637</v>
      </c>
      <c r="L96" s="8" t="n">
        <f aca="false">L94-INDEX(Assumptions!$C$163:$E$163,$B$3)</f>
        <v>14819.7801852291</v>
      </c>
      <c r="M96" s="8" t="n">
        <f aca="false">M94-INDEX(Assumptions!$C$163:$E$163,$B$3)</f>
        <v>5306.07447267394</v>
      </c>
      <c r="N96" s="8" t="n">
        <f aca="false">N94-INDEX(Assumptions!$C$163:$E$163,$B$3)</f>
        <v>-1665.61835852533</v>
      </c>
      <c r="O96" s="37" t="n">
        <f aca="false">SUM(C96:N96)</f>
        <v>-1133929.45113759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-35227.1186440678</v>
      </c>
      <c r="D104" s="8" t="n">
        <f aca="false">((D60+IF(INDEX(Assumptions!$C$87:$E$87,$B$3)&gt;=2,C60,0)+IF(INDEX(Assumptions!$C$87:$E$87,$B$3)&gt;=3,0,0))/INDEX(Assumptions!$C$87:$E$87,$B$3))-D60</f>
        <v>-18158.9745762712</v>
      </c>
      <c r="E104" s="8" t="n">
        <f aca="false">((E60+IF(INDEX(Assumptions!$C$87:$E$87,$B$3)&gt;=2,D60,0)+IF(INDEX(Assumptions!$C$87:$E$87,$B$3)&gt;=3,C60,0))/INDEX(Assumptions!$C$87:$E$87,$B$3))-E60</f>
        <v>-16828.4008474576</v>
      </c>
      <c r="F104" s="8" t="n">
        <f aca="false">((F60+IF(INDEX(Assumptions!$C$87:$E$87,$B$3)&gt;=2,E60,0)+IF(INDEX(Assumptions!$C$87:$E$87,$B$3)&gt;=3,D60,0))/INDEX(Assumptions!$C$87:$E$87,$B$3))-F60</f>
        <v>-29455.6754237288</v>
      </c>
      <c r="G104" s="8" t="n">
        <f aca="false">((G60+IF(INDEX(Assumptions!$C$87:$E$87,$B$3)&gt;=2,F60,0)+IF(INDEX(Assumptions!$C$87:$E$87,$B$3)&gt;=3,E60,0))/INDEX(Assumptions!$C$87:$E$87,$B$3))-G60</f>
        <v>-36383.7152542373</v>
      </c>
      <c r="H104" s="8" t="n">
        <f aca="false">((H60+IF(INDEX(Assumptions!$C$87:$E$87,$B$3)&gt;=2,G60,0)+IF(INDEX(Assumptions!$C$87:$E$87,$B$3)&gt;=3,F60,0))/INDEX(Assumptions!$C$87:$E$87,$B$3))-H60</f>
        <v>-15633.5338035582</v>
      </c>
      <c r="I104" s="8" t="n">
        <f aca="false">((I60+IF(INDEX(Assumptions!$C$87:$E$87,$B$3)&gt;=2,H60,0)+IF(INDEX(Assumptions!$C$87:$E$87,$B$3)&gt;=3,G60,0))/INDEX(Assumptions!$C$87:$E$87,$B$3))-I60</f>
        <v>-143705.003389831</v>
      </c>
      <c r="J104" s="8" t="n">
        <f aca="false">((J60+IF(INDEX(Assumptions!$C$87:$E$87,$B$3)&gt;=2,I60,0)+IF(INDEX(Assumptions!$C$87:$E$87,$B$3)&gt;=3,H60,0))/INDEX(Assumptions!$C$87:$E$87,$B$3))-J60</f>
        <v>-18511.3068744078</v>
      </c>
      <c r="K104" s="8" t="n">
        <f aca="false">((K60+IF(INDEX(Assumptions!$C$87:$E$87,$B$3)&gt;=2,J60,0)+IF(INDEX(Assumptions!$C$87:$E$87,$B$3)&gt;=3,I60,0))/INDEX(Assumptions!$C$87:$E$87,$B$3))-K60</f>
        <v>20865.7627118644</v>
      </c>
      <c r="L104" s="8" t="n">
        <f aca="false">((L60+IF(INDEX(Assumptions!$C$87:$E$87,$B$3)&gt;=2,K60,0)+IF(INDEX(Assumptions!$C$87:$E$87,$B$3)&gt;=3,J60,0))/INDEX(Assumptions!$C$87:$E$87,$B$3))-L60</f>
        <v>34153.2203389831</v>
      </c>
      <c r="M104" s="8" t="n">
        <f aca="false">((M60+IF(INDEX(Assumptions!$C$87:$E$87,$B$3)&gt;=2,L60,0)+IF(INDEX(Assumptions!$C$87:$E$87,$B$3)&gt;=3,K60,0))/INDEX(Assumptions!$C$87:$E$87,$B$3))-M60</f>
        <v>13287.4576271187</v>
      </c>
      <c r="N104" s="8" t="n">
        <f aca="false">((N60+IF(INDEX(Assumptions!$C$87:$E$87,$B$3)&gt;=2,M60,0)+IF(INDEX(Assumptions!$C$87:$E$87,$B$3)&gt;=3,L60,0))/INDEX(Assumptions!$C$87:$E$87,$B$3))-N60</f>
        <v>11656.2711864407</v>
      </c>
      <c r="O104" s="37" t="n">
        <f aca="false">SUM(C104:N104)</f>
        <v>-233941.016949152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-407139.196203339</v>
      </c>
      <c r="D105" s="37" t="n">
        <f aca="false">D94+D104-D103</f>
        <v>-220168.886352595</v>
      </c>
      <c r="E105" s="37" t="n">
        <f aca="false">E94+E104-E103</f>
        <v>-331656.649632156</v>
      </c>
      <c r="F105" s="37" t="n">
        <f aca="false">F94+F104-F103</f>
        <v>-137986.532725555</v>
      </c>
      <c r="G105" s="37" t="n">
        <f aca="false">G94+G104-G103</f>
        <v>-111507.818040895</v>
      </c>
      <c r="H105" s="37" t="n">
        <f aca="false">H94+H104-H103</f>
        <v>-1546897.62795659</v>
      </c>
      <c r="I105" s="37" t="n">
        <f aca="false">I94+I104-I103</f>
        <v>22038.0694302075</v>
      </c>
      <c r="J105" s="37" t="n">
        <f aca="false">J94+J104-J103</f>
        <v>-173074.896702674</v>
      </c>
      <c r="K105" s="37" t="n">
        <f aca="false">K94+K104-K103</f>
        <v>163965.884644928</v>
      </c>
      <c r="L105" s="37" t="n">
        <f aca="false">L94+L104-L103</f>
        <v>123973.000524212</v>
      </c>
      <c r="M105" s="37" t="n">
        <f aca="false">M94+M104-M103</f>
        <v>93593.5320997926</v>
      </c>
      <c r="N105" s="37" t="n">
        <f aca="false">N94+N104-N103</f>
        <v>84990.6528279153</v>
      </c>
      <c r="O105" s="31" t="n">
        <f aca="false">SUM(C105:N105)</f>
        <v>-2439870.46808675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-407139.196203339</v>
      </c>
      <c r="D106" s="37" t="n">
        <f aca="false">C106+D105</f>
        <v>-627308.082555934</v>
      </c>
      <c r="E106" s="37" t="n">
        <f aca="false">D106+E105</f>
        <v>-958964.73218809</v>
      </c>
      <c r="F106" s="37" t="n">
        <f aca="false">E106+F105</f>
        <v>-1096951.26491365</v>
      </c>
      <c r="G106" s="37" t="n">
        <f aca="false">F106+G105</f>
        <v>-1208459.08295454</v>
      </c>
      <c r="H106" s="37" t="n">
        <f aca="false">G106+H105</f>
        <v>-2755356.71091113</v>
      </c>
      <c r="I106" s="37" t="n">
        <f aca="false">H106+I105</f>
        <v>-2733318.64148092</v>
      </c>
      <c r="J106" s="37" t="n">
        <f aca="false">I106+J105</f>
        <v>-2906393.53818359</v>
      </c>
      <c r="K106" s="37" t="n">
        <f aca="false">J106+K105</f>
        <v>-2742427.65353867</v>
      </c>
      <c r="L106" s="37" t="n">
        <f aca="false">K106+L105</f>
        <v>-2618454.65301445</v>
      </c>
      <c r="M106" s="37" t="n">
        <f aca="false">L106+M105</f>
        <v>-2524861.12091466</v>
      </c>
      <c r="N106" s="37" t="n">
        <f aca="false">M106+N105</f>
        <v>-2439870.46808675</v>
      </c>
      <c r="O106" s="31" t="n">
        <f aca="false">N106</f>
        <v>-2439870.46808675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407139.196203339</v>
      </c>
      <c r="D107" s="37" t="n">
        <f aca="false">-MIN(0,MIN($C$106:D106))</f>
        <v>627308.082555934</v>
      </c>
      <c r="E107" s="37" t="n">
        <f aca="false">-MIN(0,MIN($C$106:E106))</f>
        <v>958964.73218809</v>
      </c>
      <c r="F107" s="37" t="n">
        <f aca="false">-MIN(0,MIN($C$106:F106))</f>
        <v>1096951.26491365</v>
      </c>
      <c r="G107" s="37" t="n">
        <f aca="false">-MIN(0,MIN($C$106:G106))</f>
        <v>1208459.08295454</v>
      </c>
      <c r="H107" s="37" t="n">
        <f aca="false">-MIN(0,MIN($C$106:H106))</f>
        <v>2755356.71091113</v>
      </c>
      <c r="I107" s="37" t="n">
        <f aca="false">-MIN(0,MIN($C$106:I106))</f>
        <v>2755356.71091113</v>
      </c>
      <c r="J107" s="37" t="n">
        <f aca="false">-MIN(0,MIN($C$106:J106))</f>
        <v>2906393.53818359</v>
      </c>
      <c r="K107" s="37" t="n">
        <f aca="false">-MIN(0,MIN($C$106:K106))</f>
        <v>2906393.53818359</v>
      </c>
      <c r="L107" s="37" t="n">
        <f aca="false">-MIN(0,MIN($C$106:L106))</f>
        <v>2906393.53818359</v>
      </c>
      <c r="M107" s="37" t="n">
        <f aca="false">-MIN(0,MIN($C$106:M106))</f>
        <v>2906393.53818359</v>
      </c>
      <c r="N107" s="37" t="n">
        <f aca="false">-MIN(0,MIN($C$106:N106))</f>
        <v>2906393.53818359</v>
      </c>
      <c r="O107" s="31" t="n">
        <f aca="false">MAX(C107:N107)</f>
        <v>2906393.53818359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6181226.42636387</v>
      </c>
    </row>
    <row r="112" customFormat="false" ht="15" hidden="false" customHeight="false" outlineLevel="0" collapsed="false">
      <c r="A112" s="3" t="s">
        <v>28</v>
      </c>
      <c r="B112" s="31" t="n">
        <f aca="false">O94</f>
        <v>-233929.451137593</v>
      </c>
    </row>
    <row r="113" customFormat="false" ht="15" hidden="false" customHeight="false" outlineLevel="0" collapsed="false">
      <c r="A113" s="3" t="s">
        <v>29</v>
      </c>
      <c r="B113" s="30" t="n">
        <f aca="false">O95</f>
        <v>-0.0378451515931934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-1133929.45113759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2906393.53818359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93606.4618164059</v>
      </c>
    </row>
    <row r="119" customFormat="false" ht="15" hidden="false" customHeight="false" outlineLevel="0" collapsed="false">
      <c r="A119" s="3" t="s">
        <v>35</v>
      </c>
      <c r="B119" s="32" t="n">
        <f aca="false">O33</f>
        <v>80.4285124223603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9.4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122.4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0.695966666666667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186702.72774317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6.53902715929682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78.4683259115618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12411.3475177305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0.183067375886525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0.479722420534946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17.4608115039862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243460.236299378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-2439870.46808675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1217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1.2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9722.22222222222</v>
      </c>
      <c r="D18" s="8" t="n">
        <f aca="false">INDEX(Assumptions!$C$115:$E$115,$B$3)*INDEX(Assumptions!$C$120:$E$120,$B$3)*$L$3/$F$3</f>
        <v>9722.22222222222</v>
      </c>
      <c r="E18" s="8" t="n">
        <f aca="false">INDEX(Assumptions!$C$115:$E$115,$B$3)*INDEX(Assumptions!$C$120:$E$120,$B$3)*$L$3/$F$3</f>
        <v>9722.22222222222</v>
      </c>
      <c r="F18" s="8" t="n">
        <f aca="false">INDEX(Assumptions!$C$115:$E$115,$B$3)*INDEX(Assumptions!$C$120:$E$120,$B$3)*$L$3/$F$3</f>
        <v>9722.22222222222</v>
      </c>
      <c r="G18" s="8" t="n">
        <f aca="false">INDEX(Assumptions!$C$115:$E$115,$B$3)*INDEX(Assumptions!$C$120:$E$120,$B$3)*$L$3/$F$3</f>
        <v>9722.22222222222</v>
      </c>
      <c r="H18" s="8" t="n">
        <f aca="false">INDEX(Assumptions!$C$115:$E$115,$B$3)*INDEX(Assumptions!$C$120:$E$120,$B$3)*$L$3/$F$3</f>
        <v>9722.22222222222</v>
      </c>
      <c r="I18" s="8" t="n">
        <f aca="false">INDEX(Assumptions!$C$115:$E$115,$B$3)*INDEX(Assumptions!$C$120:$E$120,$B$3)*$L$3/$F$3</f>
        <v>9722.22222222222</v>
      </c>
      <c r="J18" s="8" t="n">
        <f aca="false">INDEX(Assumptions!$C$115:$E$115,$B$3)*INDEX(Assumptions!$C$120:$E$120,$B$3)*$L$3/$F$3</f>
        <v>9722.22222222222</v>
      </c>
      <c r="K18" s="8" t="n">
        <f aca="false">INDEX(Assumptions!$C$115:$E$115,$B$3)*INDEX(Assumptions!$C$120:$E$120,$B$3)*$L$3/$F$3</f>
        <v>9722.22222222222</v>
      </c>
      <c r="L18" s="8" t="n">
        <f aca="false">INDEX(Assumptions!$C$115:$E$115,$B$3)*INDEX(Assumptions!$C$120:$E$120,$B$3)*$L$3/$F$3</f>
        <v>9722.22222222222</v>
      </c>
      <c r="M18" s="8" t="n">
        <f aca="false">INDEX(Assumptions!$C$115:$E$115,$B$3)*INDEX(Assumptions!$C$120:$E$120,$B$3)*$L$3/$F$3</f>
        <v>9722.22222222222</v>
      </c>
      <c r="N18" s="8" t="n">
        <f aca="false">INDEX(Assumptions!$C$115:$E$115,$B$3)*INDEX(Assumptions!$C$120:$E$120,$B$3)*$L$3/$F$3</f>
        <v>9722.22222222222</v>
      </c>
      <c r="O18" s="37" t="n">
        <f aca="false">AVERAGE(C18:N18)</f>
        <v>9722.22222222222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1.08</v>
      </c>
      <c r="D20" s="27" t="n">
        <f aca="false">D17*INDEX(Assumptions!$C$119:$E$119,$B$3)/D18</f>
        <v>2.88</v>
      </c>
      <c r="E20" s="27" t="n">
        <f aca="false">E17*INDEX(Assumptions!$C$119:$E$119,$B$3)/E18</f>
        <v>3.6</v>
      </c>
      <c r="F20" s="27" t="n">
        <f aca="false">F17*INDEX(Assumptions!$C$119:$E$119,$B$3)/F18</f>
        <v>4.32</v>
      </c>
      <c r="G20" s="27" t="n">
        <f aca="false">G17*INDEX(Assumptions!$C$119:$E$119,$B$3)/G18</f>
        <v>5.76</v>
      </c>
      <c r="H20" s="27" t="n">
        <f aca="false">H17*INDEX(Assumptions!$C$119:$E$119,$B$3)/H18</f>
        <v>6.48</v>
      </c>
      <c r="I20" s="27" t="n">
        <f aca="false">I17*INDEX(Assumptions!$C$119:$E$119,$B$3)/I18</f>
        <v>7.2</v>
      </c>
      <c r="J20" s="27" t="n">
        <f aca="false">J17*INDEX(Assumptions!$C$119:$E$119,$B$3)/J18</f>
        <v>7.2</v>
      </c>
      <c r="K20" s="27" t="n">
        <f aca="false">K17*INDEX(Assumptions!$C$119:$E$119,$B$3)/K18</f>
        <v>7.2</v>
      </c>
      <c r="L20" s="27" t="n">
        <f aca="false">L17*INDEX(Assumptions!$C$119:$E$119,$B$3)/L18</f>
        <v>7.2</v>
      </c>
      <c r="M20" s="27" t="n">
        <f aca="false">M17*INDEX(Assumptions!$C$119:$E$119,$B$3)/M18</f>
        <v>7.2</v>
      </c>
      <c r="N20" s="27" t="n">
        <f aca="false">N17*INDEX(Assumptions!$C$119:$E$119,$B$3)/N18</f>
        <v>7.2</v>
      </c>
      <c r="O20" s="35" t="n">
        <f aca="false">SUM(C20:N20)</f>
        <v>67.32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2.4</v>
      </c>
      <c r="D21" s="35" t="n">
        <f aca="false">D9*(D13*$F$3+(D14-D13)*$F$3*D19+MIN(D15,D20*D19))</f>
        <v>3.15075</v>
      </c>
      <c r="E21" s="35" t="n">
        <f aca="false">E9*(E13*$F$3+(E14-E13)*$F$3*E19+MIN(E15,E20*E19))</f>
        <v>3.92</v>
      </c>
      <c r="F21" s="35" t="n">
        <f aca="false">F9*(F13*$F$3+(F14-F13)*$F$3*F19+MIN(F15,F20*F19))</f>
        <v>5.52</v>
      </c>
      <c r="G21" s="35" t="n">
        <f aca="false">G9*(G13*$F$3+(G14-G13)*$F$3*G19+MIN(G15,G20*G19))</f>
        <v>7.38</v>
      </c>
      <c r="H21" s="35" t="n">
        <f aca="false">H9*(H13*$F$3+(H14-H13)*$F$3*H19+MIN(H15,H20*H19))</f>
        <v>9.5</v>
      </c>
      <c r="I21" s="35" t="n">
        <f aca="false">I9*(I13*$F$3+(I14-I13)*$F$3*I19+MIN(I15,I20*I19))</f>
        <v>14.04</v>
      </c>
      <c r="J21" s="35" t="n">
        <f aca="false">J9*(J13*$F$3+(J14-J13)*$F$3*J19+MIN(J15,J20*J19))</f>
        <v>14.58</v>
      </c>
      <c r="K21" s="35" t="n">
        <f aca="false">K9*(K13*$F$3+(K14-K13)*$F$3*K19+MIN(K15,K20*K19))</f>
        <v>13.5</v>
      </c>
      <c r="L21" s="35" t="n">
        <f aca="false">L9*(L13*$F$3+(L14-L13)*$F$3*L19+MIN(L15,L20*L19))</f>
        <v>11.88</v>
      </c>
      <c r="M21" s="35" t="n">
        <f aca="false">M9*(M13*$F$3+(M14-M13)*$F$3*M19+MIN(M15,M20*M19))</f>
        <v>11.34</v>
      </c>
      <c r="N21" s="35" t="n">
        <f aca="false">N9*(N13*$F$3+(N14-N13)*$F$3*N19+MIN(N15,N20*N19))</f>
        <v>10.8</v>
      </c>
      <c r="O21" s="38" t="n">
        <f aca="false">SUM(C21:N21)</f>
        <v>108.01075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1.44</v>
      </c>
      <c r="E26" s="6" t="n">
        <f aca="false">D29+C29+D32+C32+1.25*D30</f>
        <v>3.61845</v>
      </c>
      <c r="F26" s="6" t="n">
        <f aca="false">E29+D29+E32+D32+1.25*E30</f>
        <v>4.90854</v>
      </c>
      <c r="G26" s="6" t="n">
        <f aca="false">F29+E29+F32+E32+1.25*F30</f>
        <v>6.51249</v>
      </c>
      <c r="H26" s="6" t="n">
        <f aca="false">G29+F29+G32+F32+1.25*G30</f>
        <v>8.77476308863026</v>
      </c>
      <c r="I26" s="6" t="n">
        <f aca="false">H29+G29+H32+G32+1.25*H30</f>
        <v>8.55598941013702</v>
      </c>
      <c r="J26" s="6" t="n">
        <f aca="false">I29+H29+I32+H32+1.25*I30</f>
        <v>12.6061094984657</v>
      </c>
      <c r="K26" s="6" t="n">
        <f aca="false">J29+I29+J32+I32+1.25*J30</f>
        <v>18.2752177217678</v>
      </c>
      <c r="L26" s="6" t="n">
        <f aca="false">K29+J29+K32+J32+1.25*K30</f>
        <v>14.8266862428275</v>
      </c>
      <c r="M26" s="6" t="n">
        <f aca="false">L29+K29+L32+K32+1.25*L30</f>
        <v>13.4062642621048</v>
      </c>
      <c r="N26" s="6" t="n">
        <f aca="false">M29+L29+M32+L32+1.25*M30</f>
        <v>14.3056436127529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3.43875</v>
      </c>
      <c r="E27" s="6" t="n">
        <f aca="false">E21*(INDEX(Assumptions!$C$26:$E$26,$B$3)*(1-E25)+INDEX(Assumptions!$C$26:$E$26,$B$3)*E25*1.25+(1-INDEX(Assumptions!$C$26:$E$26,$B$3)))+D31*INDEX(Assumptions!$C$89:$E$89,$B$3)</f>
        <v>4.29809</v>
      </c>
      <c r="F27" s="6" t="n">
        <f aca="false">F21*(INDEX(Assumptions!$C$26:$E$26,$B$3)*(1-F25)+INDEX(Assumptions!$C$26:$E$26,$B$3)*F25*1.25+(1-INDEX(Assumptions!$C$26:$E$26,$B$3)))+E31*INDEX(Assumptions!$C$89:$E$89,$B$3)</f>
        <v>5.9904</v>
      </c>
      <c r="G27" s="6" t="n">
        <f aca="false">G21*(INDEX(Assumptions!$C$26:$E$26,$B$3)*(1-G25)+INDEX(Assumptions!$C$26:$E$26,$B$3)*G25*1.25+(1-INDEX(Assumptions!$C$26:$E$26,$B$3)))+F31*INDEX(Assumptions!$C$89:$E$89,$B$3)</f>
        <v>8.0424</v>
      </c>
      <c r="H27" s="6" t="n">
        <f aca="false">H21*(INDEX(Assumptions!$C$26:$E$26,$B$3)*(1-H25)+INDEX(Assumptions!$C$26:$E$26,$B$3)*H25*1.25+(1-INDEX(Assumptions!$C$26:$E$26,$B$3)))+G31*INDEX(Assumptions!$C$89:$E$89,$B$3)</f>
        <v>10.3685440734109</v>
      </c>
      <c r="I27" s="6" t="n">
        <f aca="false">I21*(INDEX(Assumptions!$C$26:$E$26,$B$3)*(1-I25)+INDEX(Assumptions!$C$26:$E$26,$B$3)*I25*1.25+(1-INDEX(Assumptions!$C$26:$E$26,$B$3)))+H31*INDEX(Assumptions!$C$89:$E$89,$B$3)</f>
        <v>14.6584831769589</v>
      </c>
      <c r="J27" s="6" t="n">
        <f aca="false">J21*(INDEX(Assumptions!$C$26:$E$26,$B$3)*(1-J25)+INDEX(Assumptions!$C$26:$E$26,$B$3)*J25*1.25+(1-INDEX(Assumptions!$C$26:$E$26,$B$3)))+I31*INDEX(Assumptions!$C$89:$E$89,$B$3)</f>
        <v>16.2648</v>
      </c>
      <c r="K27" s="6" t="n">
        <f aca="false">K21*(INDEX(Assumptions!$C$26:$E$26,$B$3)*(1-K25)+INDEX(Assumptions!$C$26:$E$26,$B$3)*K25*1.25+(1-INDEX(Assumptions!$C$26:$E$26,$B$3)))+J31*INDEX(Assumptions!$C$89:$E$89,$B$3)</f>
        <v>15.0483467870176</v>
      </c>
      <c r="L27" s="6" t="n">
        <f aca="false">L21*(INDEX(Assumptions!$C$26:$E$26,$B$3)*(1-L25)+INDEX(Assumptions!$C$26:$E$26,$B$3)*L25*1.25+(1-INDEX(Assumptions!$C$26:$E$26,$B$3)))+K31*INDEX(Assumptions!$C$89:$E$89,$B$3)</f>
        <v>13.2647491740641</v>
      </c>
      <c r="M27" s="6" t="n">
        <f aca="false">M21*(INDEX(Assumptions!$C$26:$E$26,$B$3)*(1-M25)+INDEX(Assumptions!$C$26:$E$26,$B$3)*M25*1.25+(1-INDEX(Assumptions!$C$26:$E$26,$B$3)))+L31*INDEX(Assumptions!$C$89:$E$89,$B$3)</f>
        <v>13.0735503579259</v>
      </c>
      <c r="N27" s="6" t="n">
        <f aca="false">N21*(INDEX(Assumptions!$C$26:$E$26,$B$3)*(1-N25)+INDEX(Assumptions!$C$26:$E$26,$B$3)*N25*1.25+(1-INDEX(Assumptions!$C$26:$E$26,$B$3)))+M31*INDEX(Assumptions!$C$89:$E$89,$B$3)</f>
        <v>12.5658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0.980740823634736</v>
      </c>
      <c r="H28" s="7" t="n">
        <f aca="false">IF(H27&lt;=0,1,MAX(0,MIN(1,(H24-H26)/H27)))</f>
        <v>0.542529102595522</v>
      </c>
      <c r="I28" s="7" t="n">
        <f aca="false">IF(I27&lt;=0,1,MAX(0,MIN(1,(I24-I26)/I27)))</f>
        <v>1</v>
      </c>
      <c r="J28" s="7" t="n">
        <f aca="false">IF(J27&lt;=0,1,MAX(0,MIN(1,(J24-J26)/J27)))</f>
        <v>0.884971871866506</v>
      </c>
      <c r="K28" s="7" t="n">
        <f aca="false">IF(K27&lt;=0,1,MAX(0,MIN(1,(K24-K26)/K27)))</f>
        <v>0.579783440780298</v>
      </c>
      <c r="L28" s="7" t="n">
        <f aca="false">IF(L27&lt;=0,1,MAX(0,MIN(1,(L24-L26)/L27)))</f>
        <v>0.9177191062892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0.542529102595522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1.44</v>
      </c>
      <c r="D29" s="35" t="n">
        <f aca="false">D21*INDEX(Assumptions!$C$26:$E$26,$B$3)*(1-D25)*D28</f>
        <v>1.89045</v>
      </c>
      <c r="E29" s="35" t="n">
        <f aca="false">E21*INDEX(Assumptions!$C$26:$E$26,$B$3)*(1-E25)*E28</f>
        <v>2.352</v>
      </c>
      <c r="F29" s="35" t="n">
        <f aca="false">F21*INDEX(Assumptions!$C$26:$E$26,$B$3)*(1-F25)*F28</f>
        <v>3.312</v>
      </c>
      <c r="G29" s="35" t="n">
        <f aca="false">G21*INDEX(Assumptions!$C$26:$E$26,$B$3)*(1-G25)*G28</f>
        <v>4.34272036705461</v>
      </c>
      <c r="H29" s="35" t="n">
        <f aca="false">H21*INDEX(Assumptions!$C$26:$E$26,$B$3)*(1-H25)*H28</f>
        <v>3.09241588479447</v>
      </c>
      <c r="I29" s="35" t="n">
        <f aca="false">I21*INDEX(Assumptions!$C$26:$E$26,$B$3)*(1-I25)*I28</f>
        <v>8.424</v>
      </c>
      <c r="J29" s="35" t="n">
        <f aca="false">J21*INDEX(Assumptions!$C$26:$E$26,$B$3)*(1-J25)*J28</f>
        <v>7.74173393508819</v>
      </c>
      <c r="K29" s="35" t="n">
        <f aca="false">K21*INDEX(Assumptions!$C$26:$E$26,$B$3)*(1-K25)*K28</f>
        <v>4.69624587032041</v>
      </c>
      <c r="L29" s="35" t="n">
        <f aca="false">L21*INDEX(Assumptions!$C$26:$E$26,$B$3)*(1-L25)*L28</f>
        <v>4.90612634222207</v>
      </c>
      <c r="M29" s="35" t="n">
        <f aca="false">M21*INDEX(Assumptions!$C$26:$E$26,$B$3)*(1-M25)*M28</f>
        <v>5.103</v>
      </c>
      <c r="N29" s="35" t="n">
        <f aca="false">N21*INDEX(Assumptions!$C$26:$E$26,$B$3)*(1-N25)*N28</f>
        <v>4.86</v>
      </c>
      <c r="O29" s="38" t="n">
        <f aca="false">SUM(C29:N29)</f>
        <v>52.1606923994798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1.63537544740736</v>
      </c>
      <c r="M30" s="27" t="n">
        <f aca="false">M21*INDEX(Assumptions!$C$26:$E$26,$B$3)*M25*M28</f>
        <v>1.701</v>
      </c>
      <c r="N30" s="27" t="n">
        <f aca="false">N21*INDEX(Assumptions!$C$26:$E$26,$B$3)*N25*N28</f>
        <v>1.62</v>
      </c>
      <c r="O30" s="35" t="n">
        <f aca="false">SUM(C30:N30)</f>
        <v>4.95637544740736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0.96</v>
      </c>
      <c r="D31" s="27" t="n">
        <f aca="false">D21*(1-INDEX(Assumptions!$C$26:$E$26,$B$3))*D28</f>
        <v>1.2603</v>
      </c>
      <c r="E31" s="27" t="n">
        <f aca="false">E21*(1-INDEX(Assumptions!$C$26:$E$26,$B$3))*E28</f>
        <v>1.568</v>
      </c>
      <c r="F31" s="27" t="n">
        <f aca="false">F21*(1-INDEX(Assumptions!$C$26:$E$26,$B$3))*F28</f>
        <v>2.208</v>
      </c>
      <c r="G31" s="27" t="n">
        <f aca="false">G21*(1-INDEX(Assumptions!$C$26:$E$26,$B$3))*G28</f>
        <v>2.89514691136974</v>
      </c>
      <c r="H31" s="27" t="n">
        <f aca="false">H21*(1-INDEX(Assumptions!$C$26:$E$26,$B$3))*H28</f>
        <v>2.06161058986298</v>
      </c>
      <c r="I31" s="27" t="n">
        <f aca="false">I21*(1-INDEX(Assumptions!$C$26:$E$26,$B$3))*I28</f>
        <v>5.616</v>
      </c>
      <c r="J31" s="27" t="n">
        <f aca="false">J21*(1-INDEX(Assumptions!$C$26:$E$26,$B$3))*J28</f>
        <v>5.16115595672546</v>
      </c>
      <c r="K31" s="27" t="n">
        <f aca="false">K21*(1-INDEX(Assumptions!$C$26:$E$26,$B$3))*K28</f>
        <v>3.13083058021361</v>
      </c>
      <c r="L31" s="27" t="n">
        <f aca="false">L21*(1-INDEX(Assumptions!$C$26:$E$26,$B$3))*L28</f>
        <v>4.36100119308628</v>
      </c>
      <c r="M31" s="27" t="n">
        <f aca="false">M21*(1-INDEX(Assumptions!$C$26:$E$26,$B$3))*M28</f>
        <v>4.536</v>
      </c>
      <c r="N31" s="27" t="n">
        <f aca="false">N21*(1-INDEX(Assumptions!$C$26:$E$26,$B$3))*N28</f>
        <v>4.32</v>
      </c>
      <c r="O31" s="35" t="n">
        <f aca="false">SUM(C31:N31)</f>
        <v>38.0780452312581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0.37809</v>
      </c>
      <c r="F32" s="27" t="n">
        <f aca="false">E31*INDEX(Assumptions!$C$89:$E$89,$B$3)*F28</f>
        <v>0.4704</v>
      </c>
      <c r="G32" s="27" t="n">
        <f aca="false">F31*INDEX(Assumptions!$C$89:$E$89,$B$3)*G28</f>
        <v>0.649642721575649</v>
      </c>
      <c r="H32" s="27" t="n">
        <f aca="false">G31*INDEX(Assumptions!$C$89:$E$89,$B$3)*H28</f>
        <v>0.471210436712286</v>
      </c>
      <c r="I32" s="27" t="n">
        <f aca="false">H31*INDEX(Assumptions!$C$89:$E$89,$B$3)*I28</f>
        <v>0.618483176958894</v>
      </c>
      <c r="J32" s="27" t="n">
        <f aca="false">I31*INDEX(Assumptions!$C$89:$E$89,$B$3)*J28</f>
        <v>1.49100060972069</v>
      </c>
      <c r="K32" s="27" t="n">
        <f aca="false">J31*INDEX(Assumptions!$C$89:$E$89,$B$3)*K28</f>
        <v>0.897705827698205</v>
      </c>
      <c r="L32" s="27" t="n">
        <f aca="false">K31*INDEX(Assumptions!$C$89:$E$89,$B$3)*L28</f>
        <v>0.861966912604959</v>
      </c>
      <c r="M32" s="27" t="n">
        <f aca="false">L31*INDEX(Assumptions!$C$89:$E$89,$B$3)*M28</f>
        <v>1.30830035792588</v>
      </c>
      <c r="N32" s="27" t="n">
        <f aca="false">M31*INDEX(Assumptions!$C$89:$E$89,$B$3)*N28</f>
        <v>1.3608</v>
      </c>
      <c r="O32" s="35" t="n">
        <f aca="false">SUM(C32:N32)</f>
        <v>8.79560004319657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2.4</v>
      </c>
      <c r="D33" s="35" t="n">
        <f aca="false">D29+D30+D31</f>
        <v>3.15075</v>
      </c>
      <c r="E33" s="35" t="n">
        <f aca="false">E29+E30+E31</f>
        <v>3.92</v>
      </c>
      <c r="F33" s="35" t="n">
        <f aca="false">F29+F30+F31</f>
        <v>5.52</v>
      </c>
      <c r="G33" s="35" t="n">
        <f aca="false">G29+G30+G31</f>
        <v>7.23786727842435</v>
      </c>
      <c r="H33" s="35" t="n">
        <f aca="false">H29+H30+H31</f>
        <v>5.15402647465745</v>
      </c>
      <c r="I33" s="35" t="n">
        <f aca="false">I29+I30+I31</f>
        <v>14.04</v>
      </c>
      <c r="J33" s="35" t="n">
        <f aca="false">J29+J30+J31</f>
        <v>12.9028898918137</v>
      </c>
      <c r="K33" s="35" t="n">
        <f aca="false">K29+K30+K31</f>
        <v>7.82707645053402</v>
      </c>
      <c r="L33" s="35" t="n">
        <f aca="false">L29+L30+L31</f>
        <v>10.9025029827157</v>
      </c>
      <c r="M33" s="35" t="n">
        <f aca="false">M29+M30+M31</f>
        <v>11.34</v>
      </c>
      <c r="N33" s="35" t="n">
        <f aca="false">N29+N30+N31</f>
        <v>10.8</v>
      </c>
      <c r="O33" s="38" t="n">
        <f aca="false">SUM(C33:N33)</f>
        <v>95.1951130781452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0.6</v>
      </c>
      <c r="D34" s="27" t="n">
        <f aca="false">D33*INDEX(Assumptions!$C$74:$E$74,$B$3)</f>
        <v>0.7876875</v>
      </c>
      <c r="E34" s="27" t="n">
        <f aca="false">E33*INDEX(Assumptions!$C$74:$E$74,$B$3)</f>
        <v>0.98</v>
      </c>
      <c r="F34" s="27" t="n">
        <f aca="false">F33*INDEX(Assumptions!$C$74:$E$74,$B$3)</f>
        <v>1.38</v>
      </c>
      <c r="G34" s="27" t="n">
        <f aca="false">G33*INDEX(Assumptions!$C$74:$E$74,$B$3)</f>
        <v>1.80946681960609</v>
      </c>
      <c r="H34" s="27" t="n">
        <f aca="false">H33*INDEX(Assumptions!$C$74:$E$74,$B$3)</f>
        <v>1.28850661866436</v>
      </c>
      <c r="I34" s="27" t="n">
        <f aca="false">I33*INDEX(Assumptions!$C$74:$E$74,$B$3)</f>
        <v>3.51</v>
      </c>
      <c r="J34" s="27" t="n">
        <f aca="false">J33*INDEX(Assumptions!$C$74:$E$74,$B$3)</f>
        <v>3.22572247295341</v>
      </c>
      <c r="K34" s="27" t="n">
        <f aca="false">K33*INDEX(Assumptions!$C$74:$E$74,$B$3)</f>
        <v>1.9567691126335</v>
      </c>
      <c r="L34" s="27" t="n">
        <f aca="false">L33*INDEX(Assumptions!$C$74:$E$74,$B$3)</f>
        <v>2.72562574567893</v>
      </c>
      <c r="M34" s="27" t="n">
        <f aca="false">M33*INDEX(Assumptions!$C$74:$E$74,$B$3)</f>
        <v>2.835</v>
      </c>
      <c r="N34" s="27" t="n">
        <f aca="false">N33*INDEX(Assumptions!$C$74:$E$74,$B$3)</f>
        <v>2.7</v>
      </c>
      <c r="O34" s="35" t="n">
        <f aca="false">SUM(C34:N34)</f>
        <v>23.7987782695363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2.4</v>
      </c>
      <c r="D35" s="6" t="n">
        <f aca="false">D26+D29+D32+D31+1.25*D30</f>
        <v>4.87875</v>
      </c>
      <c r="E35" s="6" t="n">
        <f aca="false">E26+E29+E32+E31+1.25*E30</f>
        <v>7.91654</v>
      </c>
      <c r="F35" s="6" t="n">
        <f aca="false">F26+F29+F32+F31+1.25*F30</f>
        <v>10.89894</v>
      </c>
      <c r="G35" s="6" t="n">
        <f aca="false">G26+G29+G32+G31+1.25*G30</f>
        <v>14.4</v>
      </c>
      <c r="H35" s="6" t="n">
        <f aca="false">H26+H29+H32+H31+1.25*H30</f>
        <v>14.4</v>
      </c>
      <c r="I35" s="6" t="n">
        <f aca="false">I26+I29+I32+I31+1.25*I30</f>
        <v>23.2144725870959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26.4798146200307</v>
      </c>
      <c r="N35" s="6" t="n">
        <f aca="false">N26+N29+N32+N31+1.25*N30</f>
        <v>26.8714436127529</v>
      </c>
      <c r="O35" s="39" t="n">
        <f aca="false">AVERAGE(C35:N35)</f>
        <v>17.70499673499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0.15</v>
      </c>
      <c r="D36" s="36" t="n">
        <f aca="false">D35/(D22*D23)</f>
        <v>0.304921875</v>
      </c>
      <c r="E36" s="36" t="n">
        <f aca="false">E35/(E22*E23)</f>
        <v>0.49478375</v>
      </c>
      <c r="F36" s="36" t="n">
        <f aca="false">F35/(F22*F23)</f>
        <v>0.68118375</v>
      </c>
      <c r="G36" s="36" t="n">
        <f aca="false">G35/(G22*G23)</f>
        <v>0.9</v>
      </c>
      <c r="H36" s="36" t="n">
        <f aca="false">H35/(H22*H23)</f>
        <v>0.9</v>
      </c>
      <c r="I36" s="36" t="n">
        <f aca="false">I35/(I22*I23)</f>
        <v>0.773815752903197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0.882660487334357</v>
      </c>
      <c r="N36" s="36" t="n">
        <f aca="false">N35/(N22*N23)</f>
        <v>0.895714787091764</v>
      </c>
      <c r="O36" s="30" t="n">
        <f aca="false">N36</f>
        <v>0.895714787091764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1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5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4.08</v>
      </c>
      <c r="F39" s="6" t="n">
        <f aca="false">IF(4&gt;=3,INDEX(Assumptions!$C$192:$E$192,$D$3)*INDEX(Assumptions!$C$193:$E$193,$B$3)*MIN(1,(4-2)/6),0)*$F$3</f>
        <v>8.16</v>
      </c>
      <c r="G39" s="6" t="n">
        <f aca="false">IF(5&gt;=3,INDEX(Assumptions!$C$192:$E$192,$D$3)*INDEX(Assumptions!$C$193:$E$193,$B$3)*MIN(1,(5-2)/6),0)*$F$3</f>
        <v>12.24</v>
      </c>
      <c r="H39" s="6" t="n">
        <f aca="false">IF(6&gt;=3,INDEX(Assumptions!$C$192:$E$192,$D$3)*INDEX(Assumptions!$C$193:$E$193,$B$3)*MIN(1,(6-2)/6),0)*$F$3</f>
        <v>16.32</v>
      </c>
      <c r="I39" s="6" t="n">
        <f aca="false">IF(7&gt;=3,INDEX(Assumptions!$C$192:$E$192,$D$3)*INDEX(Assumptions!$C$193:$E$193,$B$3)*MIN(1,(7-2)/6),0)*$F$3</f>
        <v>20.4</v>
      </c>
      <c r="J39" s="6" t="n">
        <f aca="false">IF(8&gt;=3,INDEX(Assumptions!$C$192:$E$192,$D$3)*INDEX(Assumptions!$C$193:$E$193,$B$3)*MIN(1,(8-2)/6),0)*$F$3</f>
        <v>24.48</v>
      </c>
      <c r="K39" s="6" t="n">
        <f aca="false">IF(9&gt;=3,INDEX(Assumptions!$C$192:$E$192,$D$3)*INDEX(Assumptions!$C$193:$E$193,$B$3)*MIN(1,(9-2)/6),0)*$F$3</f>
        <v>24.48</v>
      </c>
      <c r="L39" s="6" t="n">
        <f aca="false">IF(10&gt;=3,INDEX(Assumptions!$C$192:$E$192,$D$3)*INDEX(Assumptions!$C$193:$E$193,$B$3)*MIN(1,(10-2)/6),0)*$F$3</f>
        <v>24.48</v>
      </c>
      <c r="M39" s="6" t="n">
        <f aca="false">IF(11&gt;=3,INDEX(Assumptions!$C$192:$E$192,$D$3)*INDEX(Assumptions!$C$193:$E$193,$B$3)*MIN(1,(11-2)/6),0)*$F$3</f>
        <v>24.48</v>
      </c>
      <c r="N39" s="6" t="n">
        <f aca="false">IF(12&gt;=3,INDEX(Assumptions!$C$192:$E$192,$D$3)*INDEX(Assumptions!$C$193:$E$193,$B$3)*MIN(1,(12-2)/6),0)*$F$3</f>
        <v>24.48</v>
      </c>
      <c r="O39" s="39" t="n">
        <f aca="false">SUM(C39:N39)</f>
        <v>183.6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8.4</v>
      </c>
      <c r="D40" s="6" t="n">
        <f aca="false">INDEX(Assumptions!$C$194:$E$194,$D$3)*D10*MIN(1,2/3)*$F$3</f>
        <v>14.4</v>
      </c>
      <c r="E40" s="6" t="n">
        <f aca="false">INDEX(Assumptions!$C$194:$E$194,$D$3)*E10*MIN(1,3/3)*$F$3</f>
        <v>21.6</v>
      </c>
      <c r="F40" s="6" t="n">
        <f aca="false">INDEX(Assumptions!$C$194:$E$194,$D$3)*F10*MIN(1,4/3)*$F$3</f>
        <v>23.4</v>
      </c>
      <c r="G40" s="6" t="n">
        <f aca="false">INDEX(Assumptions!$C$194:$E$194,$D$3)*G10*MIN(1,5/3)*$F$3</f>
        <v>16.2</v>
      </c>
      <c r="H40" s="6" t="n">
        <f aca="false">INDEX(Assumptions!$C$194:$E$194,$D$3)*H10*MIN(1,6/3)*$F$3</f>
        <v>14.4</v>
      </c>
      <c r="I40" s="6" t="n">
        <f aca="false">INDEX(Assumptions!$C$194:$E$194,$D$3)*I10*MIN(1,7/3)*$F$3</f>
        <v>12.6</v>
      </c>
      <c r="J40" s="6" t="n">
        <f aca="false">INDEX(Assumptions!$C$194:$E$194,$D$3)*J10*MIN(1,8/3)*$F$3</f>
        <v>10.8</v>
      </c>
      <c r="K40" s="6" t="n">
        <f aca="false">INDEX(Assumptions!$C$194:$E$194,$D$3)*K10*MIN(1,9/3)*$F$3</f>
        <v>10.8</v>
      </c>
      <c r="L40" s="6" t="n">
        <f aca="false">INDEX(Assumptions!$C$194:$E$194,$D$3)*L10*MIN(1,10/3)*$F$3</f>
        <v>14.4</v>
      </c>
      <c r="M40" s="6" t="n">
        <f aca="false">INDEX(Assumptions!$C$194:$E$194,$D$3)*M10*MIN(1,11/3)*$F$3</f>
        <v>19.8</v>
      </c>
      <c r="N40" s="6" t="n">
        <f aca="false">INDEX(Assumptions!$C$194:$E$194,$D$3)*N10*MIN(1,12/3)*$F$3</f>
        <v>25.2</v>
      </c>
      <c r="O40" s="39" t="n">
        <f aca="false">SUM(C40:N40)</f>
        <v>192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2.25140712945591</v>
      </c>
      <c r="D41" s="6" t="n">
        <f aca="false">D21*INDEX(Assumptions!$C$31:$E$31,$B$3)/(INDEX(Assumptions!$C$56:$E$56,$B$3)*INDEX(Assumptions!$C$57:$E$57,$B$3)*INDEX(Assumptions!$C$58:$E$58,$B$3))</f>
        <v>2.95567542213884</v>
      </c>
      <c r="E41" s="6" t="n">
        <f aca="false">E21*INDEX(Assumptions!$C$31:$E$31,$B$3)/(INDEX(Assumptions!$C$56:$E$56,$B$3)*INDEX(Assumptions!$C$57:$E$57,$B$3)*INDEX(Assumptions!$C$58:$E$58,$B$3))</f>
        <v>3.67729831144465</v>
      </c>
      <c r="F41" s="6" t="n">
        <f aca="false">F21*INDEX(Assumptions!$C$31:$E$31,$B$3)/(INDEX(Assumptions!$C$56:$E$56,$B$3)*INDEX(Assumptions!$C$57:$E$57,$B$3)*INDEX(Assumptions!$C$58:$E$58,$B$3))</f>
        <v>5.17823639774859</v>
      </c>
      <c r="G41" s="6" t="n">
        <f aca="false">G21*INDEX(Assumptions!$C$31:$E$31,$B$3)/(INDEX(Assumptions!$C$56:$E$56,$B$3)*INDEX(Assumptions!$C$57:$E$57,$B$3)*INDEX(Assumptions!$C$58:$E$58,$B$3))</f>
        <v>6.92307692307692</v>
      </c>
      <c r="H41" s="6" t="n">
        <f aca="false">H21*INDEX(Assumptions!$C$31:$E$31,$B$3)/(INDEX(Assumptions!$C$56:$E$56,$B$3)*INDEX(Assumptions!$C$57:$E$57,$B$3)*INDEX(Assumptions!$C$58:$E$58,$B$3))</f>
        <v>8.91181988742964</v>
      </c>
      <c r="I41" s="6" t="n">
        <f aca="false">I21*INDEX(Assumptions!$C$31:$E$31,$B$3)/(INDEX(Assumptions!$C$56:$E$56,$B$3)*INDEX(Assumptions!$C$57:$E$57,$B$3)*INDEX(Assumptions!$C$58:$E$58,$B$3))</f>
        <v>13.1707317073171</v>
      </c>
      <c r="J41" s="6" t="n">
        <f aca="false">J21*INDEX(Assumptions!$C$31:$E$31,$B$3)/(INDEX(Assumptions!$C$56:$E$56,$B$3)*INDEX(Assumptions!$C$57:$E$57,$B$3)*INDEX(Assumptions!$C$58:$E$58,$B$3))</f>
        <v>13.6772983114447</v>
      </c>
      <c r="K41" s="6" t="n">
        <f aca="false">K21*INDEX(Assumptions!$C$31:$E$31,$B$3)/(INDEX(Assumptions!$C$56:$E$56,$B$3)*INDEX(Assumptions!$C$57:$E$57,$B$3)*INDEX(Assumptions!$C$58:$E$58,$B$3))</f>
        <v>12.6641651031895</v>
      </c>
      <c r="L41" s="6" t="n">
        <f aca="false">L21*INDEX(Assumptions!$C$31:$E$31,$B$3)/(INDEX(Assumptions!$C$56:$E$56,$B$3)*INDEX(Assumptions!$C$57:$E$57,$B$3)*INDEX(Assumptions!$C$58:$E$58,$B$3))</f>
        <v>11.1444652908068</v>
      </c>
      <c r="M41" s="6" t="n">
        <f aca="false">M21*INDEX(Assumptions!$C$31:$E$31,$B$3)/(INDEX(Assumptions!$C$56:$E$56,$B$3)*INDEX(Assumptions!$C$57:$E$57,$B$3)*INDEX(Assumptions!$C$58:$E$58,$B$3))</f>
        <v>10.6378986866792</v>
      </c>
      <c r="N41" s="6" t="n">
        <f aca="false">N21*INDEX(Assumptions!$C$31:$E$31,$B$3)/(INDEX(Assumptions!$C$56:$E$56,$B$3)*INDEX(Assumptions!$C$57:$E$57,$B$3)*INDEX(Assumptions!$C$58:$E$58,$B$3))</f>
        <v>10.1313320825516</v>
      </c>
      <c r="O41" s="39" t="n">
        <f aca="false">SUM(C41:N41)</f>
        <v>101.323405253283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19.2</v>
      </c>
      <c r="L43" s="6" t="n">
        <f aca="false">L42*INDEX(Assumptions!$C$82:$E$82,$B$3)*$F$3</f>
        <v>19.2</v>
      </c>
      <c r="M43" s="6" t="n">
        <f aca="false">M42*INDEX(Assumptions!$C$82:$E$82,$B$3)*$F$3</f>
        <v>19.2</v>
      </c>
      <c r="N43" s="6" t="n">
        <f aca="false">N42*INDEX(Assumptions!$C$82:$E$82,$B$3)*$F$3</f>
        <v>19.2</v>
      </c>
      <c r="O43" s="39" t="n">
        <f aca="false">SUM(C43:N43)</f>
        <v>76.8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0.2856</v>
      </c>
      <c r="F44" s="27" t="n">
        <f aca="false">F39*0.7*INDEX(Assumptions!$C$73:$E$73,$B$3)</f>
        <v>0.5712</v>
      </c>
      <c r="G44" s="27" t="n">
        <f aca="false">G39*0.7*INDEX(Assumptions!$C$73:$E$73,$B$3)</f>
        <v>0.8568</v>
      </c>
      <c r="H44" s="27" t="n">
        <f aca="false">H39*0.7*INDEX(Assumptions!$C$73:$E$73,$B$3)</f>
        <v>1.1424</v>
      </c>
      <c r="I44" s="27" t="n">
        <f aca="false">I39*0.7*INDEX(Assumptions!$C$73:$E$73,$B$3)</f>
        <v>1.428</v>
      </c>
      <c r="J44" s="27" t="n">
        <f aca="false">J39*0.7*INDEX(Assumptions!$C$73:$E$73,$B$3)</f>
        <v>1.7136</v>
      </c>
      <c r="K44" s="27" t="n">
        <f aca="false">K39*0.7*INDEX(Assumptions!$C$73:$E$73,$B$3)</f>
        <v>1.7136</v>
      </c>
      <c r="L44" s="27" t="n">
        <f aca="false">L39*0.7*INDEX(Assumptions!$C$73:$E$73,$B$3)</f>
        <v>1.7136</v>
      </c>
      <c r="M44" s="27" t="n">
        <f aca="false">M39*0.7*INDEX(Assumptions!$C$73:$E$73,$B$3)</f>
        <v>1.7136</v>
      </c>
      <c r="N44" s="27" t="n">
        <f aca="false">N39*0.7*INDEX(Assumptions!$C$73:$E$73,$B$3)</f>
        <v>1.7136</v>
      </c>
      <c r="O44" s="35" t="n">
        <f aca="false">SUM(C44:N44)</f>
        <v>12.852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73220.3389830509</v>
      </c>
      <c r="D49" s="8" t="n">
        <f aca="false">D29*D46/(1+INDEX(Assumptions!$C$15:$E$15,$B$3)*$H$4)</f>
        <v>96124.5762711865</v>
      </c>
      <c r="E49" s="8" t="n">
        <f aca="false">E29*E46/(1+INDEX(Assumptions!$C$15:$E$15,$B$3)*$H$4)</f>
        <v>119593.220338983</v>
      </c>
      <c r="F49" s="8" t="n">
        <f aca="false">F29*F46/(1+INDEX(Assumptions!$C$15:$E$15,$B$3)*$H$4)</f>
        <v>168406.779661017</v>
      </c>
      <c r="G49" s="8" t="n">
        <f aca="false">G29*G46/(1+INDEX(Assumptions!$C$15:$E$15,$B$3)*$H$4)</f>
        <v>220816.289850234</v>
      </c>
      <c r="H49" s="8" t="n">
        <f aca="false">H29*H46/(1+INDEX(Assumptions!$C$15:$E$15,$B$3)*$H$4)</f>
        <v>157241.485667516</v>
      </c>
      <c r="I49" s="8" t="n">
        <f aca="false">I29*I46/(1+INDEX(Assumptions!$C$15:$E$15,$B$3)*$H$4)</f>
        <v>571118.644067797</v>
      </c>
      <c r="J49" s="8" t="n">
        <f aca="false">J29*J46/(1+INDEX(Assumptions!$C$15:$E$15,$B$3)*$H$4)</f>
        <v>524863.317633098</v>
      </c>
      <c r="K49" s="8" t="n">
        <f aca="false">K29*K46/(1+INDEX(Assumptions!$C$15:$E$15,$B$3)*$H$4)</f>
        <v>318389.550530197</v>
      </c>
      <c r="L49" s="8" t="n">
        <f aca="false">L29*L46/(1+INDEX(Assumptions!$C$15:$E$15,$B$3)*$H$4)</f>
        <v>332618.735065903</v>
      </c>
      <c r="M49" s="8" t="n">
        <f aca="false">M29*M46/(1+INDEX(Assumptions!$C$15:$E$15,$B$3)*$H$4)</f>
        <v>345966.101694915</v>
      </c>
      <c r="N49" s="8" t="n">
        <f aca="false">N29*N46/(1+INDEX(Assumptions!$C$15:$E$15,$B$3)*$H$4)</f>
        <v>329491.525423729</v>
      </c>
      <c r="O49" s="37" t="n">
        <f aca="false">SUM(C49:N49)</f>
        <v>3257850.56518763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110872.911688634</v>
      </c>
      <c r="M50" s="8" t="n">
        <f aca="false">M30*M46/(1+INDEX(Assumptions!$C$15:$E$15,$B$3)*$H$4)</f>
        <v>115322.033898305</v>
      </c>
      <c r="N50" s="8" t="n">
        <f aca="false">N30*N46/(1+INDEX(Assumptions!$C$15:$E$15,$B$3)*$H$4)</f>
        <v>109830.508474576</v>
      </c>
      <c r="O50" s="37" t="n">
        <f aca="false">SUM(C50:N50)</f>
        <v>336025.454061516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4905.76271186441</v>
      </c>
      <c r="E51" s="8" t="n">
        <f aca="false">E32*MAX(0,E46-INDEX(Assumptions!$C$18:$E$18,$B$3)*$H$3)/(1+INDEX(Assumptions!$C$15:$E$15,$B$3)*$H$4)</f>
        <v>6440.34661016949</v>
      </c>
      <c r="F51" s="8" t="n">
        <f aca="false">F32*MAX(0,F46-INDEX(Assumptions!$C$18:$E$18,$B$3)*$H$3)/(1+INDEX(Assumptions!$C$15:$E$15,$B$3)*$H$4)</f>
        <v>8012.74576271186</v>
      </c>
      <c r="G51" s="8" t="n">
        <f aca="false">G32*MAX(0,G46-INDEX(Assumptions!$C$18:$E$18,$B$3)*$H$3)/(1+INDEX(Assumptions!$C$15:$E$15,$B$3)*$H$4)</f>
        <v>11065.9480539581</v>
      </c>
      <c r="H51" s="8" t="n">
        <f aca="false">H32*MAX(0,H46-INDEX(Assumptions!$C$18:$E$18,$B$3)*$H$3)/(1+INDEX(Assumptions!$C$15:$E$15,$B$3)*$H$4)</f>
        <v>8026.55065925166</v>
      </c>
      <c r="I51" s="8" t="n">
        <f aca="false">I32*MAX(0,I46-INDEX(Assumptions!$C$18:$E$18,$B$3)*$H$3)/(1+INDEX(Assumptions!$C$15:$E$15,$B$3)*$H$4)</f>
        <v>21017.9452508912</v>
      </c>
      <c r="J51" s="8" t="n">
        <f aca="false">J32*MAX(0,J46-INDEX(Assumptions!$C$18:$E$18,$B$3)*$H$3)/(1+INDEX(Assumptions!$C$15:$E$15,$B$3)*$H$4)</f>
        <v>50668.7495337285</v>
      </c>
      <c r="K51" s="8" t="n">
        <f aca="false">K32*MAX(0,K46-INDEX(Assumptions!$C$18:$E$18,$B$3)*$H$3)/(1+INDEX(Assumptions!$C$15:$E$15,$B$3)*$H$4)</f>
        <v>30506.7827887271</v>
      </c>
      <c r="L51" s="8" t="n">
        <f aca="false">L32*MAX(0,L46-INDEX(Assumptions!$C$18:$E$18,$B$3)*$H$3)/(1+INDEX(Assumptions!$C$15:$E$15,$B$3)*$H$4)</f>
        <v>29292.2654198804</v>
      </c>
      <c r="M51" s="8" t="n">
        <f aca="false">M32*MAX(0,M46-INDEX(Assumptions!$C$18:$E$18,$B$3)*$H$3)/(1+INDEX(Assumptions!$C$15:$E$15,$B$3)*$H$4)</f>
        <v>44460.0375871423</v>
      </c>
      <c r="N51" s="8" t="n">
        <f aca="false">N32*MAX(0,N46-INDEX(Assumptions!$C$18:$E$18,$B$3)*$H$3)/(1+INDEX(Assumptions!$C$15:$E$15,$B$3)*$H$4)</f>
        <v>46244.1355932203</v>
      </c>
      <c r="O51" s="37" t="n">
        <f aca="false">SUM(C51:N51)</f>
        <v>260641.269971546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32461.0169491526</v>
      </c>
      <c r="D52" s="8" t="n">
        <f aca="false">D31*INDEX(Assumptions!$C$18:$E$18,$B$3)*$H$3/(1+INDEX(Assumptions!$C$15:$E$15,$B$3)*$H$4)</f>
        <v>42615.2288135593</v>
      </c>
      <c r="E52" s="8" t="n">
        <f aca="false">E31*INDEX(Assumptions!$C$18:$E$18,$B$3)*$H$3/(1+INDEX(Assumptions!$C$15:$E$15,$B$3)*$H$4)</f>
        <v>53019.6610169492</v>
      </c>
      <c r="F52" s="8" t="n">
        <f aca="false">F31*INDEX(Assumptions!$C$18:$E$18,$B$3)*$H$3/(1+INDEX(Assumptions!$C$15:$E$15,$B$3)*$H$4)</f>
        <v>74660.3389830509</v>
      </c>
      <c r="G52" s="8" t="n">
        <f aca="false">G31*INDEX(Assumptions!$C$18:$E$18,$B$3)*$H$3/(1+INDEX(Assumptions!$C$15:$E$15,$B$3)*$H$4)</f>
        <v>97895.2218336039</v>
      </c>
      <c r="H52" s="8" t="n">
        <f aca="false">H31*INDEX(Assumptions!$C$18:$E$18,$B$3)*$H$3/(1+INDEX(Assumptions!$C$15:$E$15,$B$3)*$H$4)</f>
        <v>69710.3919792652</v>
      </c>
      <c r="I52" s="8" t="n">
        <f aca="false">I31*INDEX(Assumptions!$C$18:$E$18,$B$3)*$H$3/(1+INDEX(Assumptions!$C$15:$E$15,$B$3)*$H$4)</f>
        <v>189896.949152542</v>
      </c>
      <c r="J52" s="8" t="n">
        <f aca="false">J31*INDEX(Assumptions!$C$18:$E$18,$B$3)*$H$3/(1+INDEX(Assumptions!$C$15:$E$15,$B$3)*$H$4)</f>
        <v>174517.053113005</v>
      </c>
      <c r="K52" s="8" t="n">
        <f aca="false">K31*INDEX(Assumptions!$C$18:$E$18,$B$3)*$H$3/(1+INDEX(Assumptions!$C$15:$E$15,$B$3)*$H$4)</f>
        <v>105864.525551291</v>
      </c>
      <c r="L52" s="8" t="n">
        <f aca="false">L31*INDEX(Assumptions!$C$18:$E$18,$B$3)*$H$3/(1+INDEX(Assumptions!$C$15:$E$15,$B$3)*$H$4)</f>
        <v>147460.972545884</v>
      </c>
      <c r="M52" s="8" t="n">
        <f aca="false">M31*INDEX(Assumptions!$C$18:$E$18,$B$3)*$H$3/(1+INDEX(Assumptions!$C$15:$E$15,$B$3)*$H$4)</f>
        <v>153378.305084746</v>
      </c>
      <c r="N52" s="8" t="n">
        <f aca="false">N31*INDEX(Assumptions!$C$18:$E$18,$B$3)*$H$3/(1+INDEX(Assumptions!$C$15:$E$15,$B$3)*$H$4)</f>
        <v>146074.576271186</v>
      </c>
      <c r="O52" s="37" t="n">
        <f aca="false">SUM(C52:N52)</f>
        <v>1287554.24129423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1702.87773078513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2235.55917094635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2781.36696028238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3916.6187808058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5236.34902216428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6740.55768435781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9961.83472509301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10344.9822145197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9578.68723566636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8429.2447673864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8046.09727795974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7662.94978853309</v>
      </c>
      <c r="O53" s="37" t="n">
        <f aca="false">SUM(C53:N53)</f>
        <v>76637.1253585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34576.2711864407</v>
      </c>
      <c r="F54" s="8" t="n">
        <f aca="false">F39*INDEX(Assumptions!$C$21:$E$21,$B$3)*$H$3/(1+INDEX(Assumptions!$C$15:$E$15,$B$3)*$H$4)</f>
        <v>69152.5423728814</v>
      </c>
      <c r="G54" s="8" t="n">
        <f aca="false">G39*INDEX(Assumptions!$C$21:$E$21,$B$3)*$H$3/(1+INDEX(Assumptions!$C$15:$E$15,$B$3)*$H$4)</f>
        <v>103728.813559322</v>
      </c>
      <c r="H54" s="8" t="n">
        <f aca="false">H39*INDEX(Assumptions!$C$21:$E$21,$B$3)*$H$3/(1+INDEX(Assumptions!$C$15:$E$15,$B$3)*$H$4)</f>
        <v>138305.084745763</v>
      </c>
      <c r="I54" s="8" t="n">
        <f aca="false">I39*INDEX(Assumptions!$C$21:$E$21,$B$3)*$H$3/(1+INDEX(Assumptions!$C$15:$E$15,$B$3)*$H$4)</f>
        <v>172881.355932203</v>
      </c>
      <c r="J54" s="8" t="n">
        <f aca="false">J39*INDEX(Assumptions!$C$21:$E$21,$B$3)*$H$3/(1+INDEX(Assumptions!$C$15:$E$15,$B$3)*$H$4)</f>
        <v>207457.627118644</v>
      </c>
      <c r="K54" s="8" t="n">
        <f aca="false">K39*INDEX(Assumptions!$C$21:$E$21,$B$3)*$H$3/(1+INDEX(Assumptions!$C$15:$E$15,$B$3)*$H$4)</f>
        <v>207457.627118644</v>
      </c>
      <c r="L54" s="8" t="n">
        <f aca="false">L39*INDEX(Assumptions!$C$21:$E$21,$B$3)*$H$3/(1+INDEX(Assumptions!$C$15:$E$15,$B$3)*$H$4)</f>
        <v>207457.627118644</v>
      </c>
      <c r="M54" s="8" t="n">
        <f aca="false">M39*INDEX(Assumptions!$C$21:$E$21,$B$3)*$H$3/(1+INDEX(Assumptions!$C$15:$E$15,$B$3)*$H$4)</f>
        <v>207457.627118644</v>
      </c>
      <c r="N54" s="8" t="n">
        <f aca="false">N39*INDEX(Assumptions!$C$21:$E$21,$B$3)*$H$3/(1+INDEX(Assumptions!$C$15:$E$15,$B$3)*$H$4)</f>
        <v>207457.627118644</v>
      </c>
      <c r="O54" s="37" t="n">
        <f aca="false">SUM(C54:N54)</f>
        <v>1555932.20338983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35586.1016949153</v>
      </c>
      <c r="D55" s="8" t="n">
        <f aca="false">D40*INDEX(Assumptions!$C$22:$E$22,$B$3)*$H$3/(1+INDEX(Assumptions!$C$15:$E$15,$B$3)*$H$4)</f>
        <v>61004.7457627119</v>
      </c>
      <c r="E55" s="8" t="n">
        <f aca="false">E40*INDEX(Assumptions!$C$22:$E$22,$B$3)*$H$3/(1+INDEX(Assumptions!$C$15:$E$15,$B$3)*$H$4)</f>
        <v>91507.1186440678</v>
      </c>
      <c r="F55" s="8" t="n">
        <f aca="false">F40*INDEX(Assumptions!$C$22:$E$22,$B$3)*$H$3/(1+INDEX(Assumptions!$C$15:$E$15,$B$3)*$H$4)</f>
        <v>99132.7118644068</v>
      </c>
      <c r="G55" s="8" t="n">
        <f aca="false">G40*INDEX(Assumptions!$C$22:$E$22,$B$3)*$H$3/(1+INDEX(Assumptions!$C$15:$E$15,$B$3)*$H$4)</f>
        <v>68630.3389830509</v>
      </c>
      <c r="H55" s="8" t="n">
        <f aca="false">H40*INDEX(Assumptions!$C$22:$E$22,$B$3)*$H$3/(1+INDEX(Assumptions!$C$15:$E$15,$B$3)*$H$4)</f>
        <v>61004.7457627119</v>
      </c>
      <c r="I55" s="8" t="n">
        <f aca="false">I40*INDEX(Assumptions!$C$22:$E$22,$B$3)*$H$3/(1+INDEX(Assumptions!$C$15:$E$15,$B$3)*$H$4)</f>
        <v>53379.1525423729</v>
      </c>
      <c r="J55" s="8" t="n">
        <f aca="false">J40*INDEX(Assumptions!$C$22:$E$22,$B$3)*$H$3/(1+INDEX(Assumptions!$C$15:$E$15,$B$3)*$H$4)</f>
        <v>45753.5593220339</v>
      </c>
      <c r="K55" s="8" t="n">
        <f aca="false">K40*INDEX(Assumptions!$C$22:$E$22,$B$3)*$H$3/(1+INDEX(Assumptions!$C$15:$E$15,$B$3)*$H$4)</f>
        <v>45753.5593220339</v>
      </c>
      <c r="L55" s="8" t="n">
        <f aca="false">L40*INDEX(Assumptions!$C$22:$E$22,$B$3)*$H$3/(1+INDEX(Assumptions!$C$15:$E$15,$B$3)*$H$4)</f>
        <v>61004.7457627119</v>
      </c>
      <c r="M55" s="8" t="n">
        <f aca="false">M40*INDEX(Assumptions!$C$22:$E$22,$B$3)*$H$3/(1+INDEX(Assumptions!$C$15:$E$15,$B$3)*$H$4)</f>
        <v>83881.5254237288</v>
      </c>
      <c r="N55" s="8" t="n">
        <f aca="false">N40*INDEX(Assumptions!$C$22:$E$22,$B$3)*$H$3/(1+INDEX(Assumptions!$C$15:$E$15,$B$3)*$H$4)</f>
        <v>106758.305084746</v>
      </c>
      <c r="O55" s="37" t="n">
        <f aca="false">SUM(C55:N55)</f>
        <v>813396.610169492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24390.5084745763</v>
      </c>
      <c r="L56" s="8" t="n">
        <f aca="false">L43*INDEX(Assumptions!$C$83:$E$83,$B$3)/(1+INDEX(Assumptions!$C$15:$E$15,$B$3)*$H$4)</f>
        <v>24390.5084745763</v>
      </c>
      <c r="M56" s="8" t="n">
        <f aca="false">M43*INDEX(Assumptions!$C$83:$E$83,$B$3)/(1+INDEX(Assumptions!$C$15:$E$15,$B$3)*$H$4)</f>
        <v>24390.5084745763</v>
      </c>
      <c r="N56" s="8" t="n">
        <f aca="false">N43*INDEX(Assumptions!$C$83:$E$83,$B$3)/(1+INDEX(Assumptions!$C$15:$E$15,$B$3)*$H$4)</f>
        <v>24390.5084745763</v>
      </c>
      <c r="O56" s="37" t="n">
        <f aca="false">SUM(C56:N56)</f>
        <v>97562.0338983051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2420.09694915254</v>
      </c>
      <c r="F57" s="8" t="n">
        <f aca="false">F44*INDEX(Assumptions!$C$23:$E$23,$B$3)/(1+INDEX(Assumptions!$C$15:$E$15,$B$3)*$H$4)</f>
        <v>4840.19389830509</v>
      </c>
      <c r="G57" s="8" t="n">
        <f aca="false">G44*INDEX(Assumptions!$C$23:$E$23,$B$3)/(1+INDEX(Assumptions!$C$15:$E$15,$B$3)*$H$4)</f>
        <v>7260.29084745763</v>
      </c>
      <c r="H57" s="8" t="n">
        <f aca="false">H44*INDEX(Assumptions!$C$23:$E$23,$B$3)/(1+INDEX(Assumptions!$C$15:$E$15,$B$3)*$H$4)</f>
        <v>9680.38779661017</v>
      </c>
      <c r="I57" s="8" t="n">
        <f aca="false">I44*INDEX(Assumptions!$C$23:$E$23,$B$3)/(1+INDEX(Assumptions!$C$15:$E$15,$B$3)*$H$4)</f>
        <v>12100.4847457627</v>
      </c>
      <c r="J57" s="8" t="n">
        <f aca="false">J44*INDEX(Assumptions!$C$23:$E$23,$B$3)/(1+INDEX(Assumptions!$C$15:$E$15,$B$3)*$H$4)</f>
        <v>14520.5816949153</v>
      </c>
      <c r="K57" s="8" t="n">
        <f aca="false">K44*INDEX(Assumptions!$C$23:$E$23,$B$3)/(1+INDEX(Assumptions!$C$15:$E$15,$B$3)*$H$4)</f>
        <v>14520.5816949153</v>
      </c>
      <c r="L57" s="8" t="n">
        <f aca="false">L44*INDEX(Assumptions!$C$23:$E$23,$B$3)/(1+INDEX(Assumptions!$C$15:$E$15,$B$3)*$H$4)</f>
        <v>14520.5816949153</v>
      </c>
      <c r="M57" s="8" t="n">
        <f aca="false">M44*INDEX(Assumptions!$C$23:$E$23,$B$3)/(1+INDEX(Assumptions!$C$15:$E$15,$B$3)*$H$4)</f>
        <v>14520.5816949153</v>
      </c>
      <c r="N57" s="8" t="n">
        <f aca="false">N44*INDEX(Assumptions!$C$23:$E$23,$B$3)/(1+INDEX(Assumptions!$C$15:$E$15,$B$3)*$H$4)</f>
        <v>14520.5816949153</v>
      </c>
      <c r="O57" s="37" t="n">
        <f aca="false">SUM(C57:N57)</f>
        <v>108904.362711864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8087.04</v>
      </c>
      <c r="J58" s="8" t="n">
        <f aca="false">(J29+J30)*(1-J47)*INDEX(Assumptions!$C$90:$E$90,$B$3)</f>
        <v>7432.06457768467</v>
      </c>
      <c r="K58" s="8" t="n">
        <f aca="false">(K29+K30)*(1-K47)*INDEX(Assumptions!$C$90:$E$90,$B$3)</f>
        <v>4508.39603550759</v>
      </c>
      <c r="L58" s="8" t="n">
        <f aca="false">(L29+L30)*(1-L47)*INDEX(Assumptions!$C$90:$E$90,$B$3)</f>
        <v>6279.84171804424</v>
      </c>
      <c r="M58" s="8" t="n">
        <f aca="false">(M29+M30)*(1-M47)*INDEX(Assumptions!$C$90:$E$90,$B$3)</f>
        <v>6531.84</v>
      </c>
      <c r="N58" s="8" t="n">
        <f aca="false">(N29+N30)*(1-N47)*INDEX(Assumptions!$C$90:$E$90,$B$3)</f>
        <v>6220.8</v>
      </c>
      <c r="O58" s="37" t="n">
        <f aca="false">SUM(C58:N58)</f>
        <v>39059.9823312365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142970.335357904</v>
      </c>
      <c r="D59" s="37" t="n">
        <f aca="false">SUM(D49:D58)</f>
        <v>206885.872730268</v>
      </c>
      <c r="E59" s="37" t="n">
        <f aca="false">SUM(E49:E58)</f>
        <v>310338.081706045</v>
      </c>
      <c r="F59" s="37" t="n">
        <f aca="false">SUM(F49:F58)</f>
        <v>428121.931323179</v>
      </c>
      <c r="G59" s="37" t="n">
        <f aca="false">SUM(G49:G58)</f>
        <v>514633.252149791</v>
      </c>
      <c r="H59" s="37" t="n">
        <f aca="false">SUM(H49:H58)</f>
        <v>450709.204295475</v>
      </c>
      <c r="I59" s="37" t="n">
        <f aca="false">SUM(I49:I58)</f>
        <v>1038443.40641666</v>
      </c>
      <c r="J59" s="37" t="n">
        <f aca="false">SUM(J49:J58)</f>
        <v>1035557.93520763</v>
      </c>
      <c r="K59" s="37" t="n">
        <f aca="false">SUM(K49:K58)</f>
        <v>760970.218751559</v>
      </c>
      <c r="L59" s="37" t="n">
        <f aca="false">SUM(L49:L58)</f>
        <v>942327.434256579</v>
      </c>
      <c r="M59" s="37" t="n">
        <f aca="false">SUM(M49:M58)</f>
        <v>1003954.65825493</v>
      </c>
      <c r="N59" s="37" t="n">
        <f aca="false">SUM(N49:N58)</f>
        <v>998651.517924126</v>
      </c>
      <c r="O59" s="31" t="n">
        <f aca="false">SUM(C59:N59)</f>
        <v>7833563.84837415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105681.355932203</v>
      </c>
      <c r="D60" s="8" t="n">
        <f aca="false">D49+D50+D51+D52</f>
        <v>143645.56779661</v>
      </c>
      <c r="E60" s="8" t="n">
        <f aca="false">E49+E50+E51+E52</f>
        <v>179053.227966102</v>
      </c>
      <c r="F60" s="8" t="n">
        <f aca="false">F49+F50+F51+F52</f>
        <v>251079.86440678</v>
      </c>
      <c r="G60" s="8" t="n">
        <f aca="false">G49+G50+G51+G52</f>
        <v>329777.459737797</v>
      </c>
      <c r="H60" s="8" t="n">
        <f aca="false">H49+H50+H51+H52</f>
        <v>234978.428306032</v>
      </c>
      <c r="I60" s="8" t="n">
        <f aca="false">I49+I50+I51+I52</f>
        <v>782033.53847123</v>
      </c>
      <c r="J60" s="8" t="n">
        <f aca="false">J49+J50+J51+J52</f>
        <v>750049.120279832</v>
      </c>
      <c r="K60" s="8" t="n">
        <f aca="false">K49+K50+K51+K52</f>
        <v>454760.858870215</v>
      </c>
      <c r="L60" s="8" t="n">
        <f aca="false">L49+L50+L51+L52</f>
        <v>620244.884720301</v>
      </c>
      <c r="M60" s="8" t="n">
        <f aca="false">M49+M50+M51+M52</f>
        <v>659126.478265109</v>
      </c>
      <c r="N60" s="8" t="n">
        <f aca="false">N49+N50+N51+N52</f>
        <v>631640.745762712</v>
      </c>
      <c r="O60" s="37" t="n">
        <f aca="false">SUM(C60:N60)</f>
        <v>5142071.53051492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8640</v>
      </c>
      <c r="D62" s="8" t="n">
        <f aca="false">((D29+D32)*INDEX(Assumptions!$C$91:$E$91,$B$3)+D30*INDEX(Assumptions!$C$93:$E$93,$B$3))*$N$3</f>
        <v>13070.7</v>
      </c>
      <c r="E62" s="8" t="n">
        <f aca="false">((E29+E32)*INDEX(Assumptions!$C$91:$E$91,$B$3)+E30*INDEX(Assumptions!$C$93:$E$93,$B$3))*$N$3</f>
        <v>16380.54</v>
      </c>
      <c r="F62" s="8" t="n">
        <f aca="false">((F29+F32)*INDEX(Assumptions!$C$91:$E$91,$B$3)+F30*INDEX(Assumptions!$C$93:$E$93,$B$3))*$N$3</f>
        <v>22694.4</v>
      </c>
      <c r="G62" s="8" t="n">
        <f aca="false">((G29+G32)*INDEX(Assumptions!$C$91:$E$91,$B$3)+G30*INDEX(Assumptions!$C$93:$E$93,$B$3))*$N$3</f>
        <v>29954.1785317816</v>
      </c>
      <c r="H62" s="8" t="n">
        <f aca="false">((H29+H32)*INDEX(Assumptions!$C$91:$E$91,$B$3)+H30*INDEX(Assumptions!$C$93:$E$93,$B$3))*$N$3</f>
        <v>21381.7579290406</v>
      </c>
      <c r="I62" s="8" t="n">
        <f aca="false">((I29+I32)*INDEX(Assumptions!$C$91:$E$91,$B$3)+I30*INDEX(Assumptions!$C$93:$E$93,$B$3))*$N$3</f>
        <v>54254.8990617534</v>
      </c>
      <c r="J62" s="8" t="n">
        <f aca="false">((J29+J32)*INDEX(Assumptions!$C$91:$E$91,$B$3)+J30*INDEX(Assumptions!$C$93:$E$93,$B$3))*$N$3</f>
        <v>55396.4072688533</v>
      </c>
      <c r="K62" s="8" t="n">
        <f aca="false">((K29+K32)*INDEX(Assumptions!$C$91:$E$91,$B$3)+K30*INDEX(Assumptions!$C$93:$E$93,$B$3))*$N$3</f>
        <v>33563.7101881117</v>
      </c>
      <c r="L62" s="8" t="n">
        <f aca="false">((L29+L32)*INDEX(Assumptions!$C$91:$E$91,$B$3)+L30*INDEX(Assumptions!$C$93:$E$93,$B$3))*$N$3</f>
        <v>46873.8753845173</v>
      </c>
      <c r="M62" s="8" t="n">
        <f aca="false">((M29+M32)*INDEX(Assumptions!$C$91:$E$91,$B$3)+M30*INDEX(Assumptions!$C$93:$E$93,$B$3))*$N$3</f>
        <v>51225.3021475553</v>
      </c>
      <c r="N62" s="8" t="n">
        <f aca="false">((N29+N32)*INDEX(Assumptions!$C$91:$E$91,$B$3)+N30*INDEX(Assumptions!$C$93:$E$93,$B$3))*$N$3</f>
        <v>49474.8</v>
      </c>
      <c r="O62" s="37" t="n">
        <f aca="false">SUM(C62:N62)</f>
        <v>402910.570511613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17280</v>
      </c>
      <c r="D63" s="8" t="n">
        <f aca="false">(D29+D30)*D47*INDEX(Assumptions!$C$14:$E$14,$B$3)*$N$3</f>
        <v>22685.4</v>
      </c>
      <c r="E63" s="8" t="n">
        <f aca="false">(E29+E30)*E47*INDEX(Assumptions!$C$14:$E$14,$B$3)*$N$3</f>
        <v>28224</v>
      </c>
      <c r="F63" s="8" t="n">
        <f aca="false">(F29+F30)*F47*INDEX(Assumptions!$C$14:$E$14,$B$3)*$N$3</f>
        <v>39744</v>
      </c>
      <c r="G63" s="8" t="n">
        <f aca="false">(G29+G30)*G47*INDEX(Assumptions!$C$14:$E$14,$B$3)*$N$3</f>
        <v>52112.6444046553</v>
      </c>
      <c r="H63" s="8" t="n">
        <f aca="false">(H29+H30)*H47*INDEX(Assumptions!$C$14:$E$14,$B$3)*$N$3</f>
        <v>37108.9906175337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197155.035022189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1920</v>
      </c>
      <c r="D64" s="8" t="n">
        <f aca="false">D31*INDEX(Assumptions!$C$92:$E$92,$B$3)*$N$3</f>
        <v>2520.6</v>
      </c>
      <c r="E64" s="8" t="n">
        <f aca="false">E31*INDEX(Assumptions!$C$92:$E$92,$B$3)*$N$3</f>
        <v>3136</v>
      </c>
      <c r="F64" s="8" t="n">
        <f aca="false">F31*INDEX(Assumptions!$C$92:$E$92,$B$3)*$N$3</f>
        <v>4416</v>
      </c>
      <c r="G64" s="8" t="n">
        <f aca="false">G31*INDEX(Assumptions!$C$92:$E$92,$B$3)*$N$3</f>
        <v>5790.29382273948</v>
      </c>
      <c r="H64" s="8" t="n">
        <f aca="false">H31*INDEX(Assumptions!$C$92:$E$92,$B$3)*$N$3</f>
        <v>4123.22117972596</v>
      </c>
      <c r="I64" s="8" t="n">
        <f aca="false">I31*INDEX(Assumptions!$C$92:$E$92,$B$3)*$N$3</f>
        <v>11232</v>
      </c>
      <c r="J64" s="8" t="n">
        <f aca="false">J31*INDEX(Assumptions!$C$92:$E$92,$B$3)*$N$3</f>
        <v>10322.3119134509</v>
      </c>
      <c r="K64" s="8" t="n">
        <f aca="false">K31*INDEX(Assumptions!$C$92:$E$92,$B$3)*$N$3</f>
        <v>6261.66116042721</v>
      </c>
      <c r="L64" s="8" t="n">
        <f aca="false">L31*INDEX(Assumptions!$C$92:$E$92,$B$3)*$N$3</f>
        <v>8722.00238617256</v>
      </c>
      <c r="M64" s="8" t="n">
        <f aca="false">M31*INDEX(Assumptions!$C$92:$E$92,$B$3)*$N$3</f>
        <v>9072</v>
      </c>
      <c r="N64" s="8" t="n">
        <f aca="false">N31*INDEX(Assumptions!$C$92:$E$92,$B$3)*$N$3</f>
        <v>8640</v>
      </c>
      <c r="O64" s="37" t="n">
        <f aca="false">SUM(C64:N64)</f>
        <v>76156.0904625162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3922.85178236398</v>
      </c>
      <c r="D65" s="8" t="n">
        <f aca="false">(D39*INDEX(Assumptions!$C$94:$E$94,$B$3)+D40*INDEX(Assumptions!$C$95:$E$95,$B$3)+D41*INDEX(Assumptions!$C$96:$E$96,$B$3))*$N$3</f>
        <v>6498.91885553471</v>
      </c>
      <c r="E65" s="8" t="n">
        <f aca="false">(E39*INDEX(Assumptions!$C$94:$E$94,$B$3)+E40*INDEX(Assumptions!$C$95:$E$95,$B$3)+E41*INDEX(Assumptions!$C$96:$E$96,$B$3))*$N$3</f>
        <v>13639.3245778612</v>
      </c>
      <c r="F65" s="8" t="n">
        <f aca="false">(F39*INDEX(Assumptions!$C$94:$E$94,$B$3)+F40*INDEX(Assumptions!$C$95:$E$95,$B$3)+F41*INDEX(Assumptions!$C$96:$E$96,$B$3))*$N$3</f>
        <v>18814.5590994372</v>
      </c>
      <c r="G65" s="8" t="n">
        <f aca="false">(G39*INDEX(Assumptions!$C$94:$E$94,$B$3)+G40*INDEX(Assumptions!$C$95:$E$95,$B$3)+G41*INDEX(Assumptions!$C$96:$E$96,$B$3))*$N$3</f>
        <v>20450.7692307692</v>
      </c>
      <c r="H65" s="8" t="n">
        <f aca="false">(H39*INDEX(Assumptions!$C$94:$E$94,$B$3)+H40*INDEX(Assumptions!$C$95:$E$95,$B$3)+H41*INDEX(Assumptions!$C$96:$E$96,$B$3))*$N$3</f>
        <v>24307.9549718574</v>
      </c>
      <c r="I65" s="8" t="n">
        <f aca="false">(I39*INDEX(Assumptions!$C$94:$E$94,$B$3)+I40*INDEX(Assumptions!$C$95:$E$95,$B$3)+I41*INDEX(Assumptions!$C$96:$E$96,$B$3))*$N$3</f>
        <v>28732.6829268293</v>
      </c>
      <c r="J65" s="8" t="n">
        <f aca="false">(J39*INDEX(Assumptions!$C$94:$E$94,$B$3)+J40*INDEX(Assumptions!$C$95:$E$95,$B$3)+J41*INDEX(Assumptions!$C$96:$E$96,$B$3))*$N$3</f>
        <v>32219.3245778612</v>
      </c>
      <c r="K65" s="8" t="n">
        <f aca="false">(K39*INDEX(Assumptions!$C$94:$E$94,$B$3)+K40*INDEX(Assumptions!$C$95:$E$95,$B$3)+K41*INDEX(Assumptions!$C$96:$E$96,$B$3))*$N$3</f>
        <v>31966.0412757974</v>
      </c>
      <c r="L65" s="8" t="n">
        <f aca="false">(L39*INDEX(Assumptions!$C$94:$E$94,$B$3)+L40*INDEX(Assumptions!$C$95:$E$95,$B$3)+L41*INDEX(Assumptions!$C$96:$E$96,$B$3))*$N$3</f>
        <v>33026.1163227017</v>
      </c>
      <c r="M65" s="8" t="n">
        <f aca="false">(M39*INDEX(Assumptions!$C$94:$E$94,$B$3)+M40*INDEX(Assumptions!$C$95:$E$95,$B$3)+M41*INDEX(Assumptions!$C$96:$E$96,$B$3))*$N$3</f>
        <v>35059.4746716698</v>
      </c>
      <c r="N65" s="8" t="n">
        <f aca="false">(N39*INDEX(Assumptions!$C$94:$E$94,$B$3)+N40*INDEX(Assumptions!$C$95:$E$95,$B$3)+N41*INDEX(Assumptions!$C$96:$E$96,$B$3))*$N$3</f>
        <v>37092.8330206379</v>
      </c>
      <c r="O65" s="37" t="n">
        <f aca="false">SUM(C65:N65)</f>
        <v>285730.851313321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571.2</v>
      </c>
      <c r="F67" s="8" t="n">
        <f aca="false">F44*INDEX(Assumptions!$C$97:$E$97,$B$3)</f>
        <v>1142.4</v>
      </c>
      <c r="G67" s="8" t="n">
        <f aca="false">G44*INDEX(Assumptions!$C$97:$E$97,$B$3)</f>
        <v>1713.6</v>
      </c>
      <c r="H67" s="8" t="n">
        <f aca="false">H44*INDEX(Assumptions!$C$97:$E$97,$B$3)</f>
        <v>2284.8</v>
      </c>
      <c r="I67" s="8" t="n">
        <f aca="false">I44*INDEX(Assumptions!$C$97:$E$97,$B$3)</f>
        <v>2856</v>
      </c>
      <c r="J67" s="8" t="n">
        <f aca="false">J44*INDEX(Assumptions!$C$97:$E$97,$B$3)</f>
        <v>3427.2</v>
      </c>
      <c r="K67" s="8" t="n">
        <f aca="false">K44*INDEX(Assumptions!$C$97:$E$97,$B$3)</f>
        <v>3427.2</v>
      </c>
      <c r="L67" s="8" t="n">
        <f aca="false">L44*INDEX(Assumptions!$C$97:$E$97,$B$3)</f>
        <v>3427.2</v>
      </c>
      <c r="M67" s="8" t="n">
        <f aca="false">M44*INDEX(Assumptions!$C$97:$E$97,$B$3)</f>
        <v>3427.2</v>
      </c>
      <c r="N67" s="8" t="n">
        <f aca="false">N44*INDEX(Assumptions!$C$97:$E$97,$B$3)</f>
        <v>3427.2</v>
      </c>
      <c r="O67" s="37" t="n">
        <f aca="false">SUM(C67:N67)</f>
        <v>25704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4886.09991444653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6968.78309643433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9926.57188576266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13746.740779227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16933.7129634566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14049.522171521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36734.8849608641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36323.904457895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25163.6064455726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32001.915234857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34137.0297109909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33595.1172230094</v>
      </c>
      <c r="O68" s="37" t="n">
        <f aca="false">SUM(C68:N68)</f>
        <v>264467.888844037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1440</v>
      </c>
      <c r="D69" s="8" t="n">
        <f aca="false">D33*INDEX(Assumptions!$C$198:$E$198,$B$3)*INDEX(Assumptions!$C$69:$E$69,$B$3)</f>
        <v>1890.45</v>
      </c>
      <c r="E69" s="8" t="n">
        <f aca="false">E33*INDEX(Assumptions!$C$198:$E$198,$B$3)*INDEX(Assumptions!$C$69:$E$69,$B$3)</f>
        <v>2352</v>
      </c>
      <c r="F69" s="8" t="n">
        <f aca="false">F33*INDEX(Assumptions!$C$198:$E$198,$B$3)*INDEX(Assumptions!$C$69:$E$69,$B$3)</f>
        <v>3312</v>
      </c>
      <c r="G69" s="8" t="n">
        <f aca="false">G33*INDEX(Assumptions!$C$198:$E$198,$B$3)*INDEX(Assumptions!$C$69:$E$69,$B$3)</f>
        <v>4342.72036705461</v>
      </c>
      <c r="H69" s="8" t="n">
        <f aca="false">H33*INDEX(Assumptions!$C$198:$E$198,$B$3)*INDEX(Assumptions!$C$69:$E$69,$B$3)</f>
        <v>3092.41588479447</v>
      </c>
      <c r="I69" s="8" t="n">
        <f aca="false">I33*INDEX(Assumptions!$C$198:$E$198,$B$3)*INDEX(Assumptions!$C$69:$E$69,$B$3)</f>
        <v>8424</v>
      </c>
      <c r="J69" s="8" t="n">
        <f aca="false">J33*INDEX(Assumptions!$C$198:$E$198,$B$3)*INDEX(Assumptions!$C$69:$E$69,$B$3)</f>
        <v>7741.7339350882</v>
      </c>
      <c r="K69" s="8" t="n">
        <f aca="false">K33*INDEX(Assumptions!$C$198:$E$198,$B$3)*INDEX(Assumptions!$C$69:$E$69,$B$3)</f>
        <v>4696.24587032041</v>
      </c>
      <c r="L69" s="8" t="n">
        <f aca="false">L33*INDEX(Assumptions!$C$198:$E$198,$B$3)*INDEX(Assumptions!$C$69:$E$69,$B$3)</f>
        <v>6541.50178962942</v>
      </c>
      <c r="M69" s="8" t="n">
        <f aca="false">M33*INDEX(Assumptions!$C$198:$E$198,$B$3)*INDEX(Assumptions!$C$69:$E$69,$B$3)</f>
        <v>6804</v>
      </c>
      <c r="N69" s="8" t="n">
        <f aca="false">N33*INDEX(Assumptions!$C$198:$E$198,$B$3)*INDEX(Assumptions!$C$69:$E$69,$B$3)</f>
        <v>6480</v>
      </c>
      <c r="O69" s="37" t="n">
        <f aca="false">SUM(C69:N69)</f>
        <v>57117.0678468871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38088.9516968105</v>
      </c>
      <c r="D70" s="37" t="n">
        <f aca="false">SUM(D62:D69)</f>
        <v>53634.851951969</v>
      </c>
      <c r="E70" s="37" t="n">
        <f aca="false">SUM(E62:E69)</f>
        <v>74229.6364636238</v>
      </c>
      <c r="F70" s="37" t="n">
        <f aca="false">SUM(F62:F69)</f>
        <v>103870.099878664</v>
      </c>
      <c r="G70" s="37" t="n">
        <f aca="false">SUM(G62:G69)</f>
        <v>131297.919320457</v>
      </c>
      <c r="H70" s="37" t="n">
        <f aca="false">SUM(H62:H69)</f>
        <v>106348.662754473</v>
      </c>
      <c r="I70" s="37" t="n">
        <f aca="false">SUM(I62:I69)</f>
        <v>142234.466949447</v>
      </c>
      <c r="J70" s="37" t="n">
        <f aca="false">SUM(J62:J69)</f>
        <v>145430.882153149</v>
      </c>
      <c r="K70" s="37" t="n">
        <f aca="false">SUM(K62:K69)</f>
        <v>131078.464940229</v>
      </c>
      <c r="L70" s="37" t="n">
        <f aca="false">SUM(L62:L69)</f>
        <v>156592.611117878</v>
      </c>
      <c r="M70" s="37" t="n">
        <f aca="false">SUM(M62:M69)</f>
        <v>165725.006530216</v>
      </c>
      <c r="N70" s="37" t="n">
        <f aca="false">SUM(N62:N69)</f>
        <v>164709.950243647</v>
      </c>
      <c r="O70" s="31" t="n">
        <f aca="false">SUM(C70:N70)</f>
        <v>1413241.50400056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104881.383661093</v>
      </c>
      <c r="D71" s="37" t="n">
        <f aca="false">D59-D70</f>
        <v>153251.020778299</v>
      </c>
      <c r="E71" s="37" t="n">
        <f aca="false">E59-E70</f>
        <v>236108.445242421</v>
      </c>
      <c r="F71" s="37" t="n">
        <f aca="false">F59-F70</f>
        <v>324251.831444515</v>
      </c>
      <c r="G71" s="37" t="n">
        <f aca="false">G59-G70</f>
        <v>383335.332829334</v>
      </c>
      <c r="H71" s="37" t="n">
        <f aca="false">H59-H70</f>
        <v>344360.541541002</v>
      </c>
      <c r="I71" s="37" t="n">
        <f aca="false">I59-I70</f>
        <v>896208.939467216</v>
      </c>
      <c r="J71" s="37" t="n">
        <f aca="false">J59-J70</f>
        <v>890127.05305448</v>
      </c>
      <c r="K71" s="37" t="n">
        <f aca="false">K59-K70</f>
        <v>629891.753811329</v>
      </c>
      <c r="L71" s="37" t="n">
        <f aca="false">L59-L70</f>
        <v>785734.823138701</v>
      </c>
      <c r="M71" s="37" t="n">
        <f aca="false">M59-M70</f>
        <v>838229.651724717</v>
      </c>
      <c r="N71" s="37" t="n">
        <f aca="false">N59-N70</f>
        <v>833941.567680479</v>
      </c>
      <c r="O71" s="31" t="n">
        <f aca="false">SUM(C71:N71)</f>
        <v>6420322.34437359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0.740751501085352</v>
      </c>
      <c r="E72" s="7" t="n">
        <f aca="false">IFERROR(E71/E59,0)</f>
        <v>0.760810416641246</v>
      </c>
      <c r="F72" s="7" t="n">
        <f aca="false">IFERROR(F71/F59,0)</f>
        <v>0.75738196929637</v>
      </c>
      <c r="G72" s="7" t="n">
        <f aca="false">IFERROR(G71/G59,0)</f>
        <v>0.744870898310627</v>
      </c>
      <c r="H72" s="7" t="n">
        <f aca="false">IFERROR(H71/H59,0)</f>
        <v>0.764041511154156</v>
      </c>
      <c r="I72" s="7" t="n">
        <f aca="false">IFERROR(I71/I59,0)</f>
        <v>0.863031084726848</v>
      </c>
      <c r="J72" s="7" t="n">
        <f aca="false">IFERROR(J71/J59,0)</f>
        <v>0.85956277557374</v>
      </c>
      <c r="K72" s="7" t="n">
        <f aca="false">IFERROR(K71/K59,0)</f>
        <v>0.827748232834558</v>
      </c>
      <c r="L72" s="7" t="n">
        <f aca="false">IFERROR(L71/L59,0)</f>
        <v>0.833823567663169</v>
      </c>
      <c r="M72" s="7" t="n">
        <f aca="false">IFERROR(M71/M59,0)</f>
        <v>0.834927797617596</v>
      </c>
      <c r="N72" s="7" t="n">
        <f aca="false">IFERROR(N71/N59,0)</f>
        <v>0.835067641427086</v>
      </c>
      <c r="O72" s="13" t="n">
        <f aca="false">IFERROR(O71/O59,0)</f>
        <v>0.819591499941131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2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0.666666666666667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-186951.616338907</v>
      </c>
      <c r="D94" s="37" t="n">
        <f aca="false">D71-D93</f>
        <v>-158581.979221701</v>
      </c>
      <c r="E94" s="37" t="n">
        <f aca="false">E71-E93</f>
        <v>-250724.554757579</v>
      </c>
      <c r="F94" s="37" t="n">
        <f aca="false">F71-F93</f>
        <v>-22581.1685554855</v>
      </c>
      <c r="G94" s="37" t="n">
        <f aca="false">G71-G93</f>
        <v>16502.3328293344</v>
      </c>
      <c r="H94" s="37" t="n">
        <f aca="false">H71-H93</f>
        <v>-44972.458458998</v>
      </c>
      <c r="I94" s="37" t="n">
        <f aca="false">I71-I93</f>
        <v>386275.939467216</v>
      </c>
      <c r="J94" s="37" t="n">
        <f aca="false">J71-J93</f>
        <v>380194.05305448</v>
      </c>
      <c r="K94" s="37" t="n">
        <f aca="false">K71-K93</f>
        <v>114958.753811329</v>
      </c>
      <c r="L94" s="37" t="n">
        <f aca="false">L71-L93</f>
        <v>270801.823138701</v>
      </c>
      <c r="M94" s="37" t="n">
        <f aca="false">M71-M93</f>
        <v>323296.651724717</v>
      </c>
      <c r="N94" s="37" t="n">
        <f aca="false">N71-N93</f>
        <v>319008.567680479</v>
      </c>
      <c r="O94" s="31" t="n">
        <f aca="false">SUM(C94:N94)</f>
        <v>1147226.34437359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-1.30762522079075</v>
      </c>
      <c r="D95" s="7" t="n">
        <f aca="false">IFERROR(D94/D59,0)</f>
        <v>-0.766519130228167</v>
      </c>
      <c r="E95" s="7" t="n">
        <f aca="false">IFERROR(E94/E59,0)</f>
        <v>-0.807907793266143</v>
      </c>
      <c r="F95" s="7" t="n">
        <f aca="false">IFERROR(F94/F59,0)</f>
        <v>-0.0527447133710128</v>
      </c>
      <c r="G95" s="7" t="n">
        <f aca="false">IFERROR(G94/G59,0)</f>
        <v>0.0320662000762655</v>
      </c>
      <c r="H95" s="7" t="n">
        <f aca="false">IFERROR(H94/H59,0)</f>
        <v>-0.0997815399161786</v>
      </c>
      <c r="I95" s="7" t="n">
        <f aca="false">IFERROR(I94/I59,0)</f>
        <v>0.371975918071579</v>
      </c>
      <c r="J95" s="7" t="n">
        <f aca="false">IFERROR(J94/J59,0)</f>
        <v>0.367139336321392</v>
      </c>
      <c r="K95" s="7" t="n">
        <f aca="false">IFERROR(K94/K59,0)</f>
        <v>0.151068663370203</v>
      </c>
      <c r="L95" s="7" t="n">
        <f aca="false">IFERROR(L94/L59,0)</f>
        <v>0.287375505895509</v>
      </c>
      <c r="M95" s="7" t="n">
        <f aca="false">IFERROR(M94/M59,0)</f>
        <v>0.322023160176047</v>
      </c>
      <c r="N95" s="7" t="n">
        <f aca="false">IFERROR(N94/N59,0)</f>
        <v>0.319439325885765</v>
      </c>
      <c r="O95" s="7" t="n">
        <f aca="false">IFERROR(O94/O59,0)</f>
        <v>0.146450117287509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-261951.616338907</v>
      </c>
      <c r="D96" s="8" t="n">
        <f aca="false">D94-INDEX(Assumptions!$C$163:$E$163,$B$3)</f>
        <v>-233581.979221701</v>
      </c>
      <c r="E96" s="8" t="n">
        <f aca="false">E94-INDEX(Assumptions!$C$163:$E$163,$B$3)</f>
        <v>-325724.554757579</v>
      </c>
      <c r="F96" s="8" t="n">
        <f aca="false">F94-INDEX(Assumptions!$C$163:$E$163,$B$3)</f>
        <v>-97581.1685554855</v>
      </c>
      <c r="G96" s="8" t="n">
        <f aca="false">G94-INDEX(Assumptions!$C$163:$E$163,$B$3)</f>
        <v>-58497.6671706656</v>
      </c>
      <c r="H96" s="8" t="n">
        <f aca="false">H94-INDEX(Assumptions!$C$163:$E$163,$B$3)</f>
        <v>-119972.458458998</v>
      </c>
      <c r="I96" s="8" t="n">
        <f aca="false">I94-INDEX(Assumptions!$C$163:$E$163,$B$3)</f>
        <v>311275.939467216</v>
      </c>
      <c r="J96" s="8" t="n">
        <f aca="false">J94-INDEX(Assumptions!$C$163:$E$163,$B$3)</f>
        <v>305194.05305448</v>
      </c>
      <c r="K96" s="8" t="n">
        <f aca="false">K94-INDEX(Assumptions!$C$163:$E$163,$B$3)</f>
        <v>39958.7538113291</v>
      </c>
      <c r="L96" s="8" t="n">
        <f aca="false">L94-INDEX(Assumptions!$C$163:$E$163,$B$3)</f>
        <v>195801.823138701</v>
      </c>
      <c r="M96" s="8" t="n">
        <f aca="false">M94-INDEX(Assumptions!$C$163:$E$163,$B$3)</f>
        <v>248296.651724717</v>
      </c>
      <c r="N96" s="8" t="n">
        <f aca="false">N94-INDEX(Assumptions!$C$163:$E$163,$B$3)</f>
        <v>244008.567680479</v>
      </c>
      <c r="O96" s="37" t="n">
        <f aca="false">SUM(C96:N96)</f>
        <v>247226.344373587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-52840.6779661017</v>
      </c>
      <c r="D104" s="8" t="n">
        <f aca="false">((D60+IF(INDEX(Assumptions!$C$87:$E$87,$B$3)&gt;=2,C60,0)+IF(INDEX(Assumptions!$C$87:$E$87,$B$3)&gt;=3,0,0))/INDEX(Assumptions!$C$87:$E$87,$B$3))-D60</f>
        <v>-18982.1059322034</v>
      </c>
      <c r="E104" s="8" t="n">
        <f aca="false">((E60+IF(INDEX(Assumptions!$C$87:$E$87,$B$3)&gt;=2,D60,0)+IF(INDEX(Assumptions!$C$87:$E$87,$B$3)&gt;=3,C60,0))/INDEX(Assumptions!$C$87:$E$87,$B$3))-E60</f>
        <v>-17703.8300847457</v>
      </c>
      <c r="F104" s="8" t="n">
        <f aca="false">((F60+IF(INDEX(Assumptions!$C$87:$E$87,$B$3)&gt;=2,E60,0)+IF(INDEX(Assumptions!$C$87:$E$87,$B$3)&gt;=3,D60,0))/INDEX(Assumptions!$C$87:$E$87,$B$3))-F60</f>
        <v>-36013.318220339</v>
      </c>
      <c r="G104" s="8" t="n">
        <f aca="false">((G60+IF(INDEX(Assumptions!$C$87:$E$87,$B$3)&gt;=2,F60,0)+IF(INDEX(Assumptions!$C$87:$E$87,$B$3)&gt;=3,E60,0))/INDEX(Assumptions!$C$87:$E$87,$B$3))-G60</f>
        <v>-39348.7976655084</v>
      </c>
      <c r="H104" s="8" t="n">
        <f aca="false">((H60+IF(INDEX(Assumptions!$C$87:$E$87,$B$3)&gt;=2,G60,0)+IF(INDEX(Assumptions!$C$87:$E$87,$B$3)&gt;=3,F60,0))/INDEX(Assumptions!$C$87:$E$87,$B$3))-H60</f>
        <v>47399.5157158821</v>
      </c>
      <c r="I104" s="8" t="n">
        <f aca="false">((I60+IF(INDEX(Assumptions!$C$87:$E$87,$B$3)&gt;=2,H60,0)+IF(INDEX(Assumptions!$C$87:$E$87,$B$3)&gt;=3,G60,0))/INDEX(Assumptions!$C$87:$E$87,$B$3))-I60</f>
        <v>-273527.555082599</v>
      </c>
      <c r="J104" s="8" t="n">
        <f aca="false">((J60+IF(INDEX(Assumptions!$C$87:$E$87,$B$3)&gt;=2,I60,0)+IF(INDEX(Assumptions!$C$87:$E$87,$B$3)&gt;=3,H60,0))/INDEX(Assumptions!$C$87:$E$87,$B$3))-J60</f>
        <v>15992.2090956994</v>
      </c>
      <c r="K104" s="8" t="n">
        <f aca="false">((K60+IF(INDEX(Assumptions!$C$87:$E$87,$B$3)&gt;=2,J60,0)+IF(INDEX(Assumptions!$C$87:$E$87,$B$3)&gt;=3,I60,0))/INDEX(Assumptions!$C$87:$E$87,$B$3))-K60</f>
        <v>147644.130704808</v>
      </c>
      <c r="L104" s="8" t="n">
        <f aca="false">((L60+IF(INDEX(Assumptions!$C$87:$E$87,$B$3)&gt;=2,K60,0)+IF(INDEX(Assumptions!$C$87:$E$87,$B$3)&gt;=3,J60,0))/INDEX(Assumptions!$C$87:$E$87,$B$3))-L60</f>
        <v>-82742.012925043</v>
      </c>
      <c r="M104" s="8" t="n">
        <f aca="false">((M60+IF(INDEX(Assumptions!$C$87:$E$87,$B$3)&gt;=2,L60,0)+IF(INDEX(Assumptions!$C$87:$E$87,$B$3)&gt;=3,K60,0))/INDEX(Assumptions!$C$87:$E$87,$B$3))-M60</f>
        <v>-19440.7967724038</v>
      </c>
      <c r="N104" s="8" t="n">
        <f aca="false">((N60+IF(INDEX(Assumptions!$C$87:$E$87,$B$3)&gt;=2,M60,0)+IF(INDEX(Assumptions!$C$87:$E$87,$B$3)&gt;=3,L60,0))/INDEX(Assumptions!$C$87:$E$87,$B$3))-N60</f>
        <v>13742.8662511983</v>
      </c>
      <c r="O104" s="37" t="n">
        <f aca="false">SUM(C104:N104)</f>
        <v>-315820.372881356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-389792.294305008</v>
      </c>
      <c r="D105" s="37" t="n">
        <f aca="false">D94+D104-D103</f>
        <v>-177564.085153904</v>
      </c>
      <c r="E105" s="37" t="n">
        <f aca="false">E94+E104-E103</f>
        <v>-268428.384842325</v>
      </c>
      <c r="F105" s="37" t="n">
        <f aca="false">F94+F104-F103</f>
        <v>-58594.4867758245</v>
      </c>
      <c r="G105" s="37" t="n">
        <f aca="false">G94+G104-G103</f>
        <v>-22846.464836174</v>
      </c>
      <c r="H105" s="37" t="n">
        <f aca="false">H94+H104-H103</f>
        <v>-1469572.94274312</v>
      </c>
      <c r="I105" s="37" t="n">
        <f aca="false">I94+I104-I103</f>
        <v>112748.384384617</v>
      </c>
      <c r="J105" s="37" t="n">
        <f aca="false">J94+J104-J103</f>
        <v>46186.2621501797</v>
      </c>
      <c r="K105" s="37" t="n">
        <f aca="false">K94+K104-K103</f>
        <v>262602.884516137</v>
      </c>
      <c r="L105" s="37" t="n">
        <f aca="false">L94+L104-L103</f>
        <v>188059.810213658</v>
      </c>
      <c r="M105" s="37" t="n">
        <f aca="false">M94+M104-M103</f>
        <v>303855.854952313</v>
      </c>
      <c r="N105" s="37" t="n">
        <f aca="false">N94+N104-N103</f>
        <v>332751.433931677</v>
      </c>
      <c r="O105" s="31" t="n">
        <f aca="false">SUM(C105:N105)</f>
        <v>-1140594.02850777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-389792.294305008</v>
      </c>
      <c r="D106" s="37" t="n">
        <f aca="false">C106+D105</f>
        <v>-567356.379458912</v>
      </c>
      <c r="E106" s="37" t="n">
        <f aca="false">D106+E105</f>
        <v>-835784.764301237</v>
      </c>
      <c r="F106" s="37" t="n">
        <f aca="false">E106+F105</f>
        <v>-894379.251077062</v>
      </c>
      <c r="G106" s="37" t="n">
        <f aca="false">F106+G105</f>
        <v>-917225.715913235</v>
      </c>
      <c r="H106" s="37" t="n">
        <f aca="false">G106+H105</f>
        <v>-2386798.65865635</v>
      </c>
      <c r="I106" s="37" t="n">
        <f aca="false">H106+I105</f>
        <v>-2274050.27427173</v>
      </c>
      <c r="J106" s="37" t="n">
        <f aca="false">I106+J105</f>
        <v>-2227864.01212156</v>
      </c>
      <c r="K106" s="37" t="n">
        <f aca="false">J106+K105</f>
        <v>-1965261.12760542</v>
      </c>
      <c r="L106" s="37" t="n">
        <f aca="false">K106+L105</f>
        <v>-1777201.31739176</v>
      </c>
      <c r="M106" s="37" t="n">
        <f aca="false">L106+M105</f>
        <v>-1473345.46243945</v>
      </c>
      <c r="N106" s="37" t="n">
        <f aca="false">M106+N105</f>
        <v>-1140594.02850777</v>
      </c>
      <c r="O106" s="31" t="n">
        <f aca="false">N106</f>
        <v>-1140594.02850777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389792.294305008</v>
      </c>
      <c r="D107" s="37" t="n">
        <f aca="false">-MIN(0,MIN($C$106:D106))</f>
        <v>567356.379458912</v>
      </c>
      <c r="E107" s="37" t="n">
        <f aca="false">-MIN(0,MIN($C$106:E106))</f>
        <v>835784.764301237</v>
      </c>
      <c r="F107" s="37" t="n">
        <f aca="false">-MIN(0,MIN($C$106:F106))</f>
        <v>894379.251077062</v>
      </c>
      <c r="G107" s="37" t="n">
        <f aca="false">-MIN(0,MIN($C$106:G106))</f>
        <v>917225.715913235</v>
      </c>
      <c r="H107" s="37" t="n">
        <f aca="false">-MIN(0,MIN($C$106:H106))</f>
        <v>2386798.65865635</v>
      </c>
      <c r="I107" s="37" t="n">
        <f aca="false">-MIN(0,MIN($C$106:I106))</f>
        <v>2386798.65865635</v>
      </c>
      <c r="J107" s="37" t="n">
        <f aca="false">-MIN(0,MIN($C$106:J106))</f>
        <v>2386798.65865635</v>
      </c>
      <c r="K107" s="37" t="n">
        <f aca="false">-MIN(0,MIN($C$106:K106))</f>
        <v>2386798.65865635</v>
      </c>
      <c r="L107" s="37" t="n">
        <f aca="false">-MIN(0,MIN($C$106:L106))</f>
        <v>2386798.65865635</v>
      </c>
      <c r="M107" s="37" t="n">
        <f aca="false">-MIN(0,MIN($C$106:M106))</f>
        <v>2386798.65865635</v>
      </c>
      <c r="N107" s="37" t="n">
        <f aca="false">-MIN(0,MIN($C$106:N106))</f>
        <v>2386798.65865635</v>
      </c>
      <c r="O107" s="31" t="n">
        <f aca="false">MAX(C107:N107)</f>
        <v>2386798.65865635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1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7833563.84837415</v>
      </c>
    </row>
    <row r="112" customFormat="false" ht="15" hidden="false" customHeight="false" outlineLevel="0" collapsed="false">
      <c r="A112" s="3" t="s">
        <v>28</v>
      </c>
      <c r="B112" s="31" t="n">
        <f aca="false">O94</f>
        <v>1147226.34437359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0.146450117287509</v>
      </c>
    </row>
    <row r="114" customFormat="false" ht="15" hidden="false" customHeight="false" outlineLevel="0" collapsed="false">
      <c r="A114" s="3" t="s">
        <v>30</v>
      </c>
      <c r="B114" s="31" t="n">
        <f aca="false">O96</f>
        <v>247226.344373587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2386798.65865635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613201.341343649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95.1951130781452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11.3020782208439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183.6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0.895714787091764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5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291829.284917767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4.44468830443893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53.3362596532671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10322.5853145755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0.152258133389988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0.408083343330415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17.5757122612393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913107.042543897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5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-1140594.02850777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0.8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48000</v>
      </c>
      <c r="D46" s="8" t="n">
        <f aca="false">IF(2&gt;=INDEX(Assumptions!$C$105:$E$105,$B$3),INDEX(Assumptions!$C$20:$E$20,$B$3),INDEX(Assumptions!$C$10:$E$10,$B$3))*$H$3</f>
        <v>48000</v>
      </c>
      <c r="E46" s="8" t="n">
        <f aca="false">IF(3&gt;=INDEX(Assumptions!$C$105:$E$105,$B$3),INDEX(Assumptions!$C$20:$E$20,$B$3),INDEX(Assumptions!$C$10:$E$10,$B$3))*$H$3</f>
        <v>48000</v>
      </c>
      <c r="F46" s="8" t="n">
        <f aca="false">IF(4&gt;=INDEX(Assumptions!$C$105:$E$105,$B$3),INDEX(Assumptions!$C$20:$E$20,$B$3),INDEX(Assumptions!$C$10:$E$10,$B$3))*$H$3</f>
        <v>48000</v>
      </c>
      <c r="G46" s="8" t="n">
        <f aca="false">IF(5&gt;=INDEX(Assumptions!$C$105:$E$105,$B$3),INDEX(Assumptions!$C$20:$E$20,$B$3),INDEX(Assumptions!$C$10:$E$10,$B$3))*$H$3</f>
        <v>48000</v>
      </c>
      <c r="H46" s="8" t="n">
        <f aca="false">IF(6&gt;=INDEX(Assumptions!$C$105:$E$105,$B$3),INDEX(Assumptions!$C$20:$E$20,$B$3),INDEX(Assumptions!$C$10:$E$10,$B$3))*$H$3</f>
        <v>48000</v>
      </c>
      <c r="I46" s="8" t="n">
        <f aca="false">IF(7&gt;=INDEX(Assumptions!$C$105:$E$105,$B$3),INDEX(Assumptions!$C$20:$E$20,$B$3),INDEX(Assumptions!$C$10:$E$10,$B$3))*$H$3</f>
        <v>64000</v>
      </c>
      <c r="J46" s="8" t="n">
        <f aca="false">IF(8&gt;=INDEX(Assumptions!$C$105:$E$105,$B$3),INDEX(Assumptions!$C$20:$E$20,$B$3),INDEX(Assumptions!$C$10:$E$10,$B$3))*$H$3</f>
        <v>64000</v>
      </c>
      <c r="K46" s="8" t="n">
        <f aca="false">IF(9&gt;=INDEX(Assumptions!$C$105:$E$105,$B$3),INDEX(Assumptions!$C$20:$E$20,$B$3),INDEX(Assumptions!$C$10:$E$10,$B$3))*$H$3</f>
        <v>64000</v>
      </c>
      <c r="L46" s="8" t="n">
        <f aca="false">IF(10&gt;=INDEX(Assumptions!$C$105:$E$105,$B$3),INDEX(Assumptions!$C$20:$E$20,$B$3),INDEX(Assumptions!$C$10:$E$10,$B$3))*$H$3</f>
        <v>64000</v>
      </c>
      <c r="M46" s="8" t="n">
        <f aca="false">IF(11&gt;=INDEX(Assumptions!$C$105:$E$105,$B$3),INDEX(Assumptions!$C$20:$E$20,$B$3),INDEX(Assumptions!$C$10:$E$10,$B$3))*$H$3</f>
        <v>64000</v>
      </c>
      <c r="N46" s="8" t="n">
        <f aca="false">IF(12&gt;=INDEX(Assumptions!$C$105:$E$105,$B$3),INDEX(Assumptions!$C$20:$E$20,$B$3),INDEX(Assumptions!$C$10:$E$10,$B$3))*$H$3</f>
        <v>64000</v>
      </c>
      <c r="O46" s="37" t="n">
        <f aca="false">AVERAGE(C46:N46)</f>
        <v>56000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48813.5593220339</v>
      </c>
      <c r="D49" s="8" t="n">
        <f aca="false">D29*D46/(1+INDEX(Assumptions!$C$15:$E$15,$B$3)*$H$4)</f>
        <v>67133.8983050848</v>
      </c>
      <c r="E49" s="8" t="n">
        <f aca="false">E29*E46/(1+INDEX(Assumptions!$C$15:$E$15,$B$3)*$H$4)</f>
        <v>85423.7288135593</v>
      </c>
      <c r="F49" s="8" t="n">
        <f aca="false">F29*F46/(1+INDEX(Assumptions!$C$15:$E$15,$B$3)*$H$4)</f>
        <v>122033.898305085</v>
      </c>
      <c r="G49" s="8" t="n">
        <f aca="false">G29*G46/(1+INDEX(Assumptions!$C$15:$E$15,$B$3)*$H$4)</f>
        <v>164745.762711864</v>
      </c>
      <c r="H49" s="8" t="n">
        <f aca="false">H29*H46/(1+INDEX(Assumptions!$C$15:$E$15,$B$3)*$H$4)</f>
        <v>141404.864903198</v>
      </c>
      <c r="I49" s="8" t="n">
        <f aca="false">I29*I46/(1+INDEX(Assumptions!$C$15:$E$15,$B$3)*$H$4)</f>
        <v>423050.847457627</v>
      </c>
      <c r="J49" s="8" t="n">
        <f aca="false">J29*J46/(1+INDEX(Assumptions!$C$15:$E$15,$B$3)*$H$4)</f>
        <v>422759.302482291</v>
      </c>
      <c r="K49" s="8" t="n">
        <f aca="false">K29*K46/(1+INDEX(Assumptions!$C$15:$E$15,$B$3)*$H$4)</f>
        <v>266450.862103915</v>
      </c>
      <c r="L49" s="8" t="n">
        <f aca="false">L29*L46/(1+INDEX(Assumptions!$C$15:$E$15,$B$3)*$H$4)</f>
        <v>254944.282964962</v>
      </c>
      <c r="M49" s="8" t="n">
        <f aca="false">M29*M46/(1+INDEX(Assumptions!$C$15:$E$15,$B$3)*$H$4)</f>
        <v>256271.186440678</v>
      </c>
      <c r="N49" s="8" t="n">
        <f aca="false">N29*N46/(1+INDEX(Assumptions!$C$15:$E$15,$B$3)*$H$4)</f>
        <v>244067.79661017</v>
      </c>
      <c r="O49" s="37" t="n">
        <f aca="false">SUM(C49:N49)</f>
        <v>2497099.99042047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84981.4276549874</v>
      </c>
      <c r="M50" s="8" t="n">
        <f aca="false">M30*M46/(1+INDEX(Assumptions!$C$15:$E$15,$B$3)*$H$4)</f>
        <v>85423.7288135593</v>
      </c>
      <c r="N50" s="8" t="n">
        <f aca="false">N30*N46/(1+INDEX(Assumptions!$C$15:$E$15,$B$3)*$H$4)</f>
        <v>81355.9322033898</v>
      </c>
      <c r="O50" s="37" t="n">
        <f aca="false">SUM(C50:N50)</f>
        <v>251761.088671936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3270.50847457627</v>
      </c>
      <c r="E51" s="8" t="n">
        <f aca="false">E32*MAX(0,E46-INDEX(Assumptions!$C$18:$E$18,$B$3)*$H$3)/(1+INDEX(Assumptions!$C$15:$E$15,$B$3)*$H$4)</f>
        <v>4497.97118644068</v>
      </c>
      <c r="F51" s="8" t="n">
        <f aca="false">F32*MAX(0,F46-INDEX(Assumptions!$C$18:$E$18,$B$3)*$H$3)/(1+INDEX(Assumptions!$C$15:$E$15,$B$3)*$H$4)</f>
        <v>5723.38983050848</v>
      </c>
      <c r="G51" s="8" t="n">
        <f aca="false">G32*MAX(0,G46-INDEX(Assumptions!$C$18:$E$18,$B$3)*$H$3)/(1+INDEX(Assumptions!$C$15:$E$15,$B$3)*$H$4)</f>
        <v>8176.27118644068</v>
      </c>
      <c r="H51" s="8" t="n">
        <f aca="false">H32*MAX(0,H46-INDEX(Assumptions!$C$18:$E$18,$B$3)*$H$3)/(1+INDEX(Assumptions!$C$15:$E$15,$B$3)*$H$4)</f>
        <v>7308.61144599674</v>
      </c>
      <c r="I51" s="8" t="n">
        <f aca="false">I32*MAX(0,I46-INDEX(Assumptions!$C$18:$E$18,$B$3)*$H$3)/(1+INDEX(Assumptions!$C$15:$E$15,$B$3)*$H$4)</f>
        <v>18901.1169420608</v>
      </c>
      <c r="J51" s="8" t="n">
        <f aca="false">J32*MAX(0,J46-INDEX(Assumptions!$C$18:$E$18,$B$3)*$H$3)/(1+INDEX(Assumptions!$C$15:$E$15,$B$3)*$H$4)</f>
        <v>40811.9304414849</v>
      </c>
      <c r="K51" s="8" t="n">
        <f aca="false">K32*MAX(0,K46-INDEX(Assumptions!$C$18:$E$18,$B$3)*$H$3)/(1+INDEX(Assumptions!$C$15:$E$15,$B$3)*$H$4)</f>
        <v>27761.022214843</v>
      </c>
      <c r="L51" s="8" t="n">
        <f aca="false">L32*MAX(0,L46-INDEX(Assumptions!$C$18:$E$18,$B$3)*$H$3)/(1+INDEX(Assumptions!$C$15:$E$15,$B$3)*$H$4)</f>
        <v>25365.5114164895</v>
      </c>
      <c r="M51" s="8" t="n">
        <f aca="false">M32*MAX(0,M46-INDEX(Assumptions!$C$18:$E$18,$B$3)*$H$3)/(1+INDEX(Assumptions!$C$15:$E$15,$B$3)*$H$4)</f>
        <v>34077.5524896499</v>
      </c>
      <c r="N51" s="8" t="n">
        <f aca="false">N32*MAX(0,N46-INDEX(Assumptions!$C$18:$E$18,$B$3)*$H$3)/(1+INDEX(Assumptions!$C$15:$E$15,$B$3)*$H$4)</f>
        <v>34254.9152542373</v>
      </c>
      <c r="O51" s="37" t="n">
        <f aca="false">SUM(C51:N51)</f>
        <v>210148.800882728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21640.6779661017</v>
      </c>
      <c r="D52" s="8" t="n">
        <f aca="false">D31*INDEX(Assumptions!$C$18:$E$18,$B$3)*$H$3/(1+INDEX(Assumptions!$C$15:$E$15,$B$3)*$H$4)</f>
        <v>29762.6949152542</v>
      </c>
      <c r="E52" s="8" t="n">
        <f aca="false">E31*INDEX(Assumptions!$C$18:$E$18,$B$3)*$H$3/(1+INDEX(Assumptions!$C$15:$E$15,$B$3)*$H$4)</f>
        <v>37871.186440678</v>
      </c>
      <c r="F52" s="8" t="n">
        <f aca="false">F31*INDEX(Assumptions!$C$18:$E$18,$B$3)*$H$3/(1+INDEX(Assumptions!$C$15:$E$15,$B$3)*$H$4)</f>
        <v>54101.6949152542</v>
      </c>
      <c r="G52" s="8" t="n">
        <f aca="false">G31*INDEX(Assumptions!$C$18:$E$18,$B$3)*$H$3/(1+INDEX(Assumptions!$C$15:$E$15,$B$3)*$H$4)</f>
        <v>73037.2881355932</v>
      </c>
      <c r="H52" s="8" t="n">
        <f aca="false">H31*INDEX(Assumptions!$C$18:$E$18,$B$3)*$H$3/(1+INDEX(Assumptions!$C$15:$E$15,$B$3)*$H$4)</f>
        <v>62689.4901070846</v>
      </c>
      <c r="I52" s="8" t="n">
        <f aca="false">I31*INDEX(Assumptions!$C$18:$E$18,$B$3)*$H$3/(1+INDEX(Assumptions!$C$15:$E$15,$B$3)*$H$4)</f>
        <v>140664.406779661</v>
      </c>
      <c r="J52" s="8" t="n">
        <f aca="false">J31*INDEX(Assumptions!$C$18:$E$18,$B$3)*$H$3/(1+INDEX(Assumptions!$C$15:$E$15,$B$3)*$H$4)</f>
        <v>140567.468075362</v>
      </c>
      <c r="K52" s="8" t="n">
        <f aca="false">K31*INDEX(Assumptions!$C$18:$E$18,$B$3)*$H$3/(1+INDEX(Assumptions!$C$15:$E$15,$B$3)*$H$4)</f>
        <v>88594.9116495516</v>
      </c>
      <c r="L52" s="8" t="n">
        <f aca="false">L31*INDEX(Assumptions!$C$18:$E$18,$B$3)*$H$3/(1+INDEX(Assumptions!$C$15:$E$15,$B$3)*$H$4)</f>
        <v>113025.298781133</v>
      </c>
      <c r="M52" s="8" t="n">
        <f aca="false">M31*INDEX(Assumptions!$C$18:$E$18,$B$3)*$H$3/(1+INDEX(Assumptions!$C$15:$E$15,$B$3)*$H$4)</f>
        <v>113613.559322034</v>
      </c>
      <c r="N52" s="8" t="n">
        <f aca="false">N31*INDEX(Assumptions!$C$18:$E$18,$B$3)*$H$3/(1+INDEX(Assumptions!$C$15:$E$15,$B$3)*$H$4)</f>
        <v>108203.389830508</v>
      </c>
      <c r="O52" s="37" t="n">
        <f aca="false">SUM(C52:N52)</f>
        <v>983772.066918216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23050.8474576271</v>
      </c>
      <c r="F54" s="8" t="n">
        <f aca="false">F39*INDEX(Assumptions!$C$21:$E$21,$B$3)*$H$3/(1+INDEX(Assumptions!$C$15:$E$15,$B$3)*$H$4)</f>
        <v>46101.6949152542</v>
      </c>
      <c r="G54" s="8" t="n">
        <f aca="false">G39*INDEX(Assumptions!$C$21:$E$21,$B$3)*$H$3/(1+INDEX(Assumptions!$C$15:$E$15,$B$3)*$H$4)</f>
        <v>69152.5423728814</v>
      </c>
      <c r="H54" s="8" t="n">
        <f aca="false">H39*INDEX(Assumptions!$C$21:$E$21,$B$3)*$H$3/(1+INDEX(Assumptions!$C$15:$E$15,$B$3)*$H$4)</f>
        <v>92203.3898305085</v>
      </c>
      <c r="I54" s="8" t="n">
        <f aca="false">I39*INDEX(Assumptions!$C$21:$E$21,$B$3)*$H$3/(1+INDEX(Assumptions!$C$15:$E$15,$B$3)*$H$4)</f>
        <v>115254.237288136</v>
      </c>
      <c r="J54" s="8" t="n">
        <f aca="false">J39*INDEX(Assumptions!$C$21:$E$21,$B$3)*$H$3/(1+INDEX(Assumptions!$C$15:$E$15,$B$3)*$H$4)</f>
        <v>138305.084745763</v>
      </c>
      <c r="K54" s="8" t="n">
        <f aca="false">K39*INDEX(Assumptions!$C$21:$E$21,$B$3)*$H$3/(1+INDEX(Assumptions!$C$15:$E$15,$B$3)*$H$4)</f>
        <v>138305.084745763</v>
      </c>
      <c r="L54" s="8" t="n">
        <f aca="false">L39*INDEX(Assumptions!$C$21:$E$21,$B$3)*$H$3/(1+INDEX(Assumptions!$C$15:$E$15,$B$3)*$H$4)</f>
        <v>138305.084745763</v>
      </c>
      <c r="M54" s="8" t="n">
        <f aca="false">M39*INDEX(Assumptions!$C$21:$E$21,$B$3)*$H$3/(1+INDEX(Assumptions!$C$15:$E$15,$B$3)*$H$4)</f>
        <v>138305.084745763</v>
      </c>
      <c r="N54" s="8" t="n">
        <f aca="false">N39*INDEX(Assumptions!$C$21:$E$21,$B$3)*$H$3/(1+INDEX(Assumptions!$C$15:$E$15,$B$3)*$H$4)</f>
        <v>138305.084745763</v>
      </c>
      <c r="O54" s="37" t="n">
        <f aca="false">SUM(C54:N54)</f>
        <v>1037288.13559322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23724.0677966102</v>
      </c>
      <c r="D55" s="8" t="n">
        <f aca="false">D40*INDEX(Assumptions!$C$22:$E$22,$B$3)*$H$3/(1+INDEX(Assumptions!$C$15:$E$15,$B$3)*$H$4)</f>
        <v>40669.8305084746</v>
      </c>
      <c r="E55" s="8" t="n">
        <f aca="false">E40*INDEX(Assumptions!$C$22:$E$22,$B$3)*$H$3/(1+INDEX(Assumptions!$C$15:$E$15,$B$3)*$H$4)</f>
        <v>61004.7457627119</v>
      </c>
      <c r="F55" s="8" t="n">
        <f aca="false">F40*INDEX(Assumptions!$C$22:$E$22,$B$3)*$H$3/(1+INDEX(Assumptions!$C$15:$E$15,$B$3)*$H$4)</f>
        <v>66088.4745762712</v>
      </c>
      <c r="G55" s="8" t="n">
        <f aca="false">G40*INDEX(Assumptions!$C$22:$E$22,$B$3)*$H$3/(1+INDEX(Assumptions!$C$15:$E$15,$B$3)*$H$4)</f>
        <v>45753.5593220339</v>
      </c>
      <c r="H55" s="8" t="n">
        <f aca="false">H40*INDEX(Assumptions!$C$22:$E$22,$B$3)*$H$3/(1+INDEX(Assumptions!$C$15:$E$15,$B$3)*$H$4)</f>
        <v>40669.8305084746</v>
      </c>
      <c r="I55" s="8" t="n">
        <f aca="false">I40*INDEX(Assumptions!$C$22:$E$22,$B$3)*$H$3/(1+INDEX(Assumptions!$C$15:$E$15,$B$3)*$H$4)</f>
        <v>35586.1016949153</v>
      </c>
      <c r="J55" s="8" t="n">
        <f aca="false">J40*INDEX(Assumptions!$C$22:$E$22,$B$3)*$H$3/(1+INDEX(Assumptions!$C$15:$E$15,$B$3)*$H$4)</f>
        <v>30502.3728813559</v>
      </c>
      <c r="K55" s="8" t="n">
        <f aca="false">K40*INDEX(Assumptions!$C$22:$E$22,$B$3)*$H$3/(1+INDEX(Assumptions!$C$15:$E$15,$B$3)*$H$4)</f>
        <v>30502.3728813559</v>
      </c>
      <c r="L55" s="8" t="n">
        <f aca="false">L40*INDEX(Assumptions!$C$22:$E$22,$B$3)*$H$3/(1+INDEX(Assumptions!$C$15:$E$15,$B$3)*$H$4)</f>
        <v>40669.8305084746</v>
      </c>
      <c r="M55" s="8" t="n">
        <f aca="false">M40*INDEX(Assumptions!$C$22:$E$22,$B$3)*$H$3/(1+INDEX(Assumptions!$C$15:$E$15,$B$3)*$H$4)</f>
        <v>55921.0169491525</v>
      </c>
      <c r="N55" s="8" t="n">
        <f aca="false">N40*INDEX(Assumptions!$C$22:$E$22,$B$3)*$H$3/(1+INDEX(Assumptions!$C$15:$E$15,$B$3)*$H$4)</f>
        <v>71172.2033898305</v>
      </c>
      <c r="O55" s="37" t="n">
        <f aca="false">SUM(C55:N55)</f>
        <v>542264.406779661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95597.3698604</v>
      </c>
      <c r="D59" s="37" t="n">
        <f aca="false">SUM(D49:D58)</f>
        <v>142788.589727657</v>
      </c>
      <c r="E59" s="37" t="n">
        <f aca="false">SUM(E49:E58)</f>
        <v>216348.590476039</v>
      </c>
      <c r="F59" s="37" t="n">
        <f aca="false">SUM(F49:F58)</f>
        <v>301630.309396763</v>
      </c>
      <c r="G59" s="37" t="n">
        <f aca="false">SUM(G49:G58)</f>
        <v>371705.009719528</v>
      </c>
      <c r="H59" s="37" t="n">
        <f aca="false">SUM(H49:H58)</f>
        <v>358551.585019259</v>
      </c>
      <c r="I59" s="37" t="n">
        <f aca="false">SUM(I49:I58)</f>
        <v>760252.368492288</v>
      </c>
      <c r="J59" s="37" t="n">
        <f aca="false">SUM(J49:J58)</f>
        <v>802108.170261622</v>
      </c>
      <c r="K59" s="37" t="n">
        <f aca="false">SUM(K49:K58)</f>
        <v>597625.497177083</v>
      </c>
      <c r="L59" s="37" t="n">
        <f aca="false">SUM(L49:L58)</f>
        <v>703538.885890457</v>
      </c>
      <c r="M59" s="37" t="n">
        <f aca="false">SUM(M49:M58)</f>
        <v>729536.127307598</v>
      </c>
      <c r="N59" s="37" t="n">
        <f aca="false">SUM(N49:N58)</f>
        <v>722640.554386746</v>
      </c>
      <c r="O59" s="31" t="n">
        <f aca="false">SUM(C59:N59)</f>
        <v>5802323.05771544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70454.2372881356</v>
      </c>
      <c r="D60" s="8" t="n">
        <f aca="false">D49+D50+D51+D52</f>
        <v>100167.101694915</v>
      </c>
      <c r="E60" s="8" t="n">
        <f aca="false">E49+E50+E51+E52</f>
        <v>127792.886440678</v>
      </c>
      <c r="F60" s="8" t="n">
        <f aca="false">F49+F50+F51+F52</f>
        <v>181858.983050847</v>
      </c>
      <c r="G60" s="8" t="n">
        <f aca="false">G49+G50+G51+G52</f>
        <v>245959.322033898</v>
      </c>
      <c r="H60" s="8" t="n">
        <f aca="false">H49+H50+H51+H52</f>
        <v>211402.96645628</v>
      </c>
      <c r="I60" s="8" t="n">
        <f aca="false">I49+I50+I51+I52</f>
        <v>582616.371179349</v>
      </c>
      <c r="J60" s="8" t="n">
        <f aca="false">J49+J50+J51+J52</f>
        <v>604138.700999138</v>
      </c>
      <c r="K60" s="8" t="n">
        <f aca="false">K49+K50+K51+K52</f>
        <v>382806.795968309</v>
      </c>
      <c r="L60" s="8" t="n">
        <f aca="false">L49+L50+L51+L52</f>
        <v>478316.520817572</v>
      </c>
      <c r="M60" s="8" t="n">
        <f aca="false">M49+M50+M51+M52</f>
        <v>489386.027065921</v>
      </c>
      <c r="N60" s="8" t="n">
        <f aca="false">N49+N50+N51+N52</f>
        <v>467882.033898305</v>
      </c>
      <c r="O60" s="37" t="n">
        <f aca="false">SUM(C60:N60)</f>
        <v>3942781.94689335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3264.09792870544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4823.6617175727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6962.70984023452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9756.6633017636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12343.0782293809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11532.7506930654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27068.2639612716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28502.4987780503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20179.4371445615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24146.7814420673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24976.7540633706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24481.6810835272</v>
      </c>
      <c r="O68" s="37" t="n">
        <f aca="false">SUM(C68:N68)</f>
        <v>198038.378183571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30933.1410806754</v>
      </c>
      <c r="D70" s="37" t="n">
        <f aca="false">SUM(D62:D69)</f>
        <v>45266.3676275164</v>
      </c>
      <c r="E70" s="37" t="n">
        <f aca="false">SUM(E62:E69)</f>
        <v>63539.985356182</v>
      </c>
      <c r="F70" s="37" t="n">
        <f aca="false">SUM(F62:F69)</f>
        <v>90001.2711816886</v>
      </c>
      <c r="G70" s="37" t="n">
        <f aca="false">SUM(G62:G69)</f>
        <v>116904.09886728</v>
      </c>
      <c r="H70" s="37" t="n">
        <f aca="false">SUM(H62:H69)</f>
        <v>107789.57808126</v>
      </c>
      <c r="I70" s="37" t="n">
        <f aca="false">SUM(I62:I69)</f>
        <v>122868.487963721</v>
      </c>
      <c r="J70" s="37" t="n">
        <f aca="false">SUM(J62:J69)</f>
        <v>132486.867188822</v>
      </c>
      <c r="K70" s="37" t="n">
        <f aca="false">SUM(K62:K69)</f>
        <v>123032.830736893</v>
      </c>
      <c r="L70" s="37" t="n">
        <f aca="false">SUM(L62:L69)</f>
        <v>140959.079556785</v>
      </c>
      <c r="M70" s="37" t="n">
        <f aca="false">SUM(M62:M69)</f>
        <v>145678.586958679</v>
      </c>
      <c r="N70" s="37" t="n">
        <f aca="false">SUM(N62:N69)</f>
        <v>144292.896843377</v>
      </c>
      <c r="O70" s="31" t="n">
        <f aca="false">SUM(C70:N70)</f>
        <v>1263753.19144288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64664.2287797246</v>
      </c>
      <c r="D71" s="37" t="n">
        <f aca="false">D59-D70</f>
        <v>97522.2221001404</v>
      </c>
      <c r="E71" s="37" t="n">
        <f aca="false">E59-E70</f>
        <v>152808.605119857</v>
      </c>
      <c r="F71" s="37" t="n">
        <f aca="false">F59-F70</f>
        <v>211629.038215074</v>
      </c>
      <c r="G71" s="37" t="n">
        <f aca="false">G59-G70</f>
        <v>254800.910852249</v>
      </c>
      <c r="H71" s="37" t="n">
        <f aca="false">H59-H70</f>
        <v>250762.006937998</v>
      </c>
      <c r="I71" s="37" t="n">
        <f aca="false">I59-I70</f>
        <v>637383.880528568</v>
      </c>
      <c r="J71" s="37" t="n">
        <f aca="false">J59-J70</f>
        <v>669621.3030728</v>
      </c>
      <c r="K71" s="37" t="n">
        <f aca="false">K59-K70</f>
        <v>474592.666440189</v>
      </c>
      <c r="L71" s="37" t="n">
        <f aca="false">L59-L70</f>
        <v>562579.806333673</v>
      </c>
      <c r="M71" s="37" t="n">
        <f aca="false">M59-M70</f>
        <v>583857.540348918</v>
      </c>
      <c r="N71" s="37" t="n">
        <f aca="false">N59-N70</f>
        <v>578347.657543369</v>
      </c>
      <c r="O71" s="31" t="n">
        <f aca="false">SUM(C71:N71)</f>
        <v>4538569.86627256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0.67642267642042</v>
      </c>
      <c r="D72" s="7" t="n">
        <f aca="false">IFERROR(D71/D59,0)</f>
        <v>0.68298329919881</v>
      </c>
      <c r="E72" s="7" t="n">
        <f aca="false">IFERROR(E71/E59,0)</f>
        <v>0.706307375442693</v>
      </c>
      <c r="F72" s="7" t="n">
        <f aca="false">IFERROR(F71/F59,0)</f>
        <v>0.701617283217711</v>
      </c>
      <c r="G72" s="7" t="n">
        <f aca="false">IFERROR(G71/G59,0)</f>
        <v>0.685492269917239</v>
      </c>
      <c r="H72" s="7" t="n">
        <f aca="false">IFERROR(H71/H59,0)</f>
        <v>0.699374978148623</v>
      </c>
      <c r="I72" s="7" t="n">
        <f aca="false">IFERROR(I71/I59,0)</f>
        <v>0.838384603513449</v>
      </c>
      <c r="J72" s="7" t="n">
        <f aca="false">IFERROR(J71/J59,0)</f>
        <v>0.834826682857987</v>
      </c>
      <c r="K72" s="7" t="n">
        <f aca="false">IFERROR(K71/K59,0)</f>
        <v>0.794130552799293</v>
      </c>
      <c r="L72" s="7" t="n">
        <f aca="false">IFERROR(L71/L59,0)</f>
        <v>0.799642802432484</v>
      </c>
      <c r="M72" s="7" t="n">
        <f aca="false">IFERROR(M71/M59,0)</f>
        <v>0.800313402577723</v>
      </c>
      <c r="N72" s="7" t="n">
        <f aca="false">IFERROR(N71/N59,0)</f>
        <v>0.800325492435408</v>
      </c>
      <c r="O72" s="13" t="n">
        <f aca="false">IFERROR(O71/O59,0)</f>
        <v>0.782198754038273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-227168.771220275</v>
      </c>
      <c r="D94" s="37" t="n">
        <f aca="false">D71-D93</f>
        <v>-214310.77789986</v>
      </c>
      <c r="E94" s="37" t="n">
        <f aca="false">E71-E93</f>
        <v>-334024.394880143</v>
      </c>
      <c r="F94" s="37" t="n">
        <f aca="false">F71-F93</f>
        <v>-135203.961784926</v>
      </c>
      <c r="G94" s="37" t="n">
        <f aca="false">G71-G93</f>
        <v>-112032.089147751</v>
      </c>
      <c r="H94" s="37" t="n">
        <f aca="false">H71-H93</f>
        <v>-138570.993062002</v>
      </c>
      <c r="I94" s="37" t="n">
        <f aca="false">I71-I93</f>
        <v>127450.880528567</v>
      </c>
      <c r="J94" s="37" t="n">
        <f aca="false">J71-J93</f>
        <v>159688.3030728</v>
      </c>
      <c r="K94" s="37" t="n">
        <f aca="false">K71-K93</f>
        <v>-40340.3335598109</v>
      </c>
      <c r="L94" s="37" t="n">
        <f aca="false">L71-L93</f>
        <v>47646.8063336725</v>
      </c>
      <c r="M94" s="37" t="n">
        <f aca="false">M71-M93</f>
        <v>68924.5403489183</v>
      </c>
      <c r="N94" s="37" t="n">
        <f aca="false">N71-N93</f>
        <v>63414.6575433689</v>
      </c>
      <c r="O94" s="31" t="n">
        <f aca="false">SUM(C94:N94)</f>
        <v>-734526.133727441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-2.37630775357113</v>
      </c>
      <c r="D95" s="7" t="n">
        <f aca="false">IFERROR(D94/D59,0)</f>
        <v>-1.50089568297172</v>
      </c>
      <c r="E95" s="7" t="n">
        <f aca="false">IFERROR(E94/E59,0)</f>
        <v>-1.54391759218388</v>
      </c>
      <c r="F95" s="7" t="n">
        <f aca="false">IFERROR(F94/F59,0)</f>
        <v>-0.44824395152902</v>
      </c>
      <c r="G95" s="7" t="n">
        <f aca="false">IFERROR(G94/G59,0)</f>
        <v>-0.301400535958033</v>
      </c>
      <c r="H95" s="7" t="n">
        <f aca="false">IFERROR(H94/H59,0)</f>
        <v>-0.386474356415295</v>
      </c>
      <c r="I95" s="7" t="n">
        <f aca="false">IFERROR(I94/I59,0)</f>
        <v>0.167642858885563</v>
      </c>
      <c r="J95" s="7" t="n">
        <f aca="false">IFERROR(J94/J59,0)</f>
        <v>0.199085745530699</v>
      </c>
      <c r="K95" s="7" t="n">
        <f aca="false">IFERROR(K94/K59,0)</f>
        <v>-0.0675010248899364</v>
      </c>
      <c r="L95" s="7" t="n">
        <f aca="false">IFERROR(L94/L59,0)</f>
        <v>0.0677244816018474</v>
      </c>
      <c r="M95" s="7" t="n">
        <f aca="false">IFERROR(M94/M59,0)</f>
        <v>0.0944772133537635</v>
      </c>
      <c r="N95" s="7" t="n">
        <f aca="false">IFERROR(N94/N59,0)</f>
        <v>0.0877540807230012</v>
      </c>
      <c r="O95" s="7" t="n">
        <f aca="false">IFERROR(O94/O59,0)</f>
        <v>-0.126591733418002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-302168.771220275</v>
      </c>
      <c r="D96" s="8" t="n">
        <f aca="false">D94-INDEX(Assumptions!$C$163:$E$163,$B$3)</f>
        <v>-289310.77789986</v>
      </c>
      <c r="E96" s="8" t="n">
        <f aca="false">E94-INDEX(Assumptions!$C$163:$E$163,$B$3)</f>
        <v>-409024.394880143</v>
      </c>
      <c r="F96" s="8" t="n">
        <f aca="false">F94-INDEX(Assumptions!$C$163:$E$163,$B$3)</f>
        <v>-210203.961784926</v>
      </c>
      <c r="G96" s="8" t="n">
        <f aca="false">G94-INDEX(Assumptions!$C$163:$E$163,$B$3)</f>
        <v>-187032.089147751</v>
      </c>
      <c r="H96" s="8" t="n">
        <f aca="false">H94-INDEX(Assumptions!$C$163:$E$163,$B$3)</f>
        <v>-213570.993062002</v>
      </c>
      <c r="I96" s="8" t="n">
        <f aca="false">I94-INDEX(Assumptions!$C$163:$E$163,$B$3)</f>
        <v>52450.8805285675</v>
      </c>
      <c r="J96" s="8" t="n">
        <f aca="false">J94-INDEX(Assumptions!$C$163:$E$163,$B$3)</f>
        <v>84688.3030727999</v>
      </c>
      <c r="K96" s="8" t="n">
        <f aca="false">K94-INDEX(Assumptions!$C$163:$E$163,$B$3)</f>
        <v>-115340.333559811</v>
      </c>
      <c r="L96" s="8" t="n">
        <f aca="false">L94-INDEX(Assumptions!$C$163:$E$163,$B$3)</f>
        <v>-27353.1936663275</v>
      </c>
      <c r="M96" s="8" t="n">
        <f aca="false">M94-INDEX(Assumptions!$C$163:$E$163,$B$3)</f>
        <v>-6075.45965108171</v>
      </c>
      <c r="N96" s="8" t="n">
        <f aca="false">N94-INDEX(Assumptions!$C$163:$E$163,$B$3)</f>
        <v>-11585.3424566311</v>
      </c>
      <c r="O96" s="37" t="n">
        <f aca="false">SUM(C96:N96)</f>
        <v>-1634526.13372744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-35227.1186440678</v>
      </c>
      <c r="D104" s="8" t="n">
        <f aca="false">((D60+IF(INDEX(Assumptions!$C$87:$E$87,$B$3)&gt;=2,C60,0)+IF(INDEX(Assumptions!$C$87:$E$87,$B$3)&gt;=3,0,0))/INDEX(Assumptions!$C$87:$E$87,$B$3))-D60</f>
        <v>-14856.4322033898</v>
      </c>
      <c r="E104" s="8" t="n">
        <f aca="false">((E60+IF(INDEX(Assumptions!$C$87:$E$87,$B$3)&gt;=2,D60,0)+IF(INDEX(Assumptions!$C$87:$E$87,$B$3)&gt;=3,C60,0))/INDEX(Assumptions!$C$87:$E$87,$B$3))-E60</f>
        <v>-13812.8923728814</v>
      </c>
      <c r="F104" s="8" t="n">
        <f aca="false">((F60+IF(INDEX(Assumptions!$C$87:$E$87,$B$3)&gt;=2,E60,0)+IF(INDEX(Assumptions!$C$87:$E$87,$B$3)&gt;=3,D60,0))/INDEX(Assumptions!$C$87:$E$87,$B$3))-F60</f>
        <v>-27033.0483050847</v>
      </c>
      <c r="G104" s="8" t="n">
        <f aca="false">((G60+IF(INDEX(Assumptions!$C$87:$E$87,$B$3)&gt;=2,F60,0)+IF(INDEX(Assumptions!$C$87:$E$87,$B$3)&gt;=3,E60,0))/INDEX(Assumptions!$C$87:$E$87,$B$3))-G60</f>
        <v>-32050.1694915255</v>
      </c>
      <c r="H104" s="8" t="n">
        <f aca="false">((H60+IF(INDEX(Assumptions!$C$87:$E$87,$B$3)&gt;=2,G60,0)+IF(INDEX(Assumptions!$C$87:$E$87,$B$3)&gt;=3,F60,0))/INDEX(Assumptions!$C$87:$E$87,$B$3))-H60</f>
        <v>17278.1777888093</v>
      </c>
      <c r="I104" s="8" t="n">
        <f aca="false">((I60+IF(INDEX(Assumptions!$C$87:$E$87,$B$3)&gt;=2,H60,0)+IF(INDEX(Assumptions!$C$87:$E$87,$B$3)&gt;=3,G60,0))/INDEX(Assumptions!$C$87:$E$87,$B$3))-I60</f>
        <v>-185606.702361535</v>
      </c>
      <c r="J104" s="8" t="n">
        <f aca="false">((J60+IF(INDEX(Assumptions!$C$87:$E$87,$B$3)&gt;=2,I60,0)+IF(INDEX(Assumptions!$C$87:$E$87,$B$3)&gt;=3,H60,0))/INDEX(Assumptions!$C$87:$E$87,$B$3))-J60</f>
        <v>-10761.1649098945</v>
      </c>
      <c r="K104" s="8" t="n">
        <f aca="false">((K60+IF(INDEX(Assumptions!$C$87:$E$87,$B$3)&gt;=2,J60,0)+IF(INDEX(Assumptions!$C$87:$E$87,$B$3)&gt;=3,I60,0))/INDEX(Assumptions!$C$87:$E$87,$B$3))-K60</f>
        <v>110665.952515414</v>
      </c>
      <c r="L104" s="8" t="n">
        <f aca="false">((L60+IF(INDEX(Assumptions!$C$87:$E$87,$B$3)&gt;=2,K60,0)+IF(INDEX(Assumptions!$C$87:$E$87,$B$3)&gt;=3,J60,0))/INDEX(Assumptions!$C$87:$E$87,$B$3))-L60</f>
        <v>-47754.8624246315</v>
      </c>
      <c r="M104" s="8" t="n">
        <f aca="false">((M60+IF(INDEX(Assumptions!$C$87:$E$87,$B$3)&gt;=2,L60,0)+IF(INDEX(Assumptions!$C$87:$E$87,$B$3)&gt;=3,K60,0))/INDEX(Assumptions!$C$87:$E$87,$B$3))-M60</f>
        <v>-5534.75312417449</v>
      </c>
      <c r="N104" s="8" t="n">
        <f aca="false">((N60+IF(INDEX(Assumptions!$C$87:$E$87,$B$3)&gt;=2,M60,0)+IF(INDEX(Assumptions!$C$87:$E$87,$B$3)&gt;=3,L60,0))/INDEX(Assumptions!$C$87:$E$87,$B$3))-N60</f>
        <v>10751.996583808</v>
      </c>
      <c r="O104" s="37" t="n">
        <f aca="false">SUM(C104:N104)</f>
        <v>-233941.016949153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-412395.889864343</v>
      </c>
      <c r="D105" s="37" t="n">
        <f aca="false">D94+D104-D103</f>
        <v>-229167.210103249</v>
      </c>
      <c r="E105" s="37" t="n">
        <f aca="false">E94+E104-E103</f>
        <v>-347837.287253024</v>
      </c>
      <c r="F105" s="37" t="n">
        <f aca="false">F94+F104-F103</f>
        <v>-162237.01009001</v>
      </c>
      <c r="G105" s="37" t="n">
        <f aca="false">G94+G104-G103</f>
        <v>-144082.258639277</v>
      </c>
      <c r="H105" s="37" t="n">
        <f aca="false">H94+H104-H103</f>
        <v>-1593292.81527319</v>
      </c>
      <c r="I105" s="37" t="n">
        <f aca="false">I94+I104-I103</f>
        <v>-58155.8218329672</v>
      </c>
      <c r="J105" s="37" t="n">
        <f aca="false">J94+J104-J103</f>
        <v>-201072.861837095</v>
      </c>
      <c r="K105" s="37" t="n">
        <f aca="false">K94+K104-K103</f>
        <v>70325.6189556035</v>
      </c>
      <c r="L105" s="37" t="n">
        <f aca="false">L94+L104-L103</f>
        <v>-108.056090958999</v>
      </c>
      <c r="M105" s="37" t="n">
        <f aca="false">M94+M104-M103</f>
        <v>63389.7872247438</v>
      </c>
      <c r="N105" s="37" t="n">
        <f aca="false">N94+N104-N103</f>
        <v>74166.6541271769</v>
      </c>
      <c r="O105" s="31" t="n">
        <f aca="false">SUM(C105:N105)</f>
        <v>-2940467.15067659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-412395.889864343</v>
      </c>
      <c r="D106" s="37" t="n">
        <f aca="false">C106+D105</f>
        <v>-641563.099967593</v>
      </c>
      <c r="E106" s="37" t="n">
        <f aca="false">D106+E105</f>
        <v>-989400.387220617</v>
      </c>
      <c r="F106" s="37" t="n">
        <f aca="false">E106+F105</f>
        <v>-1151637.39731063</v>
      </c>
      <c r="G106" s="37" t="n">
        <f aca="false">F106+G105</f>
        <v>-1295719.6559499</v>
      </c>
      <c r="H106" s="37" t="n">
        <f aca="false">G106+H105</f>
        <v>-2889012.4712231</v>
      </c>
      <c r="I106" s="37" t="n">
        <f aca="false">H106+I105</f>
        <v>-2947168.29305606</v>
      </c>
      <c r="J106" s="37" t="n">
        <f aca="false">I106+J105</f>
        <v>-3148241.15489316</v>
      </c>
      <c r="K106" s="37" t="n">
        <f aca="false">J106+K105</f>
        <v>-3077915.53593756</v>
      </c>
      <c r="L106" s="37" t="n">
        <f aca="false">K106+L105</f>
        <v>-3078023.59202851</v>
      </c>
      <c r="M106" s="37" t="n">
        <f aca="false">L106+M105</f>
        <v>-3014633.80480377</v>
      </c>
      <c r="N106" s="37" t="n">
        <f aca="false">M106+N105</f>
        <v>-2940467.15067659</v>
      </c>
      <c r="O106" s="31" t="n">
        <f aca="false">N106</f>
        <v>-2940467.15067659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412395.889864343</v>
      </c>
      <c r="D107" s="37" t="n">
        <f aca="false">-MIN(0,MIN($C$106:D106))</f>
        <v>641563.099967593</v>
      </c>
      <c r="E107" s="37" t="n">
        <f aca="false">-MIN(0,MIN($C$106:E106))</f>
        <v>989400.387220617</v>
      </c>
      <c r="F107" s="37" t="n">
        <f aca="false">-MIN(0,MIN($C$106:F106))</f>
        <v>1151637.39731063</v>
      </c>
      <c r="G107" s="37" t="n">
        <f aca="false">-MIN(0,MIN($C$106:G106))</f>
        <v>1295719.6559499</v>
      </c>
      <c r="H107" s="37" t="n">
        <f aca="false">-MIN(0,MIN($C$106:H106))</f>
        <v>2889012.4712231</v>
      </c>
      <c r="I107" s="37" t="n">
        <f aca="false">-MIN(0,MIN($C$106:I106))</f>
        <v>2947168.29305606</v>
      </c>
      <c r="J107" s="37" t="n">
        <f aca="false">-MIN(0,MIN($C$106:J106))</f>
        <v>3148241.15489316</v>
      </c>
      <c r="K107" s="37" t="n">
        <f aca="false">-MIN(0,MIN($C$106:K106))</f>
        <v>3148241.15489316</v>
      </c>
      <c r="L107" s="37" t="n">
        <f aca="false">-MIN(0,MIN($C$106:L106))</f>
        <v>3148241.15489316</v>
      </c>
      <c r="M107" s="37" t="n">
        <f aca="false">-MIN(0,MIN($C$106:M106))</f>
        <v>3148241.15489316</v>
      </c>
      <c r="N107" s="37" t="n">
        <f aca="false">-MIN(0,MIN($C$106:N106))</f>
        <v>3148241.15489316</v>
      </c>
      <c r="O107" s="31" t="n">
        <f aca="false">MAX(C107:N107)</f>
        <v>3148241.15489316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0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5802323.05771544</v>
      </c>
    </row>
    <row r="112" customFormat="false" ht="15" hidden="false" customHeight="false" outlineLevel="0" collapsed="false">
      <c r="A112" s="3" t="s">
        <v>28</v>
      </c>
      <c r="B112" s="31" t="n">
        <f aca="false">O94</f>
        <v>-734526.133727441</v>
      </c>
    </row>
    <row r="113" customFormat="false" ht="15" hidden="false" customHeight="false" outlineLevel="0" collapsed="false">
      <c r="A113" s="3" t="s">
        <v>29</v>
      </c>
      <c r="B113" s="30" t="n">
        <f aca="false">O95</f>
        <v>-0.126591733418002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-1634526.13372744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3148241.15489316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-148241.154893159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38960.2653898305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188745.003645064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8.37232480557174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100.467897666861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0.198178142042706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0.524379884567544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21.9286043418158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179986.00422596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-2940467.15067659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1219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1.15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69000</v>
      </c>
      <c r="D46" s="8" t="n">
        <f aca="false">IF(2&gt;=INDEX(Assumptions!$C$105:$E$105,$B$3),INDEX(Assumptions!$C$20:$E$20,$B$3),INDEX(Assumptions!$C$10:$E$10,$B$3))*$H$3</f>
        <v>69000</v>
      </c>
      <c r="E46" s="8" t="n">
        <f aca="false">IF(3&gt;=INDEX(Assumptions!$C$105:$E$105,$B$3),INDEX(Assumptions!$C$20:$E$20,$B$3),INDEX(Assumptions!$C$10:$E$10,$B$3))*$H$3</f>
        <v>69000</v>
      </c>
      <c r="F46" s="8" t="n">
        <f aca="false">IF(4&gt;=INDEX(Assumptions!$C$105:$E$105,$B$3),INDEX(Assumptions!$C$20:$E$20,$B$3),INDEX(Assumptions!$C$10:$E$10,$B$3))*$H$3</f>
        <v>69000</v>
      </c>
      <c r="G46" s="8" t="n">
        <f aca="false">IF(5&gt;=INDEX(Assumptions!$C$105:$E$105,$B$3),INDEX(Assumptions!$C$20:$E$20,$B$3),INDEX(Assumptions!$C$10:$E$10,$B$3))*$H$3</f>
        <v>69000</v>
      </c>
      <c r="H46" s="8" t="n">
        <f aca="false">IF(6&gt;=INDEX(Assumptions!$C$105:$E$105,$B$3),INDEX(Assumptions!$C$20:$E$20,$B$3),INDEX(Assumptions!$C$10:$E$10,$B$3))*$H$3</f>
        <v>69000</v>
      </c>
      <c r="I46" s="8" t="n">
        <f aca="false">IF(7&gt;=INDEX(Assumptions!$C$105:$E$105,$B$3),INDEX(Assumptions!$C$20:$E$20,$B$3),INDEX(Assumptions!$C$10:$E$10,$B$3))*$H$3</f>
        <v>92000</v>
      </c>
      <c r="J46" s="8" t="n">
        <f aca="false">IF(8&gt;=INDEX(Assumptions!$C$105:$E$105,$B$3),INDEX(Assumptions!$C$20:$E$20,$B$3),INDEX(Assumptions!$C$10:$E$10,$B$3))*$H$3</f>
        <v>92000</v>
      </c>
      <c r="K46" s="8" t="n">
        <f aca="false">IF(9&gt;=INDEX(Assumptions!$C$105:$E$105,$B$3),INDEX(Assumptions!$C$20:$E$20,$B$3),INDEX(Assumptions!$C$10:$E$10,$B$3))*$H$3</f>
        <v>92000</v>
      </c>
      <c r="L46" s="8" t="n">
        <f aca="false">IF(10&gt;=INDEX(Assumptions!$C$105:$E$105,$B$3),INDEX(Assumptions!$C$20:$E$20,$B$3),INDEX(Assumptions!$C$10:$E$10,$B$3))*$H$3</f>
        <v>92000</v>
      </c>
      <c r="M46" s="8" t="n">
        <f aca="false">IF(11&gt;=INDEX(Assumptions!$C$105:$E$105,$B$3),INDEX(Assumptions!$C$20:$E$20,$B$3),INDEX(Assumptions!$C$10:$E$10,$B$3))*$H$3</f>
        <v>92000</v>
      </c>
      <c r="N46" s="8" t="n">
        <f aca="false">IF(12&gt;=INDEX(Assumptions!$C$105:$E$105,$B$3),INDEX(Assumptions!$C$20:$E$20,$B$3),INDEX(Assumptions!$C$10:$E$10,$B$3))*$H$3</f>
        <v>92000</v>
      </c>
      <c r="O46" s="37" t="n">
        <f aca="false">AVERAGE(C46:N46)</f>
        <v>80500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70169.4915254237</v>
      </c>
      <c r="D49" s="8" t="n">
        <f aca="false">D29*D46/(1+INDEX(Assumptions!$C$15:$E$15,$B$3)*$H$4)</f>
        <v>96504.9788135593</v>
      </c>
      <c r="E49" s="8" t="n">
        <f aca="false">E29*E46/(1+INDEX(Assumptions!$C$15:$E$15,$B$3)*$H$4)</f>
        <v>122796.610169492</v>
      </c>
      <c r="F49" s="8" t="n">
        <f aca="false">F29*F46/(1+INDEX(Assumptions!$C$15:$E$15,$B$3)*$H$4)</f>
        <v>175423.728813559</v>
      </c>
      <c r="G49" s="8" t="n">
        <f aca="false">G29*G46/(1+INDEX(Assumptions!$C$15:$E$15,$B$3)*$H$4)</f>
        <v>236822.033898305</v>
      </c>
      <c r="H49" s="8" t="n">
        <f aca="false">H29*H46/(1+INDEX(Assumptions!$C$15:$E$15,$B$3)*$H$4)</f>
        <v>203269.493298348</v>
      </c>
      <c r="I49" s="8" t="n">
        <f aca="false">I29*I46/(1+INDEX(Assumptions!$C$15:$E$15,$B$3)*$H$4)</f>
        <v>608135.593220339</v>
      </c>
      <c r="J49" s="8" t="n">
        <f aca="false">J29*J46/(1+INDEX(Assumptions!$C$15:$E$15,$B$3)*$H$4)</f>
        <v>607716.497318294</v>
      </c>
      <c r="K49" s="8" t="n">
        <f aca="false">K29*K46/(1+INDEX(Assumptions!$C$15:$E$15,$B$3)*$H$4)</f>
        <v>383023.114274377</v>
      </c>
      <c r="L49" s="8" t="n">
        <f aca="false">L29*L46/(1+INDEX(Assumptions!$C$15:$E$15,$B$3)*$H$4)</f>
        <v>366482.406762133</v>
      </c>
      <c r="M49" s="8" t="n">
        <f aca="false">M29*M46/(1+INDEX(Assumptions!$C$15:$E$15,$B$3)*$H$4)</f>
        <v>368389.830508475</v>
      </c>
      <c r="N49" s="8" t="n">
        <f aca="false">N29*N46/(1+INDEX(Assumptions!$C$15:$E$15,$B$3)*$H$4)</f>
        <v>350847.457627119</v>
      </c>
      <c r="O49" s="37" t="n">
        <f aca="false">SUM(C49:N49)</f>
        <v>3589581.23622942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122160.802254044</v>
      </c>
      <c r="M50" s="8" t="n">
        <f aca="false">M30*M46/(1+INDEX(Assumptions!$C$15:$E$15,$B$3)*$H$4)</f>
        <v>122796.610169492</v>
      </c>
      <c r="N50" s="8" t="n">
        <f aca="false">N30*N46/(1+INDEX(Assumptions!$C$15:$E$15,$B$3)*$H$4)</f>
        <v>116949.152542373</v>
      </c>
      <c r="O50" s="37" t="n">
        <f aca="false">SUM(C50:N50)</f>
        <v>361906.564965909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4701.35593220339</v>
      </c>
      <c r="E51" s="8" t="n">
        <f aca="false">E32*MAX(0,E46-INDEX(Assumptions!$C$18:$E$18,$B$3)*$H$3)/(1+INDEX(Assumptions!$C$15:$E$15,$B$3)*$H$4)</f>
        <v>6465.83358050847</v>
      </c>
      <c r="F51" s="8" t="n">
        <f aca="false">F32*MAX(0,F46-INDEX(Assumptions!$C$18:$E$18,$B$3)*$H$3)/(1+INDEX(Assumptions!$C$15:$E$15,$B$3)*$H$4)</f>
        <v>8227.37288135593</v>
      </c>
      <c r="G51" s="8" t="n">
        <f aca="false">G32*MAX(0,G46-INDEX(Assumptions!$C$18:$E$18,$B$3)*$H$3)/(1+INDEX(Assumptions!$C$15:$E$15,$B$3)*$H$4)</f>
        <v>11753.3898305085</v>
      </c>
      <c r="H51" s="8" t="n">
        <f aca="false">H32*MAX(0,H46-INDEX(Assumptions!$C$18:$E$18,$B$3)*$H$3)/(1+INDEX(Assumptions!$C$15:$E$15,$B$3)*$H$4)</f>
        <v>10506.1289536203</v>
      </c>
      <c r="I51" s="8" t="n">
        <f aca="false">I32*MAX(0,I46-INDEX(Assumptions!$C$18:$E$18,$B$3)*$H$3)/(1+INDEX(Assumptions!$C$15:$E$15,$B$3)*$H$4)</f>
        <v>27170.3556042125</v>
      </c>
      <c r="J51" s="8" t="n">
        <f aca="false">J32*MAX(0,J46-INDEX(Assumptions!$C$18:$E$18,$B$3)*$H$3)/(1+INDEX(Assumptions!$C$15:$E$15,$B$3)*$H$4)</f>
        <v>58667.1500096346</v>
      </c>
      <c r="K51" s="8" t="n">
        <f aca="false">K32*MAX(0,K46-INDEX(Assumptions!$C$18:$E$18,$B$3)*$H$3)/(1+INDEX(Assumptions!$C$15:$E$15,$B$3)*$H$4)</f>
        <v>39906.4694338368</v>
      </c>
      <c r="L51" s="8" t="n">
        <f aca="false">L32*MAX(0,L46-INDEX(Assumptions!$C$18:$E$18,$B$3)*$H$3)/(1+INDEX(Assumptions!$C$15:$E$15,$B$3)*$H$4)</f>
        <v>36462.9226612037</v>
      </c>
      <c r="M51" s="8" t="n">
        <f aca="false">M32*MAX(0,M46-INDEX(Assumptions!$C$18:$E$18,$B$3)*$H$3)/(1+INDEX(Assumptions!$C$15:$E$15,$B$3)*$H$4)</f>
        <v>48986.4817038718</v>
      </c>
      <c r="N51" s="8" t="n">
        <f aca="false">N32*MAX(0,N46-INDEX(Assumptions!$C$18:$E$18,$B$3)*$H$3)/(1+INDEX(Assumptions!$C$15:$E$15,$B$3)*$H$4)</f>
        <v>49241.4406779661</v>
      </c>
      <c r="O51" s="37" t="n">
        <f aca="false">SUM(C51:N51)</f>
        <v>302088.901268922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31108.4745762712</v>
      </c>
      <c r="D52" s="8" t="n">
        <f aca="false">D31*INDEX(Assumptions!$C$18:$E$18,$B$3)*$H$3/(1+INDEX(Assumptions!$C$15:$E$15,$B$3)*$H$4)</f>
        <v>42783.873940678</v>
      </c>
      <c r="E52" s="8" t="n">
        <f aca="false">E31*INDEX(Assumptions!$C$18:$E$18,$B$3)*$H$3/(1+INDEX(Assumptions!$C$15:$E$15,$B$3)*$H$4)</f>
        <v>54439.8305084746</v>
      </c>
      <c r="F52" s="8" t="n">
        <f aca="false">F31*INDEX(Assumptions!$C$18:$E$18,$B$3)*$H$3/(1+INDEX(Assumptions!$C$15:$E$15,$B$3)*$H$4)</f>
        <v>77771.186440678</v>
      </c>
      <c r="G52" s="8" t="n">
        <f aca="false">G31*INDEX(Assumptions!$C$18:$E$18,$B$3)*$H$3/(1+INDEX(Assumptions!$C$15:$E$15,$B$3)*$H$4)</f>
        <v>104991.101694915</v>
      </c>
      <c r="H52" s="8" t="n">
        <f aca="false">H31*INDEX(Assumptions!$C$18:$E$18,$B$3)*$H$3/(1+INDEX(Assumptions!$C$15:$E$15,$B$3)*$H$4)</f>
        <v>90116.1420289341</v>
      </c>
      <c r="I52" s="8" t="n">
        <f aca="false">I31*INDEX(Assumptions!$C$18:$E$18,$B$3)*$H$3/(1+INDEX(Assumptions!$C$15:$E$15,$B$3)*$H$4)</f>
        <v>202205.084745763</v>
      </c>
      <c r="J52" s="8" t="n">
        <f aca="false">J31*INDEX(Assumptions!$C$18:$E$18,$B$3)*$H$3/(1+INDEX(Assumptions!$C$15:$E$15,$B$3)*$H$4)</f>
        <v>202065.735358333</v>
      </c>
      <c r="K52" s="8" t="n">
        <f aca="false">K31*INDEX(Assumptions!$C$18:$E$18,$B$3)*$H$3/(1+INDEX(Assumptions!$C$15:$E$15,$B$3)*$H$4)</f>
        <v>127355.18549623</v>
      </c>
      <c r="L52" s="8" t="n">
        <f aca="false">L31*INDEX(Assumptions!$C$18:$E$18,$B$3)*$H$3/(1+INDEX(Assumptions!$C$15:$E$15,$B$3)*$H$4)</f>
        <v>162473.866997879</v>
      </c>
      <c r="M52" s="8" t="n">
        <f aca="false">M31*INDEX(Assumptions!$C$18:$E$18,$B$3)*$H$3/(1+INDEX(Assumptions!$C$15:$E$15,$B$3)*$H$4)</f>
        <v>163319.491525424</v>
      </c>
      <c r="N52" s="8" t="n">
        <f aca="false">N31*INDEX(Assumptions!$C$18:$E$18,$B$3)*$H$3/(1+INDEX(Assumptions!$C$15:$E$15,$B$3)*$H$4)</f>
        <v>155542.372881356</v>
      </c>
      <c r="O52" s="37" t="n">
        <f aca="false">SUM(C52:N52)</f>
        <v>1414172.34619494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33135.593220339</v>
      </c>
      <c r="F54" s="8" t="n">
        <f aca="false">F39*INDEX(Assumptions!$C$21:$E$21,$B$3)*$H$3/(1+INDEX(Assumptions!$C$15:$E$15,$B$3)*$H$4)</f>
        <v>66271.186440678</v>
      </c>
      <c r="G54" s="8" t="n">
        <f aca="false">G39*INDEX(Assumptions!$C$21:$E$21,$B$3)*$H$3/(1+INDEX(Assumptions!$C$15:$E$15,$B$3)*$H$4)</f>
        <v>99406.779661017</v>
      </c>
      <c r="H54" s="8" t="n">
        <f aca="false">H39*INDEX(Assumptions!$C$21:$E$21,$B$3)*$H$3/(1+INDEX(Assumptions!$C$15:$E$15,$B$3)*$H$4)</f>
        <v>132542.372881356</v>
      </c>
      <c r="I54" s="8" t="n">
        <f aca="false">I39*INDEX(Assumptions!$C$21:$E$21,$B$3)*$H$3/(1+INDEX(Assumptions!$C$15:$E$15,$B$3)*$H$4)</f>
        <v>165677.966101695</v>
      </c>
      <c r="J54" s="8" t="n">
        <f aca="false">J39*INDEX(Assumptions!$C$21:$E$21,$B$3)*$H$3/(1+INDEX(Assumptions!$C$15:$E$15,$B$3)*$H$4)</f>
        <v>198813.559322034</v>
      </c>
      <c r="K54" s="8" t="n">
        <f aca="false">K39*INDEX(Assumptions!$C$21:$E$21,$B$3)*$H$3/(1+INDEX(Assumptions!$C$15:$E$15,$B$3)*$H$4)</f>
        <v>198813.559322034</v>
      </c>
      <c r="L54" s="8" t="n">
        <f aca="false">L39*INDEX(Assumptions!$C$21:$E$21,$B$3)*$H$3/(1+INDEX(Assumptions!$C$15:$E$15,$B$3)*$H$4)</f>
        <v>198813.559322034</v>
      </c>
      <c r="M54" s="8" t="n">
        <f aca="false">M39*INDEX(Assumptions!$C$21:$E$21,$B$3)*$H$3/(1+INDEX(Assumptions!$C$15:$E$15,$B$3)*$H$4)</f>
        <v>198813.559322034</v>
      </c>
      <c r="N54" s="8" t="n">
        <f aca="false">N39*INDEX(Assumptions!$C$21:$E$21,$B$3)*$H$3/(1+INDEX(Assumptions!$C$15:$E$15,$B$3)*$H$4)</f>
        <v>198813.559322034</v>
      </c>
      <c r="O54" s="37" t="n">
        <f aca="false">SUM(C54:N54)</f>
        <v>1491101.69491525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34103.3474576271</v>
      </c>
      <c r="D55" s="8" t="n">
        <f aca="false">D40*INDEX(Assumptions!$C$22:$E$22,$B$3)*$H$3/(1+INDEX(Assumptions!$C$15:$E$15,$B$3)*$H$4)</f>
        <v>58462.8813559322</v>
      </c>
      <c r="E55" s="8" t="n">
        <f aca="false">E40*INDEX(Assumptions!$C$22:$E$22,$B$3)*$H$3/(1+INDEX(Assumptions!$C$15:$E$15,$B$3)*$H$4)</f>
        <v>87694.3220338983</v>
      </c>
      <c r="F55" s="8" t="n">
        <f aca="false">F40*INDEX(Assumptions!$C$22:$E$22,$B$3)*$H$3/(1+INDEX(Assumptions!$C$15:$E$15,$B$3)*$H$4)</f>
        <v>95002.1822033898</v>
      </c>
      <c r="G55" s="8" t="n">
        <f aca="false">G40*INDEX(Assumptions!$C$22:$E$22,$B$3)*$H$3/(1+INDEX(Assumptions!$C$15:$E$15,$B$3)*$H$4)</f>
        <v>65770.7415254237</v>
      </c>
      <c r="H55" s="8" t="n">
        <f aca="false">H40*INDEX(Assumptions!$C$22:$E$22,$B$3)*$H$3/(1+INDEX(Assumptions!$C$15:$E$15,$B$3)*$H$4)</f>
        <v>58462.8813559322</v>
      </c>
      <c r="I55" s="8" t="n">
        <f aca="false">I40*INDEX(Assumptions!$C$22:$E$22,$B$3)*$H$3/(1+INDEX(Assumptions!$C$15:$E$15,$B$3)*$H$4)</f>
        <v>51155.0211864407</v>
      </c>
      <c r="J55" s="8" t="n">
        <f aca="false">J40*INDEX(Assumptions!$C$22:$E$22,$B$3)*$H$3/(1+INDEX(Assumptions!$C$15:$E$15,$B$3)*$H$4)</f>
        <v>43847.1610169492</v>
      </c>
      <c r="K55" s="8" t="n">
        <f aca="false">K40*INDEX(Assumptions!$C$22:$E$22,$B$3)*$H$3/(1+INDEX(Assumptions!$C$15:$E$15,$B$3)*$H$4)</f>
        <v>43847.1610169492</v>
      </c>
      <c r="L55" s="8" t="n">
        <f aca="false">L40*INDEX(Assumptions!$C$22:$E$22,$B$3)*$H$3/(1+INDEX(Assumptions!$C$15:$E$15,$B$3)*$H$4)</f>
        <v>58462.8813559322</v>
      </c>
      <c r="M55" s="8" t="n">
        <f aca="false">M40*INDEX(Assumptions!$C$22:$E$22,$B$3)*$H$3/(1+INDEX(Assumptions!$C$15:$E$15,$B$3)*$H$4)</f>
        <v>80386.4618644068</v>
      </c>
      <c r="N55" s="8" t="n">
        <f aca="false">N40*INDEX(Assumptions!$C$22:$E$22,$B$3)*$H$3/(1+INDEX(Assumptions!$C$15:$E$15,$B$3)*$H$4)</f>
        <v>102310.042372881</v>
      </c>
      <c r="O55" s="37" t="n">
        <f aca="false">SUM(C55:N55)</f>
        <v>779505.084745763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136800.378334976</v>
      </c>
      <c r="D59" s="37" t="n">
        <f aca="false">SUM(D49:D58)</f>
        <v>204404.74756664</v>
      </c>
      <c r="E59" s="37" t="n">
        <f aca="false">SUM(E49:E58)</f>
        <v>309032.300327734</v>
      </c>
      <c r="F59" s="37" t="n">
        <f aca="false">SUM(F49:F58)</f>
        <v>430276.813634051</v>
      </c>
      <c r="G59" s="37" t="n">
        <f aca="false">SUM(G49:G58)</f>
        <v>529583.632600884</v>
      </c>
      <c r="H59" s="37" t="n">
        <f aca="false">SUM(H49:H58)</f>
        <v>509172.416742186</v>
      </c>
      <c r="I59" s="37" t="n">
        <f aca="false">SUM(I49:I58)</f>
        <v>1081139.67918834</v>
      </c>
      <c r="J59" s="37" t="n">
        <f aca="false">SUM(J49:J58)</f>
        <v>1140272.11466061</v>
      </c>
      <c r="K59" s="37" t="n">
        <f aca="false">SUM(K49:K58)</f>
        <v>838956.733125082</v>
      </c>
      <c r="L59" s="37" t="n">
        <f aca="false">SUM(L49:L58)</f>
        <v>991103.889171874</v>
      </c>
      <c r="M59" s="37" t="n">
        <f aca="false">SUM(M49:M58)</f>
        <v>1028616.43364046</v>
      </c>
      <c r="N59" s="37" t="n">
        <f aca="false">SUM(N49:N58)</f>
        <v>1018985.25777658</v>
      </c>
      <c r="O59" s="31" t="n">
        <f aca="false">SUM(C59:N59)</f>
        <v>8218344.39676942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101277.966101695</v>
      </c>
      <c r="D60" s="8" t="n">
        <f aca="false">D49+D50+D51+D52</f>
        <v>143990.208686441</v>
      </c>
      <c r="E60" s="8" t="n">
        <f aca="false">E49+E50+E51+E52</f>
        <v>183702.274258475</v>
      </c>
      <c r="F60" s="8" t="n">
        <f aca="false">F49+F50+F51+F52</f>
        <v>261422.288135593</v>
      </c>
      <c r="G60" s="8" t="n">
        <f aca="false">G49+G50+G51+G52</f>
        <v>353566.525423729</v>
      </c>
      <c r="H60" s="8" t="n">
        <f aca="false">H49+H50+H51+H52</f>
        <v>303891.764280902</v>
      </c>
      <c r="I60" s="8" t="n">
        <f aca="false">I49+I50+I51+I52</f>
        <v>837511.033570314</v>
      </c>
      <c r="J60" s="8" t="n">
        <f aca="false">J49+J50+J51+J52</f>
        <v>868449.382686261</v>
      </c>
      <c r="K60" s="8" t="n">
        <f aca="false">K49+K50+K51+K52</f>
        <v>550284.769204444</v>
      </c>
      <c r="L60" s="8" t="n">
        <f aca="false">L49+L50+L51+L52</f>
        <v>687579.99867526</v>
      </c>
      <c r="M60" s="8" t="n">
        <f aca="false">M49+M50+M51+M52</f>
        <v>703492.413907262</v>
      </c>
      <c r="N60" s="8" t="n">
        <f aca="false">N49+N50+N51+N52</f>
        <v>672580.423728814</v>
      </c>
      <c r="O60" s="37" t="n">
        <f aca="false">SUM(C60:N60)</f>
        <v>5667749.04865919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4677.48892870544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6913.8628550727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9962.43175117202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13946.9280517636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17631.2562293809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16430.9356346187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38633.9642720718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40671.2442233121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28532.8748053266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34233.4934035941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35429.9186810999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34724.8878335272</v>
      </c>
      <c r="O68" s="37" t="n">
        <f aca="false">SUM(C68:N68)</f>
        <v>281789.286669645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32346.5320806754</v>
      </c>
      <c r="D70" s="37" t="n">
        <f aca="false">SUM(D62:D69)</f>
        <v>47356.5687650164</v>
      </c>
      <c r="E70" s="37" t="n">
        <f aca="false">SUM(E62:E69)</f>
        <v>66539.7072671195</v>
      </c>
      <c r="F70" s="37" t="n">
        <f aca="false">SUM(F62:F69)</f>
        <v>94191.5359316886</v>
      </c>
      <c r="G70" s="37" t="n">
        <f aca="false">SUM(G62:G69)</f>
        <v>122192.27686728</v>
      </c>
      <c r="H70" s="37" t="n">
        <f aca="false">SUM(H62:H69)</f>
        <v>112687.763022814</v>
      </c>
      <c r="I70" s="37" t="n">
        <f aca="false">SUM(I62:I69)</f>
        <v>134434.188274521</v>
      </c>
      <c r="J70" s="37" t="n">
        <f aca="false">SUM(J62:J69)</f>
        <v>144655.612634084</v>
      </c>
      <c r="K70" s="37" t="n">
        <f aca="false">SUM(K62:K69)</f>
        <v>131386.268397659</v>
      </c>
      <c r="L70" s="37" t="n">
        <f aca="false">SUM(L62:L69)</f>
        <v>151045.791518312</v>
      </c>
      <c r="M70" s="37" t="n">
        <f aca="false">SUM(M62:M69)</f>
        <v>156131.751576409</v>
      </c>
      <c r="N70" s="37" t="n">
        <f aca="false">SUM(N62:N69)</f>
        <v>154536.103593377</v>
      </c>
      <c r="O70" s="31" t="n">
        <f aca="false">SUM(C70:N70)</f>
        <v>1347504.09992895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104453.846254301</v>
      </c>
      <c r="D71" s="37" t="n">
        <f aca="false">D59-D70</f>
        <v>157048.178801624</v>
      </c>
      <c r="E71" s="37" t="n">
        <f aca="false">E59-E70</f>
        <v>242492.593060614</v>
      </c>
      <c r="F71" s="37" t="n">
        <f aca="false">F59-F70</f>
        <v>336085.277702362</v>
      </c>
      <c r="G71" s="37" t="n">
        <f aca="false">G59-G70</f>
        <v>407391.355733605</v>
      </c>
      <c r="H71" s="37" t="n">
        <f aca="false">H59-H70</f>
        <v>396484.653719372</v>
      </c>
      <c r="I71" s="37" t="n">
        <f aca="false">I59-I70</f>
        <v>946705.490913817</v>
      </c>
      <c r="J71" s="37" t="n">
        <f aca="false">J59-J70</f>
        <v>995616.502026525</v>
      </c>
      <c r="K71" s="37" t="n">
        <f aca="false">K59-K70</f>
        <v>707570.464727424</v>
      </c>
      <c r="L71" s="37" t="n">
        <f aca="false">L59-L70</f>
        <v>840058.097653562</v>
      </c>
      <c r="M71" s="37" t="n">
        <f aca="false">M59-M70</f>
        <v>872484.682064055</v>
      </c>
      <c r="N71" s="37" t="n">
        <f aca="false">N59-N70</f>
        <v>864449.154183199</v>
      </c>
      <c r="O71" s="31" t="n">
        <f aca="false">SUM(C71:N71)</f>
        <v>6870840.29684046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0.763549396029665</v>
      </c>
      <c r="D72" s="7" t="n">
        <f aca="false">IFERROR(D71/D59,0)</f>
        <v>0.768319624036241</v>
      </c>
      <c r="E72" s="7" t="n">
        <f aca="false">IFERROR(E71/E59,0)</f>
        <v>0.784683648937173</v>
      </c>
      <c r="F72" s="7" t="n">
        <f aca="false">IFERROR(F71/F59,0)</f>
        <v>0.781090839787156</v>
      </c>
      <c r="G72" s="7" t="n">
        <f aca="false">IFERROR(G71/G59,0)</f>
        <v>0.769267270842246</v>
      </c>
      <c r="H72" s="7" t="n">
        <f aca="false">IFERROR(H71/H59,0)</f>
        <v>0.778684470490726</v>
      </c>
      <c r="I72" s="7" t="n">
        <f aca="false">IFERROR(I71/I59,0)</f>
        <v>0.875655115742818</v>
      </c>
      <c r="J72" s="7" t="n">
        <f aca="false">IFERROR(J71/J59,0)</f>
        <v>0.873139392979772</v>
      </c>
      <c r="K72" s="7" t="n">
        <f aca="false">IFERROR(K71/K59,0)</f>
        <v>0.843393272608649</v>
      </c>
      <c r="L72" s="7" t="n">
        <f aca="false">IFERROR(L71/L59,0)</f>
        <v>0.847598427199676</v>
      </c>
      <c r="M72" s="7" t="n">
        <f aca="false">IFERROR(M71/M59,0)</f>
        <v>0.848211883001101</v>
      </c>
      <c r="N72" s="7" t="n">
        <f aca="false">IFERROR(N71/N59,0)</f>
        <v>0.848343140968914</v>
      </c>
      <c r="O72" s="13" t="n">
        <f aca="false">IFERROR(O71/O59,0)</f>
        <v>0.836037036795556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-187379.153745699</v>
      </c>
      <c r="D94" s="37" t="n">
        <f aca="false">D71-D93</f>
        <v>-154784.821198377</v>
      </c>
      <c r="E94" s="37" t="n">
        <f aca="false">E71-E93</f>
        <v>-244340.406939386</v>
      </c>
      <c r="F94" s="37" t="n">
        <f aca="false">F71-F93</f>
        <v>-10747.7222976376</v>
      </c>
      <c r="G94" s="37" t="n">
        <f aca="false">G71-G93</f>
        <v>40558.3557336045</v>
      </c>
      <c r="H94" s="37" t="n">
        <f aca="false">H71-H93</f>
        <v>7151.65371937235</v>
      </c>
      <c r="I94" s="37" t="n">
        <f aca="false">I71-I93</f>
        <v>436772.490913817</v>
      </c>
      <c r="J94" s="37" t="n">
        <f aca="false">J71-J93</f>
        <v>485683.502026525</v>
      </c>
      <c r="K94" s="37" t="n">
        <f aca="false">K71-K93</f>
        <v>192637.464727424</v>
      </c>
      <c r="L94" s="37" t="n">
        <f aca="false">L71-L93</f>
        <v>325125.097653562</v>
      </c>
      <c r="M94" s="37" t="n">
        <f aca="false">M71-M93</f>
        <v>357551.682064055</v>
      </c>
      <c r="N94" s="37" t="n">
        <f aca="false">N71-N93</f>
        <v>349516.154183199</v>
      </c>
      <c r="O94" s="31" t="n">
        <f aca="false">SUM(C94:N94)</f>
        <v>1597744.29684046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-1.36972686791021</v>
      </c>
      <c r="D95" s="7" t="n">
        <f aca="false">IFERROR(D94/D59,0)</f>
        <v>-0.757246703127155</v>
      </c>
      <c r="E95" s="7" t="n">
        <f aca="false">IFERROR(E94/E59,0)</f>
        <v>-0.790663004094583</v>
      </c>
      <c r="F95" s="7" t="n">
        <f aca="false">IFERROR(F94/F59,0)</f>
        <v>-0.0249786229633524</v>
      </c>
      <c r="G95" s="7" t="n">
        <f aca="false">IFERROR(G94/G59,0)</f>
        <v>0.0765853648731832</v>
      </c>
      <c r="H95" s="7" t="n">
        <f aca="false">IFERROR(H94/H59,0)</f>
        <v>0.0140456424665154</v>
      </c>
      <c r="I95" s="7" t="n">
        <f aca="false">IFERROR(I94/I59,0)</f>
        <v>0.403992656380647</v>
      </c>
      <c r="J95" s="7" t="n">
        <f aca="false">IFERROR(J94/J59,0)</f>
        <v>0.425936489879948</v>
      </c>
      <c r="K95" s="7" t="n">
        <f aca="false">IFERROR(K94/K59,0)</f>
        <v>0.229615494007488</v>
      </c>
      <c r="L95" s="7" t="n">
        <f aca="false">IFERROR(L94/L59,0)</f>
        <v>0.328043408169071</v>
      </c>
      <c r="M95" s="7" t="n">
        <f aca="false">IFERROR(M94/M59,0)</f>
        <v>0.34760448148647</v>
      </c>
      <c r="N95" s="7" t="n">
        <f aca="false">IFERROR(N94/N59,0)</f>
        <v>0.34300413231281</v>
      </c>
      <c r="O95" s="7" t="n">
        <f aca="false">IFERROR(O94/O59,0)</f>
        <v>0.194411942321196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-262379.153745699</v>
      </c>
      <c r="D96" s="8" t="n">
        <f aca="false">D94-INDEX(Assumptions!$C$163:$E$163,$B$3)</f>
        <v>-229784.821198377</v>
      </c>
      <c r="E96" s="8" t="n">
        <f aca="false">E94-INDEX(Assumptions!$C$163:$E$163,$B$3)</f>
        <v>-319340.406939386</v>
      </c>
      <c r="F96" s="8" t="n">
        <f aca="false">F94-INDEX(Assumptions!$C$163:$E$163,$B$3)</f>
        <v>-85747.7222976376</v>
      </c>
      <c r="G96" s="8" t="n">
        <f aca="false">G94-INDEX(Assumptions!$C$163:$E$163,$B$3)</f>
        <v>-34441.6442663955</v>
      </c>
      <c r="H96" s="8" t="n">
        <f aca="false">H94-INDEX(Assumptions!$C$163:$E$163,$B$3)</f>
        <v>-67848.3462806277</v>
      </c>
      <c r="I96" s="8" t="n">
        <f aca="false">I94-INDEX(Assumptions!$C$163:$E$163,$B$3)</f>
        <v>361772.490913817</v>
      </c>
      <c r="J96" s="8" t="n">
        <f aca="false">J94-INDEX(Assumptions!$C$163:$E$163,$B$3)</f>
        <v>410683.502026525</v>
      </c>
      <c r="K96" s="8" t="n">
        <f aca="false">K94-INDEX(Assumptions!$C$163:$E$163,$B$3)</f>
        <v>117637.464727424</v>
      </c>
      <c r="L96" s="8" t="n">
        <f aca="false">L94-INDEX(Assumptions!$C$163:$E$163,$B$3)</f>
        <v>250125.097653562</v>
      </c>
      <c r="M96" s="8" t="n">
        <f aca="false">M94-INDEX(Assumptions!$C$163:$E$163,$B$3)</f>
        <v>282551.682064055</v>
      </c>
      <c r="N96" s="8" t="n">
        <f aca="false">N94-INDEX(Assumptions!$C$163:$E$163,$B$3)</f>
        <v>274516.154183199</v>
      </c>
      <c r="O96" s="37" t="n">
        <f aca="false">SUM(C96:N96)</f>
        <v>697744.296840461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-50638.9830508475</v>
      </c>
      <c r="D104" s="8" t="n">
        <f aca="false">((D60+IF(INDEX(Assumptions!$C$87:$E$87,$B$3)&gt;=2,C60,0)+IF(INDEX(Assumptions!$C$87:$E$87,$B$3)&gt;=3,0,0))/INDEX(Assumptions!$C$87:$E$87,$B$3))-D60</f>
        <v>-21356.1212923729</v>
      </c>
      <c r="E104" s="8" t="n">
        <f aca="false">((E60+IF(INDEX(Assumptions!$C$87:$E$87,$B$3)&gt;=2,D60,0)+IF(INDEX(Assumptions!$C$87:$E$87,$B$3)&gt;=3,C60,0))/INDEX(Assumptions!$C$87:$E$87,$B$3))-E60</f>
        <v>-19856.032786017</v>
      </c>
      <c r="F104" s="8" t="n">
        <f aca="false">((F60+IF(INDEX(Assumptions!$C$87:$E$87,$B$3)&gt;=2,E60,0)+IF(INDEX(Assumptions!$C$87:$E$87,$B$3)&gt;=3,D60,0))/INDEX(Assumptions!$C$87:$E$87,$B$3))-F60</f>
        <v>-38860.0069385593</v>
      </c>
      <c r="G104" s="8" t="n">
        <f aca="false">((G60+IF(INDEX(Assumptions!$C$87:$E$87,$B$3)&gt;=2,F60,0)+IF(INDEX(Assumptions!$C$87:$E$87,$B$3)&gt;=3,E60,0))/INDEX(Assumptions!$C$87:$E$87,$B$3))-G60</f>
        <v>-46072.1186440678</v>
      </c>
      <c r="H104" s="8" t="n">
        <f aca="false">((H60+IF(INDEX(Assumptions!$C$87:$E$87,$B$3)&gt;=2,G60,0)+IF(INDEX(Assumptions!$C$87:$E$87,$B$3)&gt;=3,F60,0))/INDEX(Assumptions!$C$87:$E$87,$B$3))-H60</f>
        <v>24837.3805714133</v>
      </c>
      <c r="I104" s="8" t="n">
        <f aca="false">((I60+IF(INDEX(Assumptions!$C$87:$E$87,$B$3)&gt;=2,H60,0)+IF(INDEX(Assumptions!$C$87:$E$87,$B$3)&gt;=3,G60,0))/INDEX(Assumptions!$C$87:$E$87,$B$3))-I60</f>
        <v>-266809.634644706</v>
      </c>
      <c r="J104" s="8" t="n">
        <f aca="false">((J60+IF(INDEX(Assumptions!$C$87:$E$87,$B$3)&gt;=2,I60,0)+IF(INDEX(Assumptions!$C$87:$E$87,$B$3)&gt;=3,H60,0))/INDEX(Assumptions!$C$87:$E$87,$B$3))-J60</f>
        <v>-15469.1745579733</v>
      </c>
      <c r="K104" s="8" t="n">
        <f aca="false">((K60+IF(INDEX(Assumptions!$C$87:$E$87,$B$3)&gt;=2,J60,0)+IF(INDEX(Assumptions!$C$87:$E$87,$B$3)&gt;=3,I60,0))/INDEX(Assumptions!$C$87:$E$87,$B$3))-K60</f>
        <v>159082.306740908</v>
      </c>
      <c r="L104" s="8" t="n">
        <f aca="false">((L60+IF(INDEX(Assumptions!$C$87:$E$87,$B$3)&gt;=2,K60,0)+IF(INDEX(Assumptions!$C$87:$E$87,$B$3)&gt;=3,J60,0))/INDEX(Assumptions!$C$87:$E$87,$B$3))-L60</f>
        <v>-68647.6147354078</v>
      </c>
      <c r="M104" s="8" t="n">
        <f aca="false">((M60+IF(INDEX(Assumptions!$C$87:$E$87,$B$3)&gt;=2,L60,0)+IF(INDEX(Assumptions!$C$87:$E$87,$B$3)&gt;=3,K60,0))/INDEX(Assumptions!$C$87:$E$87,$B$3))-M60</f>
        <v>-7956.2076160009</v>
      </c>
      <c r="N104" s="8" t="n">
        <f aca="false">((N60+IF(INDEX(Assumptions!$C$87:$E$87,$B$3)&gt;=2,M60,0)+IF(INDEX(Assumptions!$C$87:$E$87,$B$3)&gt;=3,L60,0))/INDEX(Assumptions!$C$87:$E$87,$B$3))-N60</f>
        <v>15455.995089224</v>
      </c>
      <c r="O104" s="37" t="n">
        <f aca="false">SUM(C104:N104)</f>
        <v>-336290.211864407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-388018.136796547</v>
      </c>
      <c r="D105" s="37" t="n">
        <f aca="false">D94+D104-D103</f>
        <v>-176140.942490749</v>
      </c>
      <c r="E105" s="37" t="n">
        <f aca="false">E94+E104-E103</f>
        <v>-264196.439725403</v>
      </c>
      <c r="F105" s="37" t="n">
        <f aca="false">F94+F104-F103</f>
        <v>-49607.7292361969</v>
      </c>
      <c r="G105" s="37" t="n">
        <f aca="false">G94+G104-G103</f>
        <v>-5513.76291046327</v>
      </c>
      <c r="H105" s="37" t="n">
        <f aca="false">H94+H104-H103</f>
        <v>-1440010.96570921</v>
      </c>
      <c r="I105" s="37" t="n">
        <f aca="false">I94+I104-I103</f>
        <v>169962.856269111</v>
      </c>
      <c r="J105" s="37" t="n">
        <f aca="false">J94+J104-J103</f>
        <v>120214.327468552</v>
      </c>
      <c r="K105" s="37" t="n">
        <f aca="false">K94+K104-K103</f>
        <v>351719.771468332</v>
      </c>
      <c r="L105" s="37" t="n">
        <f aca="false">L94+L104-L103</f>
        <v>256477.482918154</v>
      </c>
      <c r="M105" s="37" t="n">
        <f aca="false">M94+M104-M103</f>
        <v>349595.474448054</v>
      </c>
      <c r="N105" s="37" t="n">
        <f aca="false">N94+N104-N103</f>
        <v>364972.149272423</v>
      </c>
      <c r="O105" s="31" t="n">
        <f aca="false">SUM(C105:N105)</f>
        <v>-710545.915023946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-388018.136796547</v>
      </c>
      <c r="D106" s="37" t="n">
        <f aca="false">C106+D105</f>
        <v>-564159.079287296</v>
      </c>
      <c r="E106" s="37" t="n">
        <f aca="false">D106+E105</f>
        <v>-828355.519012698</v>
      </c>
      <c r="F106" s="37" t="n">
        <f aca="false">E106+F105</f>
        <v>-877963.248248895</v>
      </c>
      <c r="G106" s="37" t="n">
        <f aca="false">F106+G105</f>
        <v>-883477.011159359</v>
      </c>
      <c r="H106" s="37" t="n">
        <f aca="false">G106+H105</f>
        <v>-2323487.97686857</v>
      </c>
      <c r="I106" s="37" t="n">
        <f aca="false">H106+I105</f>
        <v>-2153525.12059946</v>
      </c>
      <c r="J106" s="37" t="n">
        <f aca="false">I106+J105</f>
        <v>-2033310.79313091</v>
      </c>
      <c r="K106" s="37" t="n">
        <f aca="false">J106+K105</f>
        <v>-1681591.02166258</v>
      </c>
      <c r="L106" s="37" t="n">
        <f aca="false">K106+L105</f>
        <v>-1425113.53874442</v>
      </c>
      <c r="M106" s="37" t="n">
        <f aca="false">L106+M105</f>
        <v>-1075518.06429637</v>
      </c>
      <c r="N106" s="37" t="n">
        <f aca="false">M106+N105</f>
        <v>-710545.915023946</v>
      </c>
      <c r="O106" s="31" t="n">
        <f aca="false">N106</f>
        <v>-710545.915023946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388018.136796547</v>
      </c>
      <c r="D107" s="37" t="n">
        <f aca="false">-MIN(0,MIN($C$106:D106))</f>
        <v>564159.079287296</v>
      </c>
      <c r="E107" s="37" t="n">
        <f aca="false">-MIN(0,MIN($C$106:E106))</f>
        <v>828355.519012698</v>
      </c>
      <c r="F107" s="37" t="n">
        <f aca="false">-MIN(0,MIN($C$106:F106))</f>
        <v>877963.248248895</v>
      </c>
      <c r="G107" s="37" t="n">
        <f aca="false">-MIN(0,MIN($C$106:G106))</f>
        <v>883477.011159359</v>
      </c>
      <c r="H107" s="37" t="n">
        <f aca="false">-MIN(0,MIN($C$106:H106))</f>
        <v>2323487.97686857</v>
      </c>
      <c r="I107" s="37" t="n">
        <f aca="false">-MIN(0,MIN($C$106:I106))</f>
        <v>2323487.97686857</v>
      </c>
      <c r="J107" s="37" t="n">
        <f aca="false">-MIN(0,MIN($C$106:J106))</f>
        <v>2323487.97686857</v>
      </c>
      <c r="K107" s="37" t="n">
        <f aca="false">-MIN(0,MIN($C$106:K106))</f>
        <v>2323487.97686857</v>
      </c>
      <c r="L107" s="37" t="n">
        <f aca="false">-MIN(0,MIN($C$106:L106))</f>
        <v>2323487.97686857</v>
      </c>
      <c r="M107" s="37" t="n">
        <f aca="false">-MIN(0,MIN($C$106:M106))</f>
        <v>2323487.97686857</v>
      </c>
      <c r="N107" s="37" t="n">
        <f aca="false">-MIN(0,MIN($C$106:N106))</f>
        <v>2323487.97686857</v>
      </c>
      <c r="O107" s="31" t="n">
        <f aca="false">MAX(C107:N107)</f>
        <v>2323487.97686857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1</v>
      </c>
      <c r="H108" s="8" t="n">
        <f aca="false">IF(H94&gt;=0,1,0)</f>
        <v>1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8218344.39676942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1597744.29684046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0.194411942321196</v>
      </c>
    </row>
    <row r="114" customFormat="false" ht="15" hidden="false" customHeight="false" outlineLevel="0" collapsed="false">
      <c r="A114" s="3" t="s">
        <v>30</v>
      </c>
      <c r="B114" s="31" t="n">
        <f aca="false">O96</f>
        <v>697744.296840461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2323487.97686857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676512.023131427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58622.0689978814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278228.464204386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4.03780589532193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48.4536707438632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0.137863055334056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0.369218194481892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15.2546812812632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1032192.93390082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5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-710545.915023946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1220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0.8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2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4</v>
      </c>
      <c r="K74" s="8" t="n">
        <f aca="false">ROUNDUP(K35/(INDEX(Assumptions!$C$102:$E$102,$B$3)*$J$3),0)</f>
        <v>4</v>
      </c>
      <c r="L74" s="8" t="n">
        <f aca="false">ROUNDUP(L35/(INDEX(Assumptions!$C$102:$E$102,$B$3)*$J$3),0)</f>
        <v>4</v>
      </c>
      <c r="M74" s="8" t="n">
        <f aca="false">ROUNDUP(M35/(INDEX(Assumptions!$C$102:$E$102,$B$3)*$J$3),0)</f>
        <v>4</v>
      </c>
      <c r="N74" s="8" t="n">
        <f aca="false">ROUNDUP(N35/(INDEX(Assumptions!$C$102:$E$102,$B$3)*$J$3),0)</f>
        <v>4</v>
      </c>
      <c r="O74" s="37" t="n">
        <f aca="false">MAX(C74:N74)</f>
        <v>4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0.666666666666667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2.26666666666667</v>
      </c>
      <c r="K75" s="6" t="n">
        <f aca="false">K74*(1-K11)</f>
        <v>2.4</v>
      </c>
      <c r="L75" s="6" t="n">
        <f aca="false">L74*(1-L11)</f>
        <v>2.53333333333333</v>
      </c>
      <c r="M75" s="6" t="n">
        <f aca="false">M74*(1-M11)</f>
        <v>2.66666666666667</v>
      </c>
      <c r="N75" s="6" t="n">
        <f aca="false">N74*(1-N11)</f>
        <v>2.8</v>
      </c>
      <c r="O75" s="39" t="n">
        <f aca="false">MAX(C75:N75)</f>
        <v>2.8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1</v>
      </c>
      <c r="K77" s="8" t="n">
        <f aca="false">IF(K76=0,0,MAX(0,ROUNDUP((K75-K76*INDEX(Assumptions!$C$101:$E$101,$B$3))/INDEX(Assumptions!$C$101:$E$101,$B$3)-0.1,0)))</f>
        <v>1</v>
      </c>
      <c r="L77" s="8" t="n">
        <f aca="false">IF(L76=0,0,MAX(0,ROUNDUP((L75-L76*INDEX(Assumptions!$C$101:$E$101,$B$3))/INDEX(Assumptions!$C$101:$E$101,$B$3)-0.1,0)))</f>
        <v>1</v>
      </c>
      <c r="M77" s="8" t="n">
        <f aca="false">IF(M76=0,0,MAX(0,ROUNDUP((M75-M76*INDEX(Assumptions!$C$101:$E$101,$B$3))/INDEX(Assumptions!$C$101:$E$101,$B$3)-0.1,0)))</f>
        <v>1</v>
      </c>
      <c r="N77" s="8" t="n">
        <f aca="false">IF(N76=0,0,MAX(0,ROUNDUP((N75-N76*INDEX(Assumptions!$C$101:$E$101,$B$3))/INDEX(Assumptions!$C$101:$E$101,$B$3)-0.1,0)))</f>
        <v>1</v>
      </c>
      <c r="O77" s="37" t="n">
        <f aca="false">MAX(C77:N77)</f>
        <v>1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134000</v>
      </c>
      <c r="K79" s="8" t="n">
        <f aca="false">K76*INDEX(Assumptions!$C$98:$E$98,$B$3)+K77*INDEX(Assumptions!$C$99:$E$99,$B$3)+K78*INDEX(Assumptions!$C$100:$E$100,$B$3)</f>
        <v>134000</v>
      </c>
      <c r="L79" s="8" t="n">
        <f aca="false">L76*INDEX(Assumptions!$C$98:$E$98,$B$3)+L77*INDEX(Assumptions!$C$99:$E$99,$B$3)+L78*INDEX(Assumptions!$C$100:$E$100,$B$3)</f>
        <v>134000</v>
      </c>
      <c r="M79" s="8" t="n">
        <f aca="false">M76*INDEX(Assumptions!$C$98:$E$98,$B$3)+M77*INDEX(Assumptions!$C$99:$E$99,$B$3)+M78*INDEX(Assumptions!$C$100:$E$100,$B$3)</f>
        <v>134000</v>
      </c>
      <c r="N79" s="8" t="n">
        <f aca="false">N76*INDEX(Assumptions!$C$98:$E$98,$B$3)+N77*INDEX(Assumptions!$C$99:$E$99,$B$3)+N78*INDEX(Assumptions!$C$100:$E$100,$B$3)</f>
        <v>134000</v>
      </c>
      <c r="O79" s="37" t="n">
        <f aca="false">SUM(C79:N79)</f>
        <v>1174000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279500</v>
      </c>
      <c r="K84" s="37" t="n">
        <f aca="false">SUM(K79:K83)</f>
        <v>279500</v>
      </c>
      <c r="L84" s="37" t="n">
        <f aca="false">SUM(L79:L83)</f>
        <v>279500</v>
      </c>
      <c r="M84" s="37" t="n">
        <f aca="false">SUM(M79:M83)</f>
        <v>279500</v>
      </c>
      <c r="N84" s="37" t="n">
        <f aca="false">SUM(N79:N83)</f>
        <v>279500</v>
      </c>
      <c r="O84" s="31" t="n">
        <f aca="false">SUM(C84:N84)</f>
        <v>2664500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547933</v>
      </c>
      <c r="K93" s="37" t="n">
        <f aca="false">K84+SUM(K86:K92)</f>
        <v>552933</v>
      </c>
      <c r="L93" s="37" t="n">
        <f aca="false">L84+SUM(L86:L92)</f>
        <v>552933</v>
      </c>
      <c r="M93" s="37" t="n">
        <f aca="false">M84+SUM(M86:M92)</f>
        <v>552933</v>
      </c>
      <c r="N93" s="37" t="n">
        <f aca="false">N84+SUM(N86:N92)</f>
        <v>552933</v>
      </c>
      <c r="O93" s="31" t="n">
        <f aca="false">SUM(C93:N93)</f>
        <v>5463096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-64086.1106493325</v>
      </c>
      <c r="G94" s="37" t="n">
        <f aca="false">G71-G93</f>
        <v>-24837.549215548</v>
      </c>
      <c r="H94" s="37" t="n">
        <f aca="false">H71-H93</f>
        <v>-55300.9091869309</v>
      </c>
      <c r="I94" s="37" t="n">
        <f aca="false">I71-I93</f>
        <v>304206.086462996</v>
      </c>
      <c r="J94" s="37" t="n">
        <f aca="false">J71-J93</f>
        <v>307971.2739035</v>
      </c>
      <c r="K94" s="37" t="n">
        <f aca="false">K71-K93</f>
        <v>54789.8368900374</v>
      </c>
      <c r="L94" s="37" t="n">
        <f aca="false">L71-L93</f>
        <v>168205.829945038</v>
      </c>
      <c r="M94" s="37" t="n">
        <f aca="false">M71-M93</f>
        <v>195854.335614711</v>
      </c>
      <c r="N94" s="37" t="n">
        <f aca="false">N71-N93</f>
        <v>188901.227051843</v>
      </c>
      <c r="O94" s="31" t="n">
        <f aca="false">SUM(C94:N94)</f>
        <v>408199.826597075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-0.170831334726804</v>
      </c>
      <c r="G95" s="7" t="n">
        <f aca="false">IFERROR(G94/G59,0)</f>
        <v>-0.0537700809325076</v>
      </c>
      <c r="H95" s="7" t="n">
        <f aca="false">IFERROR(H94/H59,0)</f>
        <v>-0.124377739677173</v>
      </c>
      <c r="I95" s="7" t="n">
        <f aca="false">IFERROR(I94/I59,0)</f>
        <v>0.322383162675481</v>
      </c>
      <c r="J95" s="7" t="n">
        <f aca="false">IFERROR(J94/J59,0)</f>
        <v>0.30941167500535</v>
      </c>
      <c r="K95" s="7" t="n">
        <f aca="false">IFERROR(K94/K59,0)</f>
        <v>0.0744903768277156</v>
      </c>
      <c r="L95" s="7" t="n">
        <f aca="false">IFERROR(L94/L59,0)</f>
        <v>0.193816389455892</v>
      </c>
      <c r="M95" s="7" t="n">
        <f aca="false">IFERROR(M94/M59,0)</f>
        <v>0.217509793470047</v>
      </c>
      <c r="N95" s="7" t="n">
        <f aca="false">IFERROR(N94/N59,0)</f>
        <v>0.211777333056526</v>
      </c>
      <c r="O95" s="7" t="n">
        <f aca="false">IFERROR(O94/O59,0)</f>
        <v>0.056829337311571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-139086.110649333</v>
      </c>
      <c r="G96" s="8" t="n">
        <f aca="false">G94-INDEX(Assumptions!$C$163:$E$163,$B$3)</f>
        <v>-99837.549215548</v>
      </c>
      <c r="H96" s="8" t="n">
        <f aca="false">H94-INDEX(Assumptions!$C$163:$E$163,$B$3)</f>
        <v>-130300.909186931</v>
      </c>
      <c r="I96" s="8" t="n">
        <f aca="false">I94-INDEX(Assumptions!$C$163:$E$163,$B$3)</f>
        <v>229206.086462996</v>
      </c>
      <c r="J96" s="8" t="n">
        <f aca="false">J94-INDEX(Assumptions!$C$163:$E$163,$B$3)</f>
        <v>232971.2739035</v>
      </c>
      <c r="K96" s="8" t="n">
        <f aca="false">K94-INDEX(Assumptions!$C$163:$E$163,$B$3)</f>
        <v>-20210.1631099626</v>
      </c>
      <c r="L96" s="8" t="n">
        <f aca="false">L94-INDEX(Assumptions!$C$163:$E$163,$B$3)</f>
        <v>93205.8299450381</v>
      </c>
      <c r="M96" s="8" t="n">
        <f aca="false">M94-INDEX(Assumptions!$C$163:$E$163,$B$3)</f>
        <v>120854.335614711</v>
      </c>
      <c r="N96" s="8" t="n">
        <f aca="false">N94-INDEX(Assumptions!$C$163:$E$163,$B$3)</f>
        <v>113901.227051843</v>
      </c>
      <c r="O96" s="37" t="n">
        <f aca="false">SUM(C96:N96)</f>
        <v>-491800.173402925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-97877.4210306885</v>
      </c>
      <c r="G105" s="37" t="n">
        <f aca="false">G94+G104-G103</f>
        <v>-64900.2610799548</v>
      </c>
      <c r="H105" s="37" t="n">
        <f aca="false">H94+H104-H103</f>
        <v>-1505703.18695092</v>
      </c>
      <c r="I105" s="37" t="n">
        <f aca="false">I94+I104-I103</f>
        <v>72197.7085110777</v>
      </c>
      <c r="J105" s="37" t="n">
        <f aca="false">J94+J104-J103</f>
        <v>-55480.1822338678</v>
      </c>
      <c r="K105" s="37" t="n">
        <f aca="false">K94+K104-K103</f>
        <v>193122.277534305</v>
      </c>
      <c r="L105" s="37" t="n">
        <f aca="false">L94+L104-L103</f>
        <v>108512.251914249</v>
      </c>
      <c r="M105" s="37" t="n">
        <f aca="false">M94+M104-M103</f>
        <v>188935.894209493</v>
      </c>
      <c r="N105" s="37" t="n">
        <f aca="false">N94+N104-N103</f>
        <v>202341.222781604</v>
      </c>
      <c r="O105" s="31" t="n">
        <f aca="false">SUM(C105:N105)</f>
        <v>-1856226.44458937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-995252.169275352</v>
      </c>
      <c r="G106" s="37" t="n">
        <f aca="false">F106+G105</f>
        <v>-1060152.43035531</v>
      </c>
      <c r="H106" s="37" t="n">
        <f aca="false">G106+H105</f>
        <v>-2565855.61730623</v>
      </c>
      <c r="I106" s="37" t="n">
        <f aca="false">H106+I105</f>
        <v>-2493657.90879515</v>
      </c>
      <c r="J106" s="37" t="n">
        <f aca="false">I106+J105</f>
        <v>-2549138.09102902</v>
      </c>
      <c r="K106" s="37" t="n">
        <f aca="false">J106+K105</f>
        <v>-2356015.81349471</v>
      </c>
      <c r="L106" s="37" t="n">
        <f aca="false">K106+L105</f>
        <v>-2247503.56158046</v>
      </c>
      <c r="M106" s="37" t="n">
        <f aca="false">L106+M105</f>
        <v>-2058567.66737097</v>
      </c>
      <c r="N106" s="37" t="n">
        <f aca="false">M106+N105</f>
        <v>-1856226.44458937</v>
      </c>
      <c r="O106" s="31" t="n">
        <f aca="false">N106</f>
        <v>-1856226.44458937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995252.169275352</v>
      </c>
      <c r="G107" s="37" t="n">
        <f aca="false">-MIN(0,MIN($C$106:G106))</f>
        <v>1060152.43035531</v>
      </c>
      <c r="H107" s="37" t="n">
        <f aca="false">-MIN(0,MIN($C$106:H106))</f>
        <v>2565855.61730623</v>
      </c>
      <c r="I107" s="37" t="n">
        <f aca="false">-MIN(0,MIN($C$106:I106))</f>
        <v>2565855.61730623</v>
      </c>
      <c r="J107" s="37" t="n">
        <f aca="false">-MIN(0,MIN($C$106:J106))</f>
        <v>2565855.61730623</v>
      </c>
      <c r="K107" s="37" t="n">
        <f aca="false">-MIN(0,MIN($C$106:K106))</f>
        <v>2565855.61730623</v>
      </c>
      <c r="L107" s="37" t="n">
        <f aca="false">-MIN(0,MIN($C$106:L106))</f>
        <v>2565855.61730623</v>
      </c>
      <c r="M107" s="37" t="n">
        <f aca="false">-MIN(0,MIN($C$106:M106))</f>
        <v>2565855.61730623</v>
      </c>
      <c r="N107" s="37" t="n">
        <f aca="false">-MIN(0,MIN($C$106:N106))</f>
        <v>2565855.61730623</v>
      </c>
      <c r="O107" s="31" t="n">
        <f aca="false">MAX(C107:N107)</f>
        <v>2565855.61730623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408199.826597075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0.056829337311571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-491800.173402925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2565855.61730623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434144.382693774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4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552933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6.23669612914324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74.8403535497189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552961.392611592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-1856226.44458937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1221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1.2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2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1.06666666666667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1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78000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966000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223500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2456500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491933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5255096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-64086.1106493325</v>
      </c>
      <c r="G94" s="37" t="n">
        <f aca="false">G71-G93</f>
        <v>-24837.549215548</v>
      </c>
      <c r="H94" s="37" t="n">
        <f aca="false">H71-H93</f>
        <v>-55300.9091869309</v>
      </c>
      <c r="I94" s="37" t="n">
        <f aca="false">I71-I93</f>
        <v>322206.086462996</v>
      </c>
      <c r="J94" s="37" t="n">
        <f aca="false">J71-J93</f>
        <v>345971.2739035</v>
      </c>
      <c r="K94" s="37" t="n">
        <f aca="false">K71-K93</f>
        <v>92789.8368900374</v>
      </c>
      <c r="L94" s="37" t="n">
        <f aca="false">L71-L93</f>
        <v>206205.829945038</v>
      </c>
      <c r="M94" s="37" t="n">
        <f aca="false">M71-M93</f>
        <v>233854.335614711</v>
      </c>
      <c r="N94" s="37" t="n">
        <f aca="false">N71-N93</f>
        <v>226901.227051843</v>
      </c>
      <c r="O94" s="31" t="n">
        <f aca="false">SUM(C94:N94)</f>
        <v>616199.826597075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-0.170831334726804</v>
      </c>
      <c r="G95" s="7" t="n">
        <f aca="false">IFERROR(G94/G59,0)</f>
        <v>-0.0537700809325076</v>
      </c>
      <c r="H95" s="7" t="n">
        <f aca="false">IFERROR(H94/H59,0)</f>
        <v>-0.124377739677173</v>
      </c>
      <c r="I95" s="7" t="n">
        <f aca="false">IFERROR(I94/I59,0)</f>
        <v>0.341458707795662</v>
      </c>
      <c r="J95" s="7" t="n">
        <f aca="false">IFERROR(J94/J59,0)</f>
        <v>0.347589403405718</v>
      </c>
      <c r="K95" s="7" t="n">
        <f aca="false">IFERROR(K94/K59,0)</f>
        <v>0.126153869185509</v>
      </c>
      <c r="L95" s="7" t="n">
        <f aca="false">IFERROR(L94/L59,0)</f>
        <v>0.237602165500221</v>
      </c>
      <c r="M95" s="7" t="n">
        <f aca="false">IFERROR(M94/M59,0)</f>
        <v>0.259711423196139</v>
      </c>
      <c r="N95" s="7" t="n">
        <f aca="false">IFERROR(N94/N59,0)</f>
        <v>0.254379166733019</v>
      </c>
      <c r="O95" s="7" t="n">
        <f aca="false">IFERROR(O94/O59,0)</f>
        <v>0.0857869737205509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-139086.110649333</v>
      </c>
      <c r="G96" s="8" t="n">
        <f aca="false">G94-INDEX(Assumptions!$C$163:$E$163,$B$3)</f>
        <v>-99837.549215548</v>
      </c>
      <c r="H96" s="8" t="n">
        <f aca="false">H94-INDEX(Assumptions!$C$163:$E$163,$B$3)</f>
        <v>-130300.909186931</v>
      </c>
      <c r="I96" s="8" t="n">
        <f aca="false">I94-INDEX(Assumptions!$C$163:$E$163,$B$3)</f>
        <v>247206.086462996</v>
      </c>
      <c r="J96" s="8" t="n">
        <f aca="false">J94-INDEX(Assumptions!$C$163:$E$163,$B$3)</f>
        <v>270971.2739035</v>
      </c>
      <c r="K96" s="8" t="n">
        <f aca="false">K94-INDEX(Assumptions!$C$163:$E$163,$B$3)</f>
        <v>17789.8368900374</v>
      </c>
      <c r="L96" s="8" t="n">
        <f aca="false">L94-INDEX(Assumptions!$C$163:$E$163,$B$3)</f>
        <v>131205.829945038</v>
      </c>
      <c r="M96" s="8" t="n">
        <f aca="false">M94-INDEX(Assumptions!$C$163:$E$163,$B$3)</f>
        <v>158854.335614711</v>
      </c>
      <c r="N96" s="8" t="n">
        <f aca="false">N94-INDEX(Assumptions!$C$163:$E$163,$B$3)</f>
        <v>151901.227051843</v>
      </c>
      <c r="O96" s="37" t="n">
        <f aca="false">SUM(C96:N96)</f>
        <v>-283800.173402925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-97877.4210306885</v>
      </c>
      <c r="G105" s="37" t="n">
        <f aca="false">G94+G104-G103</f>
        <v>-64900.2610799548</v>
      </c>
      <c r="H105" s="37" t="n">
        <f aca="false">H94+H104-H103</f>
        <v>-1505703.18695092</v>
      </c>
      <c r="I105" s="37" t="n">
        <f aca="false">I94+I104-I103</f>
        <v>90197.7085110777</v>
      </c>
      <c r="J105" s="37" t="n">
        <f aca="false">J94+J104-J103</f>
        <v>-17480.1822338678</v>
      </c>
      <c r="K105" s="37" t="n">
        <f aca="false">K94+K104-K103</f>
        <v>231122.277534305</v>
      </c>
      <c r="L105" s="37" t="n">
        <f aca="false">L94+L104-L103</f>
        <v>146512.251914249</v>
      </c>
      <c r="M105" s="37" t="n">
        <f aca="false">M94+M104-M103</f>
        <v>226935.894209493</v>
      </c>
      <c r="N105" s="37" t="n">
        <f aca="false">N94+N104-N103</f>
        <v>240341.222781604</v>
      </c>
      <c r="O105" s="31" t="n">
        <f aca="false">SUM(C105:N105)</f>
        <v>-1648226.44458937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-995252.169275352</v>
      </c>
      <c r="G106" s="37" t="n">
        <f aca="false">F106+G105</f>
        <v>-1060152.43035531</v>
      </c>
      <c r="H106" s="37" t="n">
        <f aca="false">G106+H105</f>
        <v>-2565855.61730623</v>
      </c>
      <c r="I106" s="37" t="n">
        <f aca="false">H106+I105</f>
        <v>-2475657.90879515</v>
      </c>
      <c r="J106" s="37" t="n">
        <f aca="false">I106+J105</f>
        <v>-2493138.09102902</v>
      </c>
      <c r="K106" s="37" t="n">
        <f aca="false">J106+K105</f>
        <v>-2262015.81349471</v>
      </c>
      <c r="L106" s="37" t="n">
        <f aca="false">K106+L105</f>
        <v>-2115503.56158046</v>
      </c>
      <c r="M106" s="37" t="n">
        <f aca="false">L106+M105</f>
        <v>-1888567.66737097</v>
      </c>
      <c r="N106" s="37" t="n">
        <f aca="false">M106+N105</f>
        <v>-1648226.44458937</v>
      </c>
      <c r="O106" s="31" t="n">
        <f aca="false">N106</f>
        <v>-1648226.44458937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995252.169275352</v>
      </c>
      <c r="G107" s="37" t="n">
        <f aca="false">-MIN(0,MIN($C$106:G106))</f>
        <v>1060152.43035531</v>
      </c>
      <c r="H107" s="37" t="n">
        <f aca="false">-MIN(0,MIN($C$106:H106))</f>
        <v>2565855.61730623</v>
      </c>
      <c r="I107" s="37" t="n">
        <f aca="false">-MIN(0,MIN($C$106:I106))</f>
        <v>2565855.61730623</v>
      </c>
      <c r="J107" s="37" t="n">
        <f aca="false">-MIN(0,MIN($C$106:J106))</f>
        <v>2565855.61730623</v>
      </c>
      <c r="K107" s="37" t="n">
        <f aca="false">-MIN(0,MIN($C$106:K106))</f>
        <v>2565855.61730623</v>
      </c>
      <c r="L107" s="37" t="n">
        <f aca="false">-MIN(0,MIN($C$106:L106))</f>
        <v>2565855.61730623</v>
      </c>
      <c r="M107" s="37" t="n">
        <f aca="false">-MIN(0,MIN($C$106:M106))</f>
        <v>2565855.61730623</v>
      </c>
      <c r="N107" s="37" t="n">
        <f aca="false">-MIN(0,MIN($C$106:N106))</f>
        <v>2565855.61730623</v>
      </c>
      <c r="O107" s="31" t="n">
        <f aca="false">MAX(C107:N107)</f>
        <v>2565855.61730623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616199.826597075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0.0857869737205509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-283800.173402925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2565855.61730623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434144.382693774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5.47965738818625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65.755888658235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666961.392611592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-1648226.44458937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1222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1.3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15166.6666666667</v>
      </c>
      <c r="D18" s="8" t="n">
        <f aca="false">INDEX(Assumptions!$C$115:$E$115,$B$3)*INDEX(Assumptions!$C$120:$E$120,$B$3)*$L$3/$F$3</f>
        <v>15166.6666666667</v>
      </c>
      <c r="E18" s="8" t="n">
        <f aca="false">INDEX(Assumptions!$C$115:$E$115,$B$3)*INDEX(Assumptions!$C$120:$E$120,$B$3)*$L$3/$F$3</f>
        <v>15166.6666666667</v>
      </c>
      <c r="F18" s="8" t="n">
        <f aca="false">INDEX(Assumptions!$C$115:$E$115,$B$3)*INDEX(Assumptions!$C$120:$E$120,$B$3)*$L$3/$F$3</f>
        <v>15166.6666666667</v>
      </c>
      <c r="G18" s="8" t="n">
        <f aca="false">INDEX(Assumptions!$C$115:$E$115,$B$3)*INDEX(Assumptions!$C$120:$E$120,$B$3)*$L$3/$F$3</f>
        <v>15166.6666666667</v>
      </c>
      <c r="H18" s="8" t="n">
        <f aca="false">INDEX(Assumptions!$C$115:$E$115,$B$3)*INDEX(Assumptions!$C$120:$E$120,$B$3)*$L$3/$F$3</f>
        <v>15166.6666666667</v>
      </c>
      <c r="I18" s="8" t="n">
        <f aca="false">INDEX(Assumptions!$C$115:$E$115,$B$3)*INDEX(Assumptions!$C$120:$E$120,$B$3)*$L$3/$F$3</f>
        <v>15166.6666666667</v>
      </c>
      <c r="J18" s="8" t="n">
        <f aca="false">INDEX(Assumptions!$C$115:$E$115,$B$3)*INDEX(Assumptions!$C$120:$E$120,$B$3)*$L$3/$F$3</f>
        <v>15166.6666666667</v>
      </c>
      <c r="K18" s="8" t="n">
        <f aca="false">INDEX(Assumptions!$C$115:$E$115,$B$3)*INDEX(Assumptions!$C$120:$E$120,$B$3)*$L$3/$F$3</f>
        <v>15166.6666666667</v>
      </c>
      <c r="L18" s="8" t="n">
        <f aca="false">INDEX(Assumptions!$C$115:$E$115,$B$3)*INDEX(Assumptions!$C$120:$E$120,$B$3)*$L$3/$F$3</f>
        <v>15166.6666666667</v>
      </c>
      <c r="M18" s="8" t="n">
        <f aca="false">INDEX(Assumptions!$C$115:$E$115,$B$3)*INDEX(Assumptions!$C$120:$E$120,$B$3)*$L$3/$F$3</f>
        <v>15166.6666666667</v>
      </c>
      <c r="N18" s="8" t="n">
        <f aca="false">INDEX(Assumptions!$C$115:$E$115,$B$3)*INDEX(Assumptions!$C$120:$E$120,$B$3)*$L$3/$F$3</f>
        <v>15166.6666666667</v>
      </c>
      <c r="O18" s="37" t="n">
        <f aca="false">AVERAGE(C18:N18)</f>
        <v>15166.6666666667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0.692307692307692</v>
      </c>
      <c r="D20" s="27" t="n">
        <f aca="false">D17*INDEX(Assumptions!$C$119:$E$119,$B$3)/D18</f>
        <v>1.84615384615385</v>
      </c>
      <c r="E20" s="27" t="n">
        <f aca="false">E17*INDEX(Assumptions!$C$119:$E$119,$B$3)/E18</f>
        <v>2.30769230769231</v>
      </c>
      <c r="F20" s="27" t="n">
        <f aca="false">F17*INDEX(Assumptions!$C$119:$E$119,$B$3)/F18</f>
        <v>2.76923076923077</v>
      </c>
      <c r="G20" s="27" t="n">
        <f aca="false">G17*INDEX(Assumptions!$C$119:$E$119,$B$3)/G18</f>
        <v>3.69230769230769</v>
      </c>
      <c r="H20" s="27" t="n">
        <f aca="false">H17*INDEX(Assumptions!$C$119:$E$119,$B$3)/H18</f>
        <v>4.15384615384615</v>
      </c>
      <c r="I20" s="27" t="n">
        <f aca="false">I17*INDEX(Assumptions!$C$119:$E$119,$B$3)/I18</f>
        <v>4.61538461538462</v>
      </c>
      <c r="J20" s="27" t="n">
        <f aca="false">J17*INDEX(Assumptions!$C$119:$E$119,$B$3)/J18</f>
        <v>4.61538461538462</v>
      </c>
      <c r="K20" s="27" t="n">
        <f aca="false">K17*INDEX(Assumptions!$C$119:$E$119,$B$3)/K18</f>
        <v>4.61538461538462</v>
      </c>
      <c r="L20" s="27" t="n">
        <f aca="false">L17*INDEX(Assumptions!$C$119:$E$119,$B$3)/L18</f>
        <v>4.61538461538462</v>
      </c>
      <c r="M20" s="27" t="n">
        <f aca="false">M17*INDEX(Assumptions!$C$119:$E$119,$B$3)/M18</f>
        <v>4.61538461538462</v>
      </c>
      <c r="N20" s="27" t="n">
        <f aca="false">N17*INDEX(Assumptions!$C$119:$E$119,$B$3)/N18</f>
        <v>4.61538461538462</v>
      </c>
      <c r="O20" s="35" t="n">
        <f aca="false">SUM(C20:N20)</f>
        <v>43.1538461538462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4.81538461538462</v>
      </c>
      <c r="G21" s="35" t="n">
        <f aca="false">G9*(G13*$F$3+(G14-G13)*$F$3*G19+MIN(G15,G20*G19))</f>
        <v>6.47307692307692</v>
      </c>
      <c r="H21" s="35" t="n">
        <f aca="false">H9*(H13*$F$3+(H14-H13)*$F$3*H19+MIN(H15,H20*H19))</f>
        <v>7.90384615384615</v>
      </c>
      <c r="I21" s="35" t="n">
        <f aca="false">I9*(I13*$F$3+(I14-I13)*$F$3*I19+MIN(I15,I20*I19))</f>
        <v>11.2</v>
      </c>
      <c r="J21" s="35" t="n">
        <f aca="false">J9*(J13*$F$3+(J14-J13)*$F$3*J19+MIN(J15,J20*J19))</f>
        <v>11.6307692307692</v>
      </c>
      <c r="K21" s="35" t="n">
        <f aca="false">K9*(K13*$F$3+(K14-K13)*$F$3*K19+MIN(K15,K20*K19))</f>
        <v>10.7692307692308</v>
      </c>
      <c r="L21" s="35" t="n">
        <f aca="false">L9*(L13*$F$3+(L14-L13)*$F$3*L19+MIN(L15,L20*L19))</f>
        <v>9.47692307692308</v>
      </c>
      <c r="M21" s="35" t="n">
        <f aca="false">M9*(M13*$F$3+(M14-M13)*$F$3*M19+MIN(M15,M20*M19))</f>
        <v>9.04615384615385</v>
      </c>
      <c r="N21" s="35" t="n">
        <f aca="false">N9*(N13*$F$3+(N14-N13)*$F$3*N19+MIN(N15,N20*N19))</f>
        <v>8.61538461538462</v>
      </c>
      <c r="O21" s="38" t="n">
        <f aca="false">SUM(C21:N21)</f>
        <v>88.1813942307692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5.73930576923077</v>
      </c>
      <c r="H26" s="6" t="n">
        <f aca="false">G29+F29+G32+F32+1.25*G30</f>
        <v>7.77092307692308</v>
      </c>
      <c r="I26" s="6" t="n">
        <f aca="false">H29+G29+H32+G32+1.25*H30</f>
        <v>8.6764148643785</v>
      </c>
      <c r="J26" s="6" t="n">
        <f aca="false">I29+H29+I32+H32+1.25*I30</f>
        <v>11.6590288666034</v>
      </c>
      <c r="K26" s="6" t="n">
        <f aca="false">J29+I29+J32+I32+1.25*J30</f>
        <v>15.7667678483788</v>
      </c>
      <c r="L26" s="6" t="n">
        <f aca="false">K29+J29+K32+J32+1.25*K30</f>
        <v>15.5779202652877</v>
      </c>
      <c r="M26" s="6" t="n">
        <f aca="false">L29+K29+L32+K32+1.25*L30</f>
        <v>14.4903292158032</v>
      </c>
      <c r="N26" s="6" t="n">
        <f aca="false">M29+L29+M32+L32+1.25*M30</f>
        <v>12.3621012582078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5.23538461538462</v>
      </c>
      <c r="G27" s="6" t="n">
        <f aca="false">G21*(INDEX(Assumptions!$C$26:$E$26,$B$3)*(1-G25)+INDEX(Assumptions!$C$26:$E$26,$B$3)*G25*1.25+(1-INDEX(Assumptions!$C$26:$E$26,$B$3)))+F31*INDEX(Assumptions!$C$89:$E$89,$B$3)</f>
        <v>7.05092307692308</v>
      </c>
      <c r="H27" s="6" t="n">
        <f aca="false">H21*(INDEX(Assumptions!$C$26:$E$26,$B$3)*(1-H25)+INDEX(Assumptions!$C$26:$E$26,$B$3)*H25*1.25+(1-INDEX(Assumptions!$C$26:$E$26,$B$3)))+G31*INDEX(Assumptions!$C$89:$E$89,$B$3)</f>
        <v>8.68061538461538</v>
      </c>
      <c r="I27" s="6" t="n">
        <f aca="false">I21*(INDEX(Assumptions!$C$26:$E$26,$B$3)*(1-I25)+INDEX(Assumptions!$C$26:$E$26,$B$3)*I25*1.25+(1-INDEX(Assumptions!$C$26:$E$26,$B$3)))+H31*INDEX(Assumptions!$C$89:$E$89,$B$3)</f>
        <v>11.9243063099172</v>
      </c>
      <c r="J27" s="6" t="n">
        <f aca="false">J21*(INDEX(Assumptions!$C$26:$E$26,$B$3)*(1-J25)+INDEX(Assumptions!$C$26:$E$26,$B$3)*J25*1.25+(1-INDEX(Assumptions!$C$26:$E$26,$B$3)))+I31*INDEX(Assumptions!$C$89:$E$89,$B$3)</f>
        <v>12.9747692307692</v>
      </c>
      <c r="K27" s="6" t="n">
        <f aca="false">K21*(INDEX(Assumptions!$C$26:$E$26,$B$3)*(1-K25)+INDEX(Assumptions!$C$26:$E$26,$B$3)*K25*1.25+(1-INDEX(Assumptions!$C$26:$E$26,$B$3)))+J31*INDEX(Assumptions!$C$89:$E$89,$B$3)</f>
        <v>12.1649230769231</v>
      </c>
      <c r="L27" s="6" t="n">
        <f aca="false">L21*(INDEX(Assumptions!$C$26:$E$26,$B$3)*(1-L25)+INDEX(Assumptions!$C$26:$E$26,$B$3)*L25*1.25+(1-INDEX(Assumptions!$C$26:$E$26,$B$3)))+K31*INDEX(Assumptions!$C$89:$E$89,$B$3)</f>
        <v>11.0256397197462</v>
      </c>
      <c r="M27" s="6" t="n">
        <f aca="false">M21*(INDEX(Assumptions!$C$26:$E$26,$B$3)*(1-M25)+INDEX(Assumptions!$C$26:$E$26,$B$3)*M25*1.25+(1-INDEX(Assumptions!$C$26:$E$26,$B$3)))+L31*INDEX(Assumptions!$C$89:$E$89,$B$3)</f>
        <v>10.5226153846154</v>
      </c>
      <c r="N27" s="6" t="n">
        <f aca="false">N21*(INDEX(Assumptions!$C$26:$E$26,$B$3)*(1-N25)+INDEX(Assumptions!$C$26:$E$26,$B$3)*N25*1.25+(1-INDEX(Assumptions!$C$26:$E$26,$B$3)))+M31*INDEX(Assumptions!$C$89:$E$89,$B$3)</f>
        <v>10.024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0.763664398128456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0.923411687898852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0.763664398128456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2.88923076923077</v>
      </c>
      <c r="G29" s="35" t="n">
        <f aca="false">G21*INDEX(Assumptions!$C$26:$E$26,$B$3)*(1-G25)*G28</f>
        <v>3.88384615384615</v>
      </c>
      <c r="H29" s="35" t="n">
        <f aca="false">H21*INDEX(Assumptions!$C$26:$E$26,$B$3)*(1-H25)*H28</f>
        <v>3.6215315495861</v>
      </c>
      <c r="I29" s="35" t="n">
        <f aca="false">I21*INDEX(Assumptions!$C$26:$E$26,$B$3)*(1-I25)*I28</f>
        <v>6.72</v>
      </c>
      <c r="J29" s="35" t="n">
        <f aca="false">J21*INDEX(Assumptions!$C$26:$E$26,$B$3)*(1-J25)*J28</f>
        <v>6.97846153846154</v>
      </c>
      <c r="K29" s="35" t="n">
        <f aca="false">K21*INDEX(Assumptions!$C$26:$E$26,$B$3)*(1-K25)*K28</f>
        <v>5.96666013719258</v>
      </c>
      <c r="L29" s="35" t="n">
        <f aca="false">L21*INDEX(Assumptions!$C$26:$E$26,$B$3)*(1-L25)*L28</f>
        <v>4.26461538461539</v>
      </c>
      <c r="M29" s="35" t="n">
        <f aca="false">M21*INDEX(Assumptions!$C$26:$E$26,$B$3)*(1-M25)*M28</f>
        <v>4.07076923076923</v>
      </c>
      <c r="N29" s="35" t="n">
        <f aca="false">N21*INDEX(Assumptions!$C$26:$E$26,$B$3)*(1-N25)*N28</f>
        <v>3.87692307692308</v>
      </c>
      <c r="O29" s="38" t="n">
        <f aca="false">SUM(C29:N29)</f>
        <v>47.2224128406248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1.42153846153846</v>
      </c>
      <c r="M30" s="27" t="n">
        <f aca="false">M21*INDEX(Assumptions!$C$26:$E$26,$B$3)*M25*M28</f>
        <v>1.35692307692308</v>
      </c>
      <c r="N30" s="27" t="n">
        <f aca="false">N21*INDEX(Assumptions!$C$26:$E$26,$B$3)*N25*N28</f>
        <v>1.29230769230769</v>
      </c>
      <c r="O30" s="35" t="n">
        <f aca="false">SUM(C30:N30)</f>
        <v>4.07076923076923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1.92615384615385</v>
      </c>
      <c r="G31" s="27" t="n">
        <f aca="false">G21*(1-INDEX(Assumptions!$C$26:$E$26,$B$3))*G28</f>
        <v>2.58923076923077</v>
      </c>
      <c r="H31" s="27" t="n">
        <f aca="false">H21*(1-INDEX(Assumptions!$C$26:$E$26,$B$3))*H28</f>
        <v>2.41435436639073</v>
      </c>
      <c r="I31" s="27" t="n">
        <f aca="false">I21*(1-INDEX(Assumptions!$C$26:$E$26,$B$3))*I28</f>
        <v>4.48</v>
      </c>
      <c r="J31" s="27" t="n">
        <f aca="false">J21*(1-INDEX(Assumptions!$C$26:$E$26,$B$3))*J28</f>
        <v>4.65230769230769</v>
      </c>
      <c r="K31" s="27" t="n">
        <f aca="false">K21*(1-INDEX(Assumptions!$C$26:$E$26,$B$3))*K28</f>
        <v>3.97777342479506</v>
      </c>
      <c r="L31" s="27" t="n">
        <f aca="false">L21*(1-INDEX(Assumptions!$C$26:$E$26,$B$3))*L28</f>
        <v>3.79076923076923</v>
      </c>
      <c r="M31" s="27" t="n">
        <f aca="false">M21*(1-INDEX(Assumptions!$C$26:$E$26,$B$3))*M28</f>
        <v>3.61846153846154</v>
      </c>
      <c r="N31" s="27" t="n">
        <f aca="false">N21*(1-INDEX(Assumptions!$C$26:$E$26,$B$3))*N28</f>
        <v>3.44615384615385</v>
      </c>
      <c r="O31" s="35" t="n">
        <f aca="false">SUM(C31:N31)</f>
        <v>34.1954547142627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0.577846153846154</v>
      </c>
      <c r="H32" s="27" t="n">
        <f aca="false">G31*INDEX(Assumptions!$C$89:$E$89,$B$3)*H28</f>
        <v>0.593191007100088</v>
      </c>
      <c r="I32" s="27" t="n">
        <f aca="false">H31*INDEX(Assumptions!$C$89:$E$89,$B$3)*I28</f>
        <v>0.72430630991722</v>
      </c>
      <c r="J32" s="27" t="n">
        <f aca="false">I31*INDEX(Assumptions!$C$89:$E$89,$B$3)*J28</f>
        <v>1.344</v>
      </c>
      <c r="K32" s="27" t="n">
        <f aca="false">J31*INDEX(Assumptions!$C$89:$E$89,$B$3)*K28</f>
        <v>1.2887985896336</v>
      </c>
      <c r="L32" s="27" t="n">
        <f aca="false">K31*INDEX(Assumptions!$C$89:$E$89,$B$3)*L28</f>
        <v>1.19333202743852</v>
      </c>
      <c r="M32" s="27" t="n">
        <f aca="false">L31*INDEX(Assumptions!$C$89:$E$89,$B$3)*M28</f>
        <v>1.13723076923077</v>
      </c>
      <c r="N32" s="27" t="n">
        <f aca="false">M31*INDEX(Assumptions!$C$89:$E$89,$B$3)*N28</f>
        <v>1.08553846153846</v>
      </c>
      <c r="O32" s="35" t="n">
        <f aca="false">SUM(C32:N32)</f>
        <v>8.93431831870481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4.81538461538462</v>
      </c>
      <c r="G33" s="35" t="n">
        <f aca="false">G29+G30+G31</f>
        <v>6.47307692307692</v>
      </c>
      <c r="H33" s="35" t="n">
        <f aca="false">H29+H30+H31</f>
        <v>6.03588591597683</v>
      </c>
      <c r="I33" s="35" t="n">
        <f aca="false">I29+I30+I31</f>
        <v>11.2</v>
      </c>
      <c r="J33" s="35" t="n">
        <f aca="false">J29+J30+J31</f>
        <v>11.6307692307692</v>
      </c>
      <c r="K33" s="35" t="n">
        <f aca="false">K29+K30+K31</f>
        <v>9.94443356198764</v>
      </c>
      <c r="L33" s="35" t="n">
        <f aca="false">L29+L30+L31</f>
        <v>9.47692307692308</v>
      </c>
      <c r="M33" s="35" t="n">
        <f aca="false">M29+M30+M31</f>
        <v>9.04615384615385</v>
      </c>
      <c r="N33" s="35" t="n">
        <f aca="false">N29+N30+N31</f>
        <v>8.61538461538462</v>
      </c>
      <c r="O33" s="38" t="n">
        <f aca="false">SUM(C33:N33)</f>
        <v>85.4886367856568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1.20384615384615</v>
      </c>
      <c r="G34" s="27" t="n">
        <f aca="false">G33*INDEX(Assumptions!$C$74:$E$74,$B$3)</f>
        <v>1.61826923076923</v>
      </c>
      <c r="H34" s="27" t="n">
        <f aca="false">H33*INDEX(Assumptions!$C$74:$E$74,$B$3)</f>
        <v>1.50897147899421</v>
      </c>
      <c r="I34" s="27" t="n">
        <f aca="false">I33*INDEX(Assumptions!$C$74:$E$74,$B$3)</f>
        <v>2.8</v>
      </c>
      <c r="J34" s="27" t="n">
        <f aca="false">J33*INDEX(Assumptions!$C$74:$E$74,$B$3)</f>
        <v>2.90769230769231</v>
      </c>
      <c r="K34" s="27" t="n">
        <f aca="false">K33*INDEX(Assumptions!$C$74:$E$74,$B$3)</f>
        <v>2.48610839049691</v>
      </c>
      <c r="L34" s="27" t="n">
        <f aca="false">L33*INDEX(Assumptions!$C$74:$E$74,$B$3)</f>
        <v>2.36923076923077</v>
      </c>
      <c r="M34" s="27" t="n">
        <f aca="false">M33*INDEX(Assumptions!$C$74:$E$74,$B$3)</f>
        <v>2.26153846153846</v>
      </c>
      <c r="N34" s="27" t="n">
        <f aca="false">N33*INDEX(Assumptions!$C$74:$E$74,$B$3)</f>
        <v>2.15384615384615</v>
      </c>
      <c r="O34" s="35" t="n">
        <f aca="false">SUM(C34:N34)</f>
        <v>21.3721591964142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9.55583461538462</v>
      </c>
      <c r="G35" s="6" t="n">
        <f aca="false">G26+G29+G32+G31+1.25*G30</f>
        <v>12.7902288461538</v>
      </c>
      <c r="H35" s="6" t="n">
        <f aca="false">H26+H29+H32+H31+1.25*H30</f>
        <v>14.4</v>
      </c>
      <c r="I35" s="6" t="n">
        <f aca="false">I26+I29+I32+I31+1.25*I30</f>
        <v>20.6007211742957</v>
      </c>
      <c r="J35" s="6" t="n">
        <f aca="false">J26+J29+J32+J31+1.25*J30</f>
        <v>24.6337980973726</v>
      </c>
      <c r="K35" s="6" t="n">
        <f aca="false">K26+K29+K32+K31+1.25*K30</f>
        <v>27</v>
      </c>
      <c r="L35" s="6" t="n">
        <f aca="false">L26+L29+L32+L31+1.25*L30</f>
        <v>26.6035599850339</v>
      </c>
      <c r="M35" s="6" t="n">
        <f aca="false">M26+M29+M32+M31+1.25*M30</f>
        <v>25.0129446004186</v>
      </c>
      <c r="N35" s="6" t="n">
        <f aca="false">N26+N29+N32+N31+1.25*N30</f>
        <v>22.3861012582078</v>
      </c>
      <c r="O35" s="39" t="n">
        <f aca="false">AVERAGE(C35:N35)</f>
        <v>16.3411886314056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0.597239663461539</v>
      </c>
      <c r="G36" s="36" t="n">
        <f aca="false">G35/(G22*G23)</f>
        <v>0.799389302884616</v>
      </c>
      <c r="H36" s="36" t="n">
        <f aca="false">H35/(H22*H23)</f>
        <v>0.9</v>
      </c>
      <c r="I36" s="36" t="n">
        <f aca="false">I35/(I22*I23)</f>
        <v>0.686690705809857</v>
      </c>
      <c r="J36" s="36" t="n">
        <f aca="false">J35/(J22*J23)</f>
        <v>0.821126603245755</v>
      </c>
      <c r="K36" s="36" t="n">
        <f aca="false">K35/(K22*K23)</f>
        <v>0.9</v>
      </c>
      <c r="L36" s="36" t="n">
        <f aca="false">L35/(L22*L23)</f>
        <v>0.886785332834464</v>
      </c>
      <c r="M36" s="36" t="n">
        <f aca="false">M35/(M22*M23)</f>
        <v>0.833764820013952</v>
      </c>
      <c r="N36" s="36" t="n">
        <f aca="false">N35/(N22*N23)</f>
        <v>0.746203375273592</v>
      </c>
      <c r="O36" s="30" t="n">
        <f aca="false">N36</f>
        <v>0.746203375273592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0</v>
      </c>
      <c r="K37" s="8" t="n">
        <f aca="false">IF(K28&lt;0.999,1,0)</f>
        <v>1</v>
      </c>
      <c r="L37" s="8" t="n">
        <f aca="false">IF(L28&lt;0.999,1,0)</f>
        <v>0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2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4.51724635589551</v>
      </c>
      <c r="G41" s="6" t="n">
        <f aca="false">G21*INDEX(Assumptions!$C$31:$E$31,$B$3)/(INDEX(Assumptions!$C$56:$E$56,$B$3)*INDEX(Assumptions!$C$57:$E$57,$B$3)*INDEX(Assumptions!$C$58:$E$58,$B$3))</f>
        <v>6.0723048058883</v>
      </c>
      <c r="H41" s="6" t="n">
        <f aca="false">H21*INDEX(Assumptions!$C$31:$E$31,$B$3)/(INDEX(Assumptions!$C$56:$E$56,$B$3)*INDEX(Assumptions!$C$57:$E$57,$B$3)*INDEX(Assumptions!$C$58:$E$58,$B$3))</f>
        <v>7.41448982537163</v>
      </c>
      <c r="I41" s="6" t="n">
        <f aca="false">I21*INDEX(Assumptions!$C$31:$E$31,$B$3)/(INDEX(Assumptions!$C$56:$E$56,$B$3)*INDEX(Assumptions!$C$57:$E$57,$B$3)*INDEX(Assumptions!$C$58:$E$58,$B$3))</f>
        <v>10.5065666041276</v>
      </c>
      <c r="J41" s="6" t="n">
        <f aca="false">J21*INDEX(Assumptions!$C$31:$E$31,$B$3)/(INDEX(Assumptions!$C$56:$E$56,$B$3)*INDEX(Assumptions!$C$57:$E$57,$B$3)*INDEX(Assumptions!$C$58:$E$58,$B$3))</f>
        <v>10.9106653196709</v>
      </c>
      <c r="K41" s="6" t="n">
        <f aca="false">K21*INDEX(Assumptions!$C$31:$E$31,$B$3)/(INDEX(Assumptions!$C$56:$E$56,$B$3)*INDEX(Assumptions!$C$57:$E$57,$B$3)*INDEX(Assumptions!$C$58:$E$58,$B$3))</f>
        <v>10.1024678885842</v>
      </c>
      <c r="L41" s="6" t="n">
        <f aca="false">L21*INDEX(Assumptions!$C$31:$E$31,$B$3)/(INDEX(Assumptions!$C$56:$E$56,$B$3)*INDEX(Assumptions!$C$57:$E$57,$B$3)*INDEX(Assumptions!$C$58:$E$58,$B$3))</f>
        <v>8.89017174195411</v>
      </c>
      <c r="M41" s="6" t="n">
        <f aca="false">M21*INDEX(Assumptions!$C$31:$E$31,$B$3)/(INDEX(Assumptions!$C$56:$E$56,$B$3)*INDEX(Assumptions!$C$57:$E$57,$B$3)*INDEX(Assumptions!$C$58:$E$58,$B$3))</f>
        <v>8.48607302641074</v>
      </c>
      <c r="N41" s="6" t="n">
        <f aca="false">N21*INDEX(Assumptions!$C$31:$E$31,$B$3)/(INDEX(Assumptions!$C$56:$E$56,$B$3)*INDEX(Assumptions!$C$57:$E$57,$B$3)*INDEX(Assumptions!$C$58:$E$58,$B$3))</f>
        <v>8.08197431086737</v>
      </c>
      <c r="O41" s="39" t="n">
        <f aca="false">SUM(C41:N41)</f>
        <v>82.721758190215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146910.039113429</v>
      </c>
      <c r="G49" s="8" t="n">
        <f aca="false">G29*G46/(1+INDEX(Assumptions!$C$15:$E$15,$B$3)*$H$4)</f>
        <v>197483.70273794</v>
      </c>
      <c r="H49" s="8" t="n">
        <f aca="false">H29*H46/(1+INDEX(Assumptions!$C$15:$E$15,$B$3)*$H$4)</f>
        <v>184145.672012853</v>
      </c>
      <c r="I49" s="8" t="n">
        <f aca="false">I29*I46/(1+INDEX(Assumptions!$C$15:$E$15,$B$3)*$H$4)</f>
        <v>455593.220338983</v>
      </c>
      <c r="J49" s="8" t="n">
        <f aca="false">J29*J46/(1+INDEX(Assumptions!$C$15:$E$15,$B$3)*$H$4)</f>
        <v>473116.036505867</v>
      </c>
      <c r="K49" s="8" t="n">
        <f aca="false">K29*K46/(1+INDEX(Assumptions!$C$15:$E$15,$B$3)*$H$4)</f>
        <v>404519.33133509</v>
      </c>
      <c r="L49" s="8" t="n">
        <f aca="false">L29*L46/(1+INDEX(Assumptions!$C$15:$E$15,$B$3)*$H$4)</f>
        <v>289126.466753586</v>
      </c>
      <c r="M49" s="8" t="n">
        <f aca="false">M29*M46/(1+INDEX(Assumptions!$C$15:$E$15,$B$3)*$H$4)</f>
        <v>275984.354628423</v>
      </c>
      <c r="N49" s="8" t="n">
        <f aca="false">N29*N46/(1+INDEX(Assumptions!$C$15:$E$15,$B$3)*$H$4)</f>
        <v>262842.24250326</v>
      </c>
      <c r="O49" s="37" t="n">
        <f aca="false">SUM(C49:N49)</f>
        <v>2941435.04898028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96375.4889178618</v>
      </c>
      <c r="M50" s="8" t="n">
        <f aca="false">M30*M46/(1+INDEX(Assumptions!$C$15:$E$15,$B$3)*$H$4)</f>
        <v>91994.7848761408</v>
      </c>
      <c r="N50" s="8" t="n">
        <f aca="false">N30*N46/(1+INDEX(Assumptions!$C$15:$E$15,$B$3)*$H$4)</f>
        <v>87614.0808344198</v>
      </c>
      <c r="O50" s="37" t="n">
        <f aca="false">SUM(C50:N50)</f>
        <v>275984.354628423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9842.97262059974</v>
      </c>
      <c r="H51" s="8" t="n">
        <f aca="false">H32*MAX(0,H46-INDEX(Assumptions!$C$18:$E$18,$B$3)*$H$3)/(1+INDEX(Assumptions!$C$15:$E$15,$B$3)*$H$4)</f>
        <v>10104.3552904337</v>
      </c>
      <c r="I51" s="8" t="n">
        <f aca="false">I32*MAX(0,I46-INDEX(Assumptions!$C$18:$E$18,$B$3)*$H$3)/(1+INDEX(Assumptions!$C$15:$E$15,$B$3)*$H$4)</f>
        <v>24614.1381590513</v>
      </c>
      <c r="J51" s="8" t="n">
        <f aca="false">J32*MAX(0,J46-INDEX(Assumptions!$C$18:$E$18,$B$3)*$H$3)/(1+INDEX(Assumptions!$C$15:$E$15,$B$3)*$H$4)</f>
        <v>45673.2203389831</v>
      </c>
      <c r="K51" s="8" t="n">
        <f aca="false">K32*MAX(0,K46-INDEX(Assumptions!$C$18:$E$18,$B$3)*$H$3)/(1+INDEX(Assumptions!$C$15:$E$15,$B$3)*$H$4)</f>
        <v>43797.3080036503</v>
      </c>
      <c r="L51" s="8" t="n">
        <f aca="false">L32*MAX(0,L46-INDEX(Assumptions!$C$18:$E$18,$B$3)*$H$3)/(1+INDEX(Assumptions!$C$15:$E$15,$B$3)*$H$4)</f>
        <v>40553.0629663428</v>
      </c>
      <c r="M51" s="8" t="n">
        <f aca="false">M32*MAX(0,M46-INDEX(Assumptions!$C$18:$E$18,$B$3)*$H$3)/(1+INDEX(Assumptions!$C$15:$E$15,$B$3)*$H$4)</f>
        <v>38646.5710560626</v>
      </c>
      <c r="N51" s="8" t="n">
        <f aca="false">N32*MAX(0,N46-INDEX(Assumptions!$C$18:$E$18,$B$3)*$H$3)/(1+INDEX(Assumptions!$C$15:$E$15,$B$3)*$H$4)</f>
        <v>36889.9087353325</v>
      </c>
      <c r="O51" s="37" t="n">
        <f aca="false">SUM(C51:N51)</f>
        <v>266986.374034863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65130.1173402869</v>
      </c>
      <c r="G52" s="8" t="n">
        <f aca="false">G31*INDEX(Assumptions!$C$18:$E$18,$B$3)*$H$3/(1+INDEX(Assumptions!$C$15:$E$15,$B$3)*$H$4)</f>
        <v>87551.1082138201</v>
      </c>
      <c r="H52" s="8" t="n">
        <f aca="false">H31*INDEX(Assumptions!$C$18:$E$18,$B$3)*$H$3/(1+INDEX(Assumptions!$C$15:$E$15,$B$3)*$H$4)</f>
        <v>81637.9145923647</v>
      </c>
      <c r="I52" s="8" t="n">
        <f aca="false">I31*INDEX(Assumptions!$C$18:$E$18,$B$3)*$H$3/(1+INDEX(Assumptions!$C$15:$E$15,$B$3)*$H$4)</f>
        <v>151484.745762712</v>
      </c>
      <c r="J52" s="8" t="n">
        <f aca="false">J31*INDEX(Assumptions!$C$18:$E$18,$B$3)*$H$3/(1+INDEX(Assumptions!$C$15:$E$15,$B$3)*$H$4)</f>
        <v>157311.082138201</v>
      </c>
      <c r="K52" s="8" t="n">
        <f aca="false">K31*INDEX(Assumptions!$C$18:$E$18,$B$3)*$H$3/(1+INDEX(Assumptions!$C$15:$E$15,$B$3)*$H$4)</f>
        <v>134502.677668918</v>
      </c>
      <c r="L52" s="8" t="n">
        <f aca="false">L31*INDEX(Assumptions!$C$18:$E$18,$B$3)*$H$3/(1+INDEX(Assumptions!$C$15:$E$15,$B$3)*$H$4)</f>
        <v>128179.400260756</v>
      </c>
      <c r="M52" s="8" t="n">
        <f aca="false">M31*INDEX(Assumptions!$C$18:$E$18,$B$3)*$H$3/(1+INDEX(Assumptions!$C$15:$E$15,$B$3)*$H$4)</f>
        <v>122353.063885267</v>
      </c>
      <c r="N52" s="8" t="n">
        <f aca="false">N31*INDEX(Assumptions!$C$18:$E$18,$B$3)*$H$3/(1+INDEX(Assumptions!$C$15:$E$15,$B$3)*$H$4)</f>
        <v>116526.727509778</v>
      </c>
      <c r="O52" s="37" t="n">
        <f aca="false">SUM(C52:N52)</f>
        <v>1156270.03652465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3416.67134445991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4592.85772581951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5608.0348345568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7946.76274366394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8252.4074645741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7641.11802275379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6724.18386002334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6418.53913911319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6112.89441820303</v>
      </c>
      <c r="O53" s="37" t="n">
        <f aca="false">SUM(C53:N53)</f>
        <v>62567.5552104839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6451.2</v>
      </c>
      <c r="J58" s="8" t="n">
        <f aca="false">(J29+J30)*(1-J47)*INDEX(Assumptions!$C$90:$E$90,$B$3)</f>
        <v>6699.32307692308</v>
      </c>
      <c r="K58" s="8" t="n">
        <f aca="false">(K29+K30)*(1-K47)*INDEX(Assumptions!$C$90:$E$90,$B$3)</f>
        <v>5727.99373170488</v>
      </c>
      <c r="L58" s="8" t="n">
        <f aca="false">(L29+L30)*(1-L47)*INDEX(Assumptions!$C$90:$E$90,$B$3)</f>
        <v>5458.70769230769</v>
      </c>
      <c r="M58" s="8" t="n">
        <f aca="false">(M29+M30)*(1-M47)*INDEX(Assumptions!$C$90:$E$90,$B$3)</f>
        <v>5210.58461538462</v>
      </c>
      <c r="N58" s="8" t="n">
        <f aca="false">(N29+N30)*(1-N47)*INDEX(Assumptions!$C$90:$E$90,$B$3)</f>
        <v>4962.46153846154</v>
      </c>
      <c r="O58" s="37" t="n">
        <f aca="false">SUM(C58:N58)</f>
        <v>34510.2706547818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366882.271865972</v>
      </c>
      <c r="G59" s="37" t="n">
        <f aca="false">SUM(G49:G58)</f>
        <v>449153.510789705</v>
      </c>
      <c r="H59" s="37" t="n">
        <f aca="false">SUM(H49:H58)</f>
        <v>455654.491984445</v>
      </c>
      <c r="I59" s="37" t="n">
        <f aca="false">SUM(I49:I58)</f>
        <v>844724.228021359</v>
      </c>
      <c r="J59" s="37" t="n">
        <f aca="false">SUM(J49:J58)</f>
        <v>914161.876304209</v>
      </c>
      <c r="K59" s="37" t="n">
        <f aca="false">SUM(K49:K58)</f>
        <v>839623.659270592</v>
      </c>
      <c r="L59" s="37" t="n">
        <f aca="false">SUM(L49:L58)</f>
        <v>822561.86299325</v>
      </c>
      <c r="M59" s="37" t="n">
        <f aca="false">SUM(M49:M58)</f>
        <v>815816.433793611</v>
      </c>
      <c r="N59" s="37" t="n">
        <f aca="false">SUM(N49:N58)</f>
        <v>809220.834183523</v>
      </c>
      <c r="O59" s="31" t="n">
        <f aca="false">SUM(C59:N59)</f>
        <v>6884249.64850805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219194.393741851</v>
      </c>
      <c r="G60" s="8" t="n">
        <f aca="false">G49+G50+G51+G52</f>
        <v>294877.78357236</v>
      </c>
      <c r="H60" s="8" t="n">
        <f aca="false">H49+H50+H51+H52</f>
        <v>275887.941895651</v>
      </c>
      <c r="I60" s="8" t="n">
        <f aca="false">I49+I50+I51+I52</f>
        <v>631692.104260746</v>
      </c>
      <c r="J60" s="8" t="n">
        <f aca="false">J49+J50+J51+J52</f>
        <v>676100.338983051</v>
      </c>
      <c r="K60" s="8" t="n">
        <f aca="false">K49+K50+K51+K52</f>
        <v>582819.317007658</v>
      </c>
      <c r="L60" s="8" t="n">
        <f aca="false">L49+L50+L51+L52</f>
        <v>554234.418898546</v>
      </c>
      <c r="M60" s="8" t="n">
        <f aca="false">M49+M50+M51+M52</f>
        <v>528978.774445893</v>
      </c>
      <c r="N60" s="8" t="n">
        <f aca="false">N49+N50+N51+N52</f>
        <v>503872.95958279</v>
      </c>
      <c r="O60" s="37" t="n">
        <f aca="false">SUM(C60:N60)</f>
        <v>4640675.81416821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19855.3846153846</v>
      </c>
      <c r="G62" s="8" t="n">
        <f aca="false">((G29+G32)*INDEX(Assumptions!$C$91:$E$91,$B$3)+G30*INDEX(Assumptions!$C$93:$E$93,$B$3))*$N$3</f>
        <v>26770.1538461538</v>
      </c>
      <c r="H62" s="8" t="n">
        <f aca="false">((H29+H32)*INDEX(Assumptions!$C$91:$E$91,$B$3)+H30*INDEX(Assumptions!$C$93:$E$93,$B$3))*$N$3</f>
        <v>25288.3353401171</v>
      </c>
      <c r="I62" s="8" t="n">
        <f aca="false">((I29+I32)*INDEX(Assumptions!$C$91:$E$91,$B$3)+I30*INDEX(Assumptions!$C$93:$E$93,$B$3))*$N$3</f>
        <v>44665.8378595033</v>
      </c>
      <c r="J62" s="8" t="n">
        <f aca="false">((J29+J32)*INDEX(Assumptions!$C$91:$E$91,$B$3)+J30*INDEX(Assumptions!$C$93:$E$93,$B$3))*$N$3</f>
        <v>49934.7692307692</v>
      </c>
      <c r="K62" s="8" t="n">
        <f aca="false">((K29+K32)*INDEX(Assumptions!$C$91:$E$91,$B$3)+K30*INDEX(Assumptions!$C$93:$E$93,$B$3))*$N$3</f>
        <v>43532.7523609571</v>
      </c>
      <c r="L62" s="8" t="n">
        <f aca="false">((L29+L32)*INDEX(Assumptions!$C$91:$E$91,$B$3)+L30*INDEX(Assumptions!$C$93:$E$93,$B$3))*$N$3</f>
        <v>43409.2229338619</v>
      </c>
      <c r="M62" s="8" t="n">
        <f aca="false">((M29+M32)*INDEX(Assumptions!$C$91:$E$91,$B$3)+M30*INDEX(Assumptions!$C$93:$E$93,$B$3))*$N$3</f>
        <v>41424.9230769231</v>
      </c>
      <c r="N62" s="8" t="n">
        <f aca="false">((N29+N32)*INDEX(Assumptions!$C$91:$E$91,$B$3)+N30*INDEX(Assumptions!$C$93:$E$93,$B$3))*$N$3</f>
        <v>39467.0769230769</v>
      </c>
      <c r="O62" s="37" t="n">
        <f aca="false">SUM(C62:N62)</f>
        <v>367471.156186747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34670.7692307692</v>
      </c>
      <c r="G63" s="8" t="n">
        <f aca="false">(G29+G30)*G47*INDEX(Assumptions!$C$14:$E$14,$B$3)*$N$3</f>
        <v>46606.1538461538</v>
      </c>
      <c r="H63" s="8" t="n">
        <f aca="false">(H29+H30)*H47*INDEX(Assumptions!$C$14:$E$14,$B$3)*$N$3</f>
        <v>43458.3785950332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184139.801671956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3852.30769230769</v>
      </c>
      <c r="G64" s="8" t="n">
        <f aca="false">G31*INDEX(Assumptions!$C$92:$E$92,$B$3)*$N$3</f>
        <v>5178.46153846154</v>
      </c>
      <c r="H64" s="8" t="n">
        <f aca="false">H31*INDEX(Assumptions!$C$92:$E$92,$B$3)*$N$3</f>
        <v>4828.70873278147</v>
      </c>
      <c r="I64" s="8" t="n">
        <f aca="false">I31*INDEX(Assumptions!$C$92:$E$92,$B$3)*$N$3</f>
        <v>8960</v>
      </c>
      <c r="J64" s="8" t="n">
        <f aca="false">J31*INDEX(Assumptions!$C$92:$E$92,$B$3)*$N$3</f>
        <v>9304.61538461539</v>
      </c>
      <c r="K64" s="8" t="n">
        <f aca="false">K31*INDEX(Assumptions!$C$92:$E$92,$B$3)*$N$3</f>
        <v>7955.54684959011</v>
      </c>
      <c r="L64" s="8" t="n">
        <f aca="false">L31*INDEX(Assumptions!$C$92:$E$92,$B$3)*$N$3</f>
        <v>7581.53846153846</v>
      </c>
      <c r="M64" s="8" t="n">
        <f aca="false">M31*INDEX(Assumptions!$C$92:$E$92,$B$3)*$N$3</f>
        <v>7236.92307692308</v>
      </c>
      <c r="N64" s="8" t="n">
        <f aca="false">N31*INDEX(Assumptions!$C$92:$E$92,$B$3)*$N$3</f>
        <v>6892.30769230769</v>
      </c>
      <c r="O64" s="37" t="n">
        <f aca="false">SUM(C64:N64)</f>
        <v>68390.9094285254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15729.3115889739</v>
      </c>
      <c r="G65" s="8" t="n">
        <f aca="false">(G39*INDEX(Assumptions!$C$94:$E$94,$B$3)+G40*INDEX(Assumptions!$C$95:$E$95,$B$3)+G41*INDEX(Assumptions!$C$96:$E$96,$B$3))*$N$3</f>
        <v>17118.0762014721</v>
      </c>
      <c r="H65" s="8" t="n">
        <f aca="false">(H39*INDEX(Assumptions!$C$94:$E$94,$B$3)+H40*INDEX(Assumptions!$C$95:$E$95,$B$3)+H41*INDEX(Assumptions!$C$96:$E$96,$B$3))*$N$3</f>
        <v>20253.6224563429</v>
      </c>
      <c r="I65" s="8" t="n">
        <f aca="false">(I39*INDEX(Assumptions!$C$94:$E$94,$B$3)+I40*INDEX(Assumptions!$C$95:$E$95,$B$3)+I41*INDEX(Assumptions!$C$96:$E$96,$B$3))*$N$3</f>
        <v>23826.6416510319</v>
      </c>
      <c r="J65" s="8" t="n">
        <f aca="false">(J39*INDEX(Assumptions!$C$94:$E$94,$B$3)+J40*INDEX(Assumptions!$C$95:$E$95,$B$3)+J41*INDEX(Assumptions!$C$96:$E$96,$B$3))*$N$3</f>
        <v>26727.6663299177</v>
      </c>
      <c r="K65" s="8" t="n">
        <f aca="false">(K39*INDEX(Assumptions!$C$94:$E$94,$B$3)+K40*INDEX(Assumptions!$C$95:$E$95,$B$3)+K41*INDEX(Assumptions!$C$96:$E$96,$B$3))*$N$3</f>
        <v>26525.6169721461</v>
      </c>
      <c r="L65" s="8" t="n">
        <f aca="false">(L39*INDEX(Assumptions!$C$94:$E$94,$B$3)+L40*INDEX(Assumptions!$C$95:$E$95,$B$3)+L41*INDEX(Assumptions!$C$96:$E$96,$B$3))*$N$3</f>
        <v>27422.5429354885</v>
      </c>
      <c r="M65" s="8" t="n">
        <f aca="false">(M39*INDEX(Assumptions!$C$94:$E$94,$B$3)+M40*INDEX(Assumptions!$C$95:$E$95,$B$3)+M41*INDEX(Assumptions!$C$96:$E$96,$B$3))*$N$3</f>
        <v>29121.5182566027</v>
      </c>
      <c r="N65" s="8" t="n">
        <f aca="false">(N39*INDEX(Assumptions!$C$94:$E$94,$B$3)+N40*INDEX(Assumptions!$C$95:$E$95,$B$3)+N41*INDEX(Assumptions!$C$96:$E$96,$B$3))*$N$3</f>
        <v>30820.4935777168</v>
      </c>
      <c r="O65" s="37" t="n">
        <f aca="false">SUM(C65:N65)</f>
        <v>237680.439547554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11839.8489237293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14881.3187007909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14764.7090746458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29851.7737342885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32287.2184346255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29072.856961131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28210.4961015111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27650.0887606062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27096.3113790388</v>
      </c>
      <c r="O68" s="37" t="n">
        <f aca="false">SUM(C68:N68)</f>
        <v>234421.27101313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2889.23076923077</v>
      </c>
      <c r="G69" s="8" t="n">
        <f aca="false">G33*INDEX(Assumptions!$C$198:$E$198,$B$3)*INDEX(Assumptions!$C$69:$E$69,$B$3)</f>
        <v>3883.84615384615</v>
      </c>
      <c r="H69" s="8" t="n">
        <f aca="false">H33*INDEX(Assumptions!$C$198:$E$198,$B$3)*INDEX(Assumptions!$C$69:$E$69,$B$3)</f>
        <v>3621.5315495861</v>
      </c>
      <c r="I69" s="8" t="n">
        <f aca="false">I33*INDEX(Assumptions!$C$198:$E$198,$B$3)*INDEX(Assumptions!$C$69:$E$69,$B$3)</f>
        <v>6720</v>
      </c>
      <c r="J69" s="8" t="n">
        <f aca="false">J33*INDEX(Assumptions!$C$198:$E$198,$B$3)*INDEX(Assumptions!$C$69:$E$69,$B$3)</f>
        <v>6978.46153846154</v>
      </c>
      <c r="K69" s="8" t="n">
        <f aca="false">K33*INDEX(Assumptions!$C$198:$E$198,$B$3)*INDEX(Assumptions!$C$69:$E$69,$B$3)</f>
        <v>5966.66013719258</v>
      </c>
      <c r="L69" s="8" t="n">
        <f aca="false">L33*INDEX(Assumptions!$C$198:$E$198,$B$3)*INDEX(Assumptions!$C$69:$E$69,$B$3)</f>
        <v>5686.15384615385</v>
      </c>
      <c r="M69" s="8" t="n">
        <f aca="false">M33*INDEX(Assumptions!$C$198:$E$198,$B$3)*INDEX(Assumptions!$C$69:$E$69,$B$3)</f>
        <v>5427.69230769231</v>
      </c>
      <c r="N69" s="8" t="n">
        <f aca="false">N33*INDEX(Assumptions!$C$198:$E$198,$B$3)*INDEX(Assumptions!$C$69:$E$69,$B$3)</f>
        <v>5169.23076923077</v>
      </c>
      <c r="O69" s="37" t="n">
        <f aca="false">SUM(C69:N69)</f>
        <v>51293.1820713941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89788.8528203955</v>
      </c>
      <c r="G70" s="37" t="n">
        <f aca="false">SUM(G62:G69)</f>
        <v>115866.010286878</v>
      </c>
      <c r="H70" s="37" t="n">
        <f aca="false">SUM(H62:H69)</f>
        <v>114119.285748507</v>
      </c>
      <c r="I70" s="37" t="n">
        <f aca="false">SUM(I62:I69)</f>
        <v>116404.253244824</v>
      </c>
      <c r="J70" s="37" t="n">
        <f aca="false">SUM(J62:J69)</f>
        <v>128088.730918389</v>
      </c>
      <c r="K70" s="37" t="n">
        <f aca="false">SUM(K62:K69)</f>
        <v>141909.433281017</v>
      </c>
      <c r="L70" s="37" t="n">
        <f aca="false">SUM(L62:L69)</f>
        <v>141165.954278554</v>
      </c>
      <c r="M70" s="37" t="n">
        <f aca="false">SUM(M62:M69)</f>
        <v>139717.145478747</v>
      </c>
      <c r="N70" s="37" t="n">
        <f aca="false">SUM(N62:N69)</f>
        <v>138301.420341371</v>
      </c>
      <c r="O70" s="31" t="n">
        <f aca="false">SUM(C70:N70)</f>
        <v>1268816.75991931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277093.419045577</v>
      </c>
      <c r="G71" s="37" t="n">
        <f aca="false">G59-G70</f>
        <v>333287.500502827</v>
      </c>
      <c r="H71" s="37" t="n">
        <f aca="false">H59-H70</f>
        <v>341535.206235939</v>
      </c>
      <c r="I71" s="37" t="n">
        <f aca="false">I59-I70</f>
        <v>728319.974776536</v>
      </c>
      <c r="J71" s="37" t="n">
        <f aca="false">J59-J70</f>
        <v>786073.14538582</v>
      </c>
      <c r="K71" s="37" t="n">
        <f aca="false">K59-K70</f>
        <v>697714.225989575</v>
      </c>
      <c r="L71" s="37" t="n">
        <f aca="false">L59-L70</f>
        <v>681395.908714697</v>
      </c>
      <c r="M71" s="37" t="n">
        <f aca="false">M59-M70</f>
        <v>676099.288314864</v>
      </c>
      <c r="N71" s="37" t="n">
        <f aca="false">N59-N70</f>
        <v>670919.413842152</v>
      </c>
      <c r="O71" s="31" t="n">
        <f aca="false">SUM(C71:N71)</f>
        <v>5615432.88858875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0.75526521801196</v>
      </c>
      <c r="G72" s="7" t="n">
        <f aca="false">IFERROR(G71/G59,0)</f>
        <v>0.742034721974761</v>
      </c>
      <c r="H72" s="7" t="n">
        <f aca="false">IFERROR(H71/H59,0)</f>
        <v>0.749548643202222</v>
      </c>
      <c r="I72" s="7" t="n">
        <f aca="false">IFERROR(I71/I59,0)</f>
        <v>0.862198514753764</v>
      </c>
      <c r="J72" s="7" t="n">
        <f aca="false">IFERROR(J71/J59,0)</f>
        <v>0.859883972151378</v>
      </c>
      <c r="K72" s="7" t="n">
        <f aca="false">IFERROR(K71/K59,0)</f>
        <v>0.830984475348994</v>
      </c>
      <c r="L72" s="7" t="n">
        <f aca="false">IFERROR(L71/L59,0)</f>
        <v>0.828382568376244</v>
      </c>
      <c r="M72" s="7" t="n">
        <f aca="false">IFERROR(M71/M59,0)</f>
        <v>0.8287394814676</v>
      </c>
      <c r="N72" s="7" t="n">
        <f aca="false">IFERROR(N71/N59,0)</f>
        <v>0.829093104750679</v>
      </c>
      <c r="O72" s="13" t="n">
        <f aca="false">IFERROR(O71/O59,0)</f>
        <v>0.815692802454617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-69739.5809544231</v>
      </c>
      <c r="G94" s="37" t="n">
        <f aca="false">G71-G93</f>
        <v>-33545.4994971735</v>
      </c>
      <c r="H94" s="37" t="n">
        <f aca="false">H71-H93</f>
        <v>-47797.7937640615</v>
      </c>
      <c r="I94" s="37" t="n">
        <f aca="false">I71-I93</f>
        <v>218386.974776536</v>
      </c>
      <c r="J94" s="37" t="n">
        <f aca="false">J71-J93</f>
        <v>276140.14538582</v>
      </c>
      <c r="K94" s="37" t="n">
        <f aca="false">K71-K93</f>
        <v>182781.225989575</v>
      </c>
      <c r="L94" s="37" t="n">
        <f aca="false">L71-L93</f>
        <v>166462.908714697</v>
      </c>
      <c r="M94" s="37" t="n">
        <f aca="false">M71-M93</f>
        <v>161166.288314864</v>
      </c>
      <c r="N94" s="37" t="n">
        <f aca="false">N71-N93</f>
        <v>155986.413842152</v>
      </c>
      <c r="O94" s="31" t="n">
        <f aca="false">SUM(C94:N94)</f>
        <v>342336.888588744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-0.190087083248056</v>
      </c>
      <c r="G95" s="7" t="n">
        <f aca="false">IFERROR(G94/G59,0)</f>
        <v>-0.0746860453972487</v>
      </c>
      <c r="H95" s="7" t="n">
        <f aca="false">IFERROR(H94/H59,0)</f>
        <v>-0.104899204561541</v>
      </c>
      <c r="I95" s="7" t="n">
        <f aca="false">IFERROR(I94/I59,0)</f>
        <v>0.258530497329377</v>
      </c>
      <c r="J95" s="7" t="n">
        <f aca="false">IFERROR(J94/J59,0)</f>
        <v>0.302069198621807</v>
      </c>
      <c r="K95" s="7" t="n">
        <f aca="false">IFERROR(K94/K59,0)</f>
        <v>0.217694229993903</v>
      </c>
      <c r="L95" s="7" t="n">
        <f aca="false">IFERROR(L94/L59,0)</f>
        <v>0.202371294128503</v>
      </c>
      <c r="M95" s="7" t="n">
        <f aca="false">IFERROR(M94/M59,0)</f>
        <v>0.19755214731999</v>
      </c>
      <c r="N95" s="7" t="n">
        <f aca="false">IFERROR(N94/N59,0)</f>
        <v>0.192761242979534</v>
      </c>
      <c r="O95" s="7" t="n">
        <f aca="false">IFERROR(O94/O59,0)</f>
        <v>0.0497275529022884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-144739.580954423</v>
      </c>
      <c r="G96" s="8" t="n">
        <f aca="false">G94-INDEX(Assumptions!$C$163:$E$163,$B$3)</f>
        <v>-108545.499497174</v>
      </c>
      <c r="H96" s="8" t="n">
        <f aca="false">H94-INDEX(Assumptions!$C$163:$E$163,$B$3)</f>
        <v>-122797.793764062</v>
      </c>
      <c r="I96" s="8" t="n">
        <f aca="false">I94-INDEX(Assumptions!$C$163:$E$163,$B$3)</f>
        <v>143386.974776536</v>
      </c>
      <c r="J96" s="8" t="n">
        <f aca="false">J94-INDEX(Assumptions!$C$163:$E$163,$B$3)</f>
        <v>201140.14538582</v>
      </c>
      <c r="K96" s="8" t="n">
        <f aca="false">K94-INDEX(Assumptions!$C$163:$E$163,$B$3)</f>
        <v>107781.225989575</v>
      </c>
      <c r="L96" s="8" t="n">
        <f aca="false">L94-INDEX(Assumptions!$C$163:$E$163,$B$3)</f>
        <v>91462.9087146965</v>
      </c>
      <c r="M96" s="8" t="n">
        <f aca="false">M94-INDEX(Assumptions!$C$163:$E$163,$B$3)</f>
        <v>86166.288314864</v>
      </c>
      <c r="N96" s="8" t="n">
        <f aca="false">N94-INDEX(Assumptions!$C$163:$E$163,$B$3)</f>
        <v>80986.4138421515</v>
      </c>
      <c r="O96" s="37" t="n">
        <f aca="false">SUM(C96:N96)</f>
        <v>-557663.111411256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-29726.642845502</v>
      </c>
      <c r="G104" s="8" t="n">
        <f aca="false">((G60+IF(INDEX(Assumptions!$C$87:$E$87,$B$3)&gt;=2,F60,0)+IF(INDEX(Assumptions!$C$87:$E$87,$B$3)&gt;=3,E60,0))/INDEX(Assumptions!$C$87:$E$87,$B$3))-G60</f>
        <v>-37841.6949152542</v>
      </c>
      <c r="H104" s="8" t="n">
        <f aca="false">((H60+IF(INDEX(Assumptions!$C$87:$E$87,$B$3)&gt;=2,G60,0)+IF(INDEX(Assumptions!$C$87:$E$87,$B$3)&gt;=3,F60,0))/INDEX(Assumptions!$C$87:$E$87,$B$3))-H60</f>
        <v>9494.92083835445</v>
      </c>
      <c r="I104" s="8" t="n">
        <f aca="false">((I60+IF(INDEX(Assumptions!$C$87:$E$87,$B$3)&gt;=2,H60,0)+IF(INDEX(Assumptions!$C$87:$E$87,$B$3)&gt;=3,G60,0))/INDEX(Assumptions!$C$87:$E$87,$B$3))-I60</f>
        <v>-177902.081182548</v>
      </c>
      <c r="J104" s="8" t="n">
        <f aca="false">((J60+IF(INDEX(Assumptions!$C$87:$E$87,$B$3)&gt;=2,I60,0)+IF(INDEX(Assumptions!$C$87:$E$87,$B$3)&gt;=3,H60,0))/INDEX(Assumptions!$C$87:$E$87,$B$3))-J60</f>
        <v>-22204.1173611523</v>
      </c>
      <c r="K104" s="8" t="n">
        <f aca="false">((K60+IF(INDEX(Assumptions!$C$87:$E$87,$B$3)&gt;=2,J60,0)+IF(INDEX(Assumptions!$C$87:$E$87,$B$3)&gt;=3,I60,0))/INDEX(Assumptions!$C$87:$E$87,$B$3))-K60</f>
        <v>46640.5109876964</v>
      </c>
      <c r="L104" s="8" t="n">
        <f aca="false">((L60+IF(INDEX(Assumptions!$C$87:$E$87,$B$3)&gt;=2,K60,0)+IF(INDEX(Assumptions!$C$87:$E$87,$B$3)&gt;=3,J60,0))/INDEX(Assumptions!$C$87:$E$87,$B$3))-L60</f>
        <v>14292.449054556</v>
      </c>
      <c r="M104" s="8" t="n">
        <f aca="false">((M60+IF(INDEX(Assumptions!$C$87:$E$87,$B$3)&gt;=2,L60,0)+IF(INDEX(Assumptions!$C$87:$E$87,$B$3)&gt;=3,K60,0))/INDEX(Assumptions!$C$87:$E$87,$B$3))-M60</f>
        <v>12627.8222263266</v>
      </c>
      <c r="N104" s="8" t="n">
        <f aca="false">((N60+IF(INDEX(Assumptions!$C$87:$E$87,$B$3)&gt;=2,M60,0)+IF(INDEX(Assumptions!$C$87:$E$87,$B$3)&gt;=3,L60,0))/INDEX(Assumptions!$C$87:$E$87,$B$3))-N60</f>
        <v>12552.9074315515</v>
      </c>
      <c r="O104" s="37" t="n">
        <f aca="false">SUM(C104:N104)</f>
        <v>-251936.479791395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-99466.2237999251</v>
      </c>
      <c r="G105" s="37" t="n">
        <f aca="false">G94+G104-G103</f>
        <v>-71387.1944124277</v>
      </c>
      <c r="H105" s="37" t="n">
        <f aca="false">H94+H104-H103</f>
        <v>-1510302.87292571</v>
      </c>
      <c r="I105" s="37" t="n">
        <f aca="false">I94+I104-I103</f>
        <v>40484.893593988</v>
      </c>
      <c r="J105" s="37" t="n">
        <f aca="false">J94+J104-J103</f>
        <v>-96063.9719753325</v>
      </c>
      <c r="K105" s="37" t="n">
        <f aca="false">K94+K104-K103</f>
        <v>229421.736977271</v>
      </c>
      <c r="L105" s="37" t="n">
        <f aca="false">L94+L104-L103</f>
        <v>180755.357769253</v>
      </c>
      <c r="M105" s="37" t="n">
        <f aca="false">M94+M104-M103</f>
        <v>173794.110541191</v>
      </c>
      <c r="N105" s="37" t="n">
        <f aca="false">N94+N104-N103</f>
        <v>168539.321273703</v>
      </c>
      <c r="O105" s="31" t="n">
        <f aca="false">SUM(C105:N105)</f>
        <v>-1881599.59120265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-996840.972044589</v>
      </c>
      <c r="G106" s="37" t="n">
        <f aca="false">F106+G105</f>
        <v>-1068228.16645702</v>
      </c>
      <c r="H106" s="37" t="n">
        <f aca="false">G106+H105</f>
        <v>-2578531.03938272</v>
      </c>
      <c r="I106" s="37" t="n">
        <f aca="false">H106+I105</f>
        <v>-2538046.14578874</v>
      </c>
      <c r="J106" s="37" t="n">
        <f aca="false">I106+J105</f>
        <v>-2634110.11776407</v>
      </c>
      <c r="K106" s="37" t="n">
        <f aca="false">J106+K105</f>
        <v>-2404688.3807868</v>
      </c>
      <c r="L106" s="37" t="n">
        <f aca="false">K106+L105</f>
        <v>-2223933.02301754</v>
      </c>
      <c r="M106" s="37" t="n">
        <f aca="false">L106+M105</f>
        <v>-2050138.91247635</v>
      </c>
      <c r="N106" s="37" t="n">
        <f aca="false">M106+N105</f>
        <v>-1881599.59120265</v>
      </c>
      <c r="O106" s="31" t="n">
        <f aca="false">N106</f>
        <v>-1881599.59120265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996840.972044589</v>
      </c>
      <c r="G107" s="37" t="n">
        <f aca="false">-MIN(0,MIN($C$106:G106))</f>
        <v>1068228.16645702</v>
      </c>
      <c r="H107" s="37" t="n">
        <f aca="false">-MIN(0,MIN($C$106:H106))</f>
        <v>2578531.03938272</v>
      </c>
      <c r="I107" s="37" t="n">
        <f aca="false">-MIN(0,MIN($C$106:I106))</f>
        <v>2578531.03938272</v>
      </c>
      <c r="J107" s="37" t="n">
        <f aca="false">-MIN(0,MIN($C$106:J106))</f>
        <v>2634110.11776407</v>
      </c>
      <c r="K107" s="37" t="n">
        <f aca="false">-MIN(0,MIN($C$106:K106))</f>
        <v>2634110.11776407</v>
      </c>
      <c r="L107" s="37" t="n">
        <f aca="false">-MIN(0,MIN($C$106:L106))</f>
        <v>2634110.11776407</v>
      </c>
      <c r="M107" s="37" t="n">
        <f aca="false">-MIN(0,MIN($C$106:M106))</f>
        <v>2634110.11776407</v>
      </c>
      <c r="N107" s="37" t="n">
        <f aca="false">-MIN(0,MIN($C$106:N106))</f>
        <v>2634110.11776407</v>
      </c>
      <c r="O107" s="31" t="n">
        <f aca="false">MAX(C107:N107)</f>
        <v>2634110.11776407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6884249.64850805</v>
      </c>
    </row>
    <row r="112" customFormat="false" ht="15" hidden="false" customHeight="false" outlineLevel="0" collapsed="false">
      <c r="A112" s="3" t="s">
        <v>28</v>
      </c>
      <c r="B112" s="31" t="n">
        <f aca="false">O94</f>
        <v>342336.888588744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0.0497275529022884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-557663.111411256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2634110.11776407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365889.882235932</v>
      </c>
    </row>
    <row r="119" customFormat="false" ht="15" hidden="false" customHeight="false" outlineLevel="0" collapsed="false">
      <c r="A119" s="3" t="s">
        <v>35</v>
      </c>
      <c r="B119" s="32" t="n">
        <f aca="false">O33</f>
        <v>85.4886367856568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9.98561072186974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0.746203375273592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238465.171182438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5.50781202745153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66.0937443294183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11683.4783486154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0.172331305642077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0.454115255569586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17.4860644176682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483615.610871712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-1881599.59120265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1223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0.7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8166.66666666667</v>
      </c>
      <c r="D18" s="8" t="n">
        <f aca="false">INDEX(Assumptions!$C$115:$E$115,$B$3)*INDEX(Assumptions!$C$120:$E$120,$B$3)*$L$3/$F$3</f>
        <v>8166.66666666667</v>
      </c>
      <c r="E18" s="8" t="n">
        <f aca="false">INDEX(Assumptions!$C$115:$E$115,$B$3)*INDEX(Assumptions!$C$120:$E$120,$B$3)*$L$3/$F$3</f>
        <v>8166.66666666667</v>
      </c>
      <c r="F18" s="8" t="n">
        <f aca="false">INDEX(Assumptions!$C$115:$E$115,$B$3)*INDEX(Assumptions!$C$120:$E$120,$B$3)*$L$3/$F$3</f>
        <v>8166.66666666667</v>
      </c>
      <c r="G18" s="8" t="n">
        <f aca="false">INDEX(Assumptions!$C$115:$E$115,$B$3)*INDEX(Assumptions!$C$120:$E$120,$B$3)*$L$3/$F$3</f>
        <v>8166.66666666667</v>
      </c>
      <c r="H18" s="8" t="n">
        <f aca="false">INDEX(Assumptions!$C$115:$E$115,$B$3)*INDEX(Assumptions!$C$120:$E$120,$B$3)*$L$3/$F$3</f>
        <v>8166.66666666667</v>
      </c>
      <c r="I18" s="8" t="n">
        <f aca="false">INDEX(Assumptions!$C$115:$E$115,$B$3)*INDEX(Assumptions!$C$120:$E$120,$B$3)*$L$3/$F$3</f>
        <v>8166.66666666667</v>
      </c>
      <c r="J18" s="8" t="n">
        <f aca="false">INDEX(Assumptions!$C$115:$E$115,$B$3)*INDEX(Assumptions!$C$120:$E$120,$B$3)*$L$3/$F$3</f>
        <v>8166.66666666667</v>
      </c>
      <c r="K18" s="8" t="n">
        <f aca="false">INDEX(Assumptions!$C$115:$E$115,$B$3)*INDEX(Assumptions!$C$120:$E$120,$B$3)*$L$3/$F$3</f>
        <v>8166.66666666667</v>
      </c>
      <c r="L18" s="8" t="n">
        <f aca="false">INDEX(Assumptions!$C$115:$E$115,$B$3)*INDEX(Assumptions!$C$120:$E$120,$B$3)*$L$3/$F$3</f>
        <v>8166.66666666667</v>
      </c>
      <c r="M18" s="8" t="n">
        <f aca="false">INDEX(Assumptions!$C$115:$E$115,$B$3)*INDEX(Assumptions!$C$120:$E$120,$B$3)*$L$3/$F$3</f>
        <v>8166.66666666667</v>
      </c>
      <c r="N18" s="8" t="n">
        <f aca="false">INDEX(Assumptions!$C$115:$E$115,$B$3)*INDEX(Assumptions!$C$120:$E$120,$B$3)*$L$3/$F$3</f>
        <v>8166.66666666667</v>
      </c>
      <c r="O18" s="37" t="n">
        <f aca="false">AVERAGE(C18:N18)</f>
        <v>8166.66666666667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1.28571428571429</v>
      </c>
      <c r="D20" s="27" t="n">
        <f aca="false">D17*INDEX(Assumptions!$C$119:$E$119,$B$3)/D18</f>
        <v>3.42857142857143</v>
      </c>
      <c r="E20" s="27" t="n">
        <f aca="false">E17*INDEX(Assumptions!$C$119:$E$119,$B$3)/E18</f>
        <v>4.28571428571429</v>
      </c>
      <c r="F20" s="27" t="n">
        <f aca="false">F17*INDEX(Assumptions!$C$119:$E$119,$B$3)/F18</f>
        <v>5.14285714285714</v>
      </c>
      <c r="G20" s="27" t="n">
        <f aca="false">G17*INDEX(Assumptions!$C$119:$E$119,$B$3)/G18</f>
        <v>6.85714285714286</v>
      </c>
      <c r="H20" s="27" t="n">
        <f aca="false">H17*INDEX(Assumptions!$C$119:$E$119,$B$3)/H18</f>
        <v>7.71428571428571</v>
      </c>
      <c r="I20" s="27" t="n">
        <f aca="false">I17*INDEX(Assumptions!$C$119:$E$119,$B$3)/I18</f>
        <v>8.57142857142857</v>
      </c>
      <c r="J20" s="27" t="n">
        <f aca="false">J17*INDEX(Assumptions!$C$119:$E$119,$B$3)/J18</f>
        <v>8.57142857142857</v>
      </c>
      <c r="K20" s="27" t="n">
        <f aca="false">K17*INDEX(Assumptions!$C$119:$E$119,$B$3)/K18</f>
        <v>8.57142857142857</v>
      </c>
      <c r="L20" s="27" t="n">
        <f aca="false">L17*INDEX(Assumptions!$C$119:$E$119,$B$3)/L18</f>
        <v>8.57142857142857</v>
      </c>
      <c r="M20" s="27" t="n">
        <f aca="false">M17*INDEX(Assumptions!$C$119:$E$119,$B$3)/M18</f>
        <v>8.57142857142857</v>
      </c>
      <c r="N20" s="27" t="n">
        <f aca="false">N17*INDEX(Assumptions!$C$119:$E$119,$B$3)/N18</f>
        <v>8.57142857142857</v>
      </c>
      <c r="O20" s="35" t="n">
        <f aca="false">SUM(C20:N20)</f>
        <v>80.1428571428572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-204431.846949089</v>
      </c>
      <c r="D94" s="37" t="n">
        <f aca="false">D71-D93</f>
        <v>-180295.945499012</v>
      </c>
      <c r="E94" s="37" t="n">
        <f aca="false">E71-E93</f>
        <v>-282776.401771139</v>
      </c>
      <c r="F94" s="37" t="n">
        <f aca="false">F71-F93</f>
        <v>-64086.1106493325</v>
      </c>
      <c r="G94" s="37" t="n">
        <f aca="false">G71-G93</f>
        <v>-24837.549215548</v>
      </c>
      <c r="H94" s="37" t="n">
        <f aca="false">H71-H93</f>
        <v>-55300.9091869309</v>
      </c>
      <c r="I94" s="37" t="n">
        <f aca="false">I71-I93</f>
        <v>304206.086462996</v>
      </c>
      <c r="J94" s="37" t="n">
        <f aca="false">J71-J93</f>
        <v>345971.2739035</v>
      </c>
      <c r="K94" s="37" t="n">
        <f aca="false">K71-K93</f>
        <v>92789.8368900374</v>
      </c>
      <c r="L94" s="37" t="n">
        <f aca="false">L71-L93</f>
        <v>206205.829945038</v>
      </c>
      <c r="M94" s="37" t="n">
        <f aca="false">M71-M93</f>
        <v>233854.335614711</v>
      </c>
      <c r="N94" s="37" t="n">
        <f aca="false">N71-N93</f>
        <v>226901.227051843</v>
      </c>
      <c r="O94" s="31" t="n">
        <f aca="false">SUM(C94:N94)</f>
        <v>598199.826597075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-1.71586795068215</v>
      </c>
      <c r="D95" s="7" t="n">
        <f aca="false">IFERROR(D94/D59,0)</f>
        <v>-1.01291095972206</v>
      </c>
      <c r="E95" s="7" t="n">
        <f aca="false">IFERROR(E94/E59,0)</f>
        <v>-1.05000057873777</v>
      </c>
      <c r="F95" s="7" t="n">
        <f aca="false">IFERROR(F94/F59,0)</f>
        <v>-0.170831334726804</v>
      </c>
      <c r="G95" s="7" t="n">
        <f aca="false">IFERROR(G94/G59,0)</f>
        <v>-0.0537700809325076</v>
      </c>
      <c r="H95" s="7" t="n">
        <f aca="false">IFERROR(H94/H59,0)</f>
        <v>-0.124377739677173</v>
      </c>
      <c r="I95" s="7" t="n">
        <f aca="false">IFERROR(I94/I59,0)</f>
        <v>0.322383162675481</v>
      </c>
      <c r="J95" s="7" t="n">
        <f aca="false">IFERROR(J94/J59,0)</f>
        <v>0.347589403405718</v>
      </c>
      <c r="K95" s="7" t="n">
        <f aca="false">IFERROR(K94/K59,0)</f>
        <v>0.126153869185509</v>
      </c>
      <c r="L95" s="7" t="n">
        <f aca="false">IFERROR(L94/L59,0)</f>
        <v>0.237602165500221</v>
      </c>
      <c r="M95" s="7" t="n">
        <f aca="false">IFERROR(M94/M59,0)</f>
        <v>0.259711423196139</v>
      </c>
      <c r="N95" s="7" t="n">
        <f aca="false">IFERROR(N94/N59,0)</f>
        <v>0.254379166733019</v>
      </c>
      <c r="O95" s="7" t="n">
        <f aca="false">IFERROR(O94/O59,0)</f>
        <v>0.0832810244159277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-279431.846949089</v>
      </c>
      <c r="D96" s="8" t="n">
        <f aca="false">D94-INDEX(Assumptions!$C$163:$E$163,$B$3)</f>
        <v>-255295.945499012</v>
      </c>
      <c r="E96" s="8" t="n">
        <f aca="false">E94-INDEX(Assumptions!$C$163:$E$163,$B$3)</f>
        <v>-357776.401771139</v>
      </c>
      <c r="F96" s="8" t="n">
        <f aca="false">F94-INDEX(Assumptions!$C$163:$E$163,$B$3)</f>
        <v>-139086.110649333</v>
      </c>
      <c r="G96" s="8" t="n">
        <f aca="false">G94-INDEX(Assumptions!$C$163:$E$163,$B$3)</f>
        <v>-99837.549215548</v>
      </c>
      <c r="H96" s="8" t="n">
        <f aca="false">H94-INDEX(Assumptions!$C$163:$E$163,$B$3)</f>
        <v>-130300.909186931</v>
      </c>
      <c r="I96" s="8" t="n">
        <f aca="false">I94-INDEX(Assumptions!$C$163:$E$163,$B$3)</f>
        <v>229206.086462996</v>
      </c>
      <c r="J96" s="8" t="n">
        <f aca="false">J94-INDEX(Assumptions!$C$163:$E$163,$B$3)</f>
        <v>270971.2739035</v>
      </c>
      <c r="K96" s="8" t="n">
        <f aca="false">K94-INDEX(Assumptions!$C$163:$E$163,$B$3)</f>
        <v>17789.8368900374</v>
      </c>
      <c r="L96" s="8" t="n">
        <f aca="false">L94-INDEX(Assumptions!$C$163:$E$163,$B$3)</f>
        <v>131205.829945038</v>
      </c>
      <c r="M96" s="8" t="n">
        <f aca="false">M94-INDEX(Assumptions!$C$163:$E$163,$B$3)</f>
        <v>158854.335614711</v>
      </c>
      <c r="N96" s="8" t="n">
        <f aca="false">N94-INDEX(Assumptions!$C$163:$E$163,$B$3)</f>
        <v>151901.227051843</v>
      </c>
      <c r="O96" s="37" t="n">
        <f aca="false">SUM(C96:N96)</f>
        <v>-301800.173402925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-398465.745254174</v>
      </c>
      <c r="D105" s="37" t="n">
        <f aca="false">D94+D104-D103</f>
        <v>-198866.485753249</v>
      </c>
      <c r="E105" s="37" t="n">
        <f aca="false">E94+E104-E103</f>
        <v>-300042.51723724</v>
      </c>
      <c r="F105" s="37" t="n">
        <f aca="false">F94+F104-F103</f>
        <v>-97877.4210306885</v>
      </c>
      <c r="G105" s="37" t="n">
        <f aca="false">G94+G104-G103</f>
        <v>-64900.2610799548</v>
      </c>
      <c r="H105" s="37" t="n">
        <f aca="false">H94+H104-H103</f>
        <v>-1505703.18695092</v>
      </c>
      <c r="I105" s="37" t="n">
        <f aca="false">I94+I104-I103</f>
        <v>72197.7085110777</v>
      </c>
      <c r="J105" s="37" t="n">
        <f aca="false">J94+J104-J103</f>
        <v>-17480.1822338678</v>
      </c>
      <c r="K105" s="37" t="n">
        <f aca="false">K94+K104-K103</f>
        <v>231122.277534305</v>
      </c>
      <c r="L105" s="37" t="n">
        <f aca="false">L94+L104-L103</f>
        <v>146512.251914249</v>
      </c>
      <c r="M105" s="37" t="n">
        <f aca="false">M94+M104-M103</f>
        <v>226935.894209493</v>
      </c>
      <c r="N105" s="37" t="n">
        <f aca="false">N94+N104-N103</f>
        <v>240341.222781604</v>
      </c>
      <c r="O105" s="31" t="n">
        <f aca="false">SUM(C105:N105)</f>
        <v>-1666226.44458937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-398465.745254174</v>
      </c>
      <c r="D106" s="37" t="n">
        <f aca="false">C106+D105</f>
        <v>-597332.231007423</v>
      </c>
      <c r="E106" s="37" t="n">
        <f aca="false">D106+E105</f>
        <v>-897374.748244664</v>
      </c>
      <c r="F106" s="37" t="n">
        <f aca="false">E106+F105</f>
        <v>-995252.169275352</v>
      </c>
      <c r="G106" s="37" t="n">
        <f aca="false">F106+G105</f>
        <v>-1060152.43035531</v>
      </c>
      <c r="H106" s="37" t="n">
        <f aca="false">G106+H105</f>
        <v>-2565855.61730623</v>
      </c>
      <c r="I106" s="37" t="n">
        <f aca="false">H106+I105</f>
        <v>-2493657.90879515</v>
      </c>
      <c r="J106" s="37" t="n">
        <f aca="false">I106+J105</f>
        <v>-2511138.09102902</v>
      </c>
      <c r="K106" s="37" t="n">
        <f aca="false">J106+K105</f>
        <v>-2280015.81349471</v>
      </c>
      <c r="L106" s="37" t="n">
        <f aca="false">K106+L105</f>
        <v>-2133503.56158046</v>
      </c>
      <c r="M106" s="37" t="n">
        <f aca="false">L106+M105</f>
        <v>-1906567.66737097</v>
      </c>
      <c r="N106" s="37" t="n">
        <f aca="false">M106+N105</f>
        <v>-1666226.44458937</v>
      </c>
      <c r="O106" s="31" t="n">
        <f aca="false">N106</f>
        <v>-1666226.44458937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398465.745254174</v>
      </c>
      <c r="D107" s="37" t="n">
        <f aca="false">-MIN(0,MIN($C$106:D106))</f>
        <v>597332.231007423</v>
      </c>
      <c r="E107" s="37" t="n">
        <f aca="false">-MIN(0,MIN($C$106:E106))</f>
        <v>897374.748244664</v>
      </c>
      <c r="F107" s="37" t="n">
        <f aca="false">-MIN(0,MIN($C$106:F106))</f>
        <v>995252.169275352</v>
      </c>
      <c r="G107" s="37" t="n">
        <f aca="false">-MIN(0,MIN($C$106:G106))</f>
        <v>1060152.43035531</v>
      </c>
      <c r="H107" s="37" t="n">
        <f aca="false">-MIN(0,MIN($C$106:H106))</f>
        <v>2565855.61730623</v>
      </c>
      <c r="I107" s="37" t="n">
        <f aca="false">-MIN(0,MIN($C$106:I106))</f>
        <v>2565855.61730623</v>
      </c>
      <c r="J107" s="37" t="n">
        <f aca="false">-MIN(0,MIN($C$106:J106))</f>
        <v>2565855.61730623</v>
      </c>
      <c r="K107" s="37" t="n">
        <f aca="false">-MIN(0,MIN($C$106:K106))</f>
        <v>2565855.61730623</v>
      </c>
      <c r="L107" s="37" t="n">
        <f aca="false">-MIN(0,MIN($C$106:L106))</f>
        <v>2565855.61730623</v>
      </c>
      <c r="M107" s="37" t="n">
        <f aca="false">-MIN(0,MIN($C$106:M106))</f>
        <v>2565855.61730623</v>
      </c>
      <c r="N107" s="37" t="n">
        <f aca="false">-MIN(0,MIN($C$106:N106))</f>
        <v>2565855.61730623</v>
      </c>
      <c r="O107" s="31" t="n">
        <f aca="false">MAX(C107:N107)</f>
        <v>2565855.61730623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598199.826597075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0.0832810244159277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-301800.173402925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2565855.61730623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434144.382693774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5.47965738818625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65.755888658235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666961.392611592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-1666226.44458937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1224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1.25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9000</v>
      </c>
      <c r="D62" s="8" t="n">
        <f aca="false">((D29+D32)*INDEX(Assumptions!$C$91:$E$91,$B$3)+D30*INDEX(Assumptions!$C$93:$E$93,$B$3))*$N$3</f>
        <v>14177.8125</v>
      </c>
      <c r="E62" s="8" t="n">
        <f aca="false">((E29+E32)*INDEX(Assumptions!$C$91:$E$91,$B$3)+E30*INDEX(Assumptions!$C$93:$E$93,$B$3))*$N$3</f>
        <v>18225.5625</v>
      </c>
      <c r="F62" s="8" t="n">
        <f aca="false">((F29+F32)*INDEX(Assumptions!$C$91:$E$91,$B$3)+F30*INDEX(Assumptions!$C$93:$E$93,$B$3))*$N$3</f>
        <v>25650</v>
      </c>
      <c r="G62" s="8" t="n">
        <f aca="false">((G29+G32)*INDEX(Assumptions!$C$91:$E$91,$B$3)+G30*INDEX(Assumptions!$C$93:$E$93,$B$3))*$N$3</f>
        <v>34875</v>
      </c>
      <c r="H62" s="8" t="n">
        <f aca="false">((H29+H32)*INDEX(Assumptions!$C$91:$E$91,$B$3)+H30*INDEX(Assumptions!$C$93:$E$93,$B$3))*$N$3</f>
        <v>30093.9853556485</v>
      </c>
      <c r="I62" s="8" t="n">
        <f aca="false">((I29+I32)*INDEX(Assumptions!$C$91:$E$91,$B$3)+I30*INDEX(Assumptions!$C$93:$E$93,$B$3))*$N$3</f>
        <v>63714.3043933054</v>
      </c>
      <c r="J62" s="8" t="n">
        <f aca="false">((J29+J32)*INDEX(Assumptions!$C$91:$E$91,$B$3)+J30*INDEX(Assumptions!$C$93:$E$93,$B$3))*$N$3</f>
        <v>69718.5870534598</v>
      </c>
      <c r="K62" s="8" t="n">
        <f aca="false">((K29+K32)*INDEX(Assumptions!$C$91:$E$91,$B$3)+K30*INDEX(Assumptions!$C$93:$E$93,$B$3))*$N$3</f>
        <v>44503.6697030301</v>
      </c>
      <c r="L62" s="8" t="n">
        <f aca="false">((L29+L32)*INDEX(Assumptions!$C$91:$E$91,$B$3)+L30*INDEX(Assumptions!$C$93:$E$93,$B$3))*$N$3</f>
        <v>56940.8417957334</v>
      </c>
      <c r="M62" s="8" t="n">
        <f aca="false">((M29+M32)*INDEX(Assumptions!$C$91:$E$91,$B$3)+M30*INDEX(Assumptions!$C$93:$E$93,$B$3))*$N$3</f>
        <v>59604.195434333</v>
      </c>
      <c r="N62" s="8" t="n">
        <f aca="false">((N29+N32)*INDEX(Assumptions!$C$91:$E$91,$B$3)+N30*INDEX(Assumptions!$C$93:$E$93,$B$3))*$N$3</f>
        <v>57262.5</v>
      </c>
      <c r="O62" s="37" t="n">
        <f aca="false">SUM(C62:N62)</f>
        <v>483766.45873551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18000</v>
      </c>
      <c r="D63" s="8" t="n">
        <f aca="false">(D29+D30)*D47*INDEX(Assumptions!$C$14:$E$14,$B$3)*$N$3</f>
        <v>24755.625</v>
      </c>
      <c r="E63" s="8" t="n">
        <f aca="false">(E29+E30)*E47*INDEX(Assumptions!$C$14:$E$14,$B$3)*$N$3</f>
        <v>31500</v>
      </c>
      <c r="F63" s="8" t="n">
        <f aca="false">(F29+F30)*F47*INDEX(Assumptions!$C$14:$E$14,$B$3)*$N$3</f>
        <v>45000</v>
      </c>
      <c r="G63" s="8" t="n">
        <f aca="false">(G29+G30)*G47*INDEX(Assumptions!$C$14:$E$14,$B$3)*$N$3</f>
        <v>60750</v>
      </c>
      <c r="H63" s="8" t="n">
        <f aca="false">(H29+H30)*H47*INDEX(Assumptions!$C$14:$E$14,$B$3)*$N$3</f>
        <v>52143.0439330544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232148.668933054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2000</v>
      </c>
      <c r="D64" s="8" t="n">
        <f aca="false">D31*INDEX(Assumptions!$C$92:$E$92,$B$3)*$N$3</f>
        <v>2750.625</v>
      </c>
      <c r="E64" s="8" t="n">
        <f aca="false">E31*INDEX(Assumptions!$C$92:$E$92,$B$3)*$N$3</f>
        <v>3500</v>
      </c>
      <c r="F64" s="8" t="n">
        <f aca="false">F31*INDEX(Assumptions!$C$92:$E$92,$B$3)*$N$3</f>
        <v>5000</v>
      </c>
      <c r="G64" s="8" t="n">
        <f aca="false">G31*INDEX(Assumptions!$C$92:$E$92,$B$3)*$N$3</f>
        <v>6750</v>
      </c>
      <c r="H64" s="8" t="n">
        <f aca="false">H31*INDEX(Assumptions!$C$92:$E$92,$B$3)*$N$3</f>
        <v>5793.67154811715</v>
      </c>
      <c r="I64" s="8" t="n">
        <f aca="false">I31*INDEX(Assumptions!$C$92:$E$92,$B$3)*$N$3</f>
        <v>13000</v>
      </c>
      <c r="J64" s="8" t="n">
        <f aca="false">J31*INDEX(Assumptions!$C$92:$E$92,$B$3)*$N$3</f>
        <v>12991.0410658621</v>
      </c>
      <c r="K64" s="8" t="n">
        <f aca="false">K31*INDEX(Assumptions!$C$92:$E$92,$B$3)*$N$3</f>
        <v>8187.81295006821</v>
      </c>
      <c r="L64" s="8" t="n">
        <f aca="false">L31*INDEX(Assumptions!$C$92:$E$92,$B$3)*$N$3</f>
        <v>10445.6338159255</v>
      </c>
      <c r="M64" s="8" t="n">
        <f aca="false">M31*INDEX(Assumptions!$C$92:$E$92,$B$3)*$N$3</f>
        <v>10500</v>
      </c>
      <c r="N64" s="8" t="n">
        <f aca="false">N31*INDEX(Assumptions!$C$92:$E$92,$B$3)*$N$3</f>
        <v>10000</v>
      </c>
      <c r="O64" s="37" t="n">
        <f aca="false">SUM(C64:N64)</f>
        <v>90918.784379973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4086.30393996248</v>
      </c>
      <c r="D65" s="8" t="n">
        <f aca="false">(D39*INDEX(Assumptions!$C$94:$E$94,$B$3)+D40*INDEX(Assumptions!$C$95:$E$95,$B$3)+D41*INDEX(Assumptions!$C$96:$E$96,$B$3))*$N$3</f>
        <v>6806.35113742964</v>
      </c>
      <c r="E65" s="8" t="n">
        <f aca="false">(E39*INDEX(Assumptions!$C$94:$E$94,$B$3)+E40*INDEX(Assumptions!$C$95:$E$95,$B$3)+E41*INDEX(Assumptions!$C$96:$E$96,$B$3))*$N$3</f>
        <v>14276.0318949343</v>
      </c>
      <c r="F65" s="8" t="n">
        <f aca="false">(F39*INDEX(Assumptions!$C$94:$E$94,$B$3)+F40*INDEX(Assumptions!$C$95:$E$95,$B$3)+F41*INDEX(Assumptions!$C$96:$E$96,$B$3))*$N$3</f>
        <v>19715.7598499062</v>
      </c>
      <c r="G65" s="8" t="n">
        <f aca="false">(G39*INDEX(Assumptions!$C$94:$E$94,$B$3)+G40*INDEX(Assumptions!$C$95:$E$95,$B$3)+G41*INDEX(Assumptions!$C$96:$E$96,$B$3))*$N$3</f>
        <v>21478.7757973734</v>
      </c>
      <c r="H65" s="8" t="n">
        <f aca="false">(H39*INDEX(Assumptions!$C$94:$E$94,$B$3)+H40*INDEX(Assumptions!$C$95:$E$95,$B$3)+H41*INDEX(Assumptions!$C$96:$E$96,$B$3))*$N$3</f>
        <v>25565.0797373358</v>
      </c>
      <c r="I65" s="8" t="n">
        <f aca="false">(I39*INDEX(Assumptions!$C$94:$E$94,$B$3)+I40*INDEX(Assumptions!$C$95:$E$95,$B$3)+I41*INDEX(Assumptions!$C$96:$E$96,$B$3))*$N$3</f>
        <v>30310.9756097561</v>
      </c>
      <c r="J65" s="8" t="n">
        <f aca="false">(J39*INDEX(Assumptions!$C$94:$E$94,$B$3)+J40*INDEX(Assumptions!$C$95:$E$95,$B$3)+J41*INDEX(Assumptions!$C$96:$E$96,$B$3))*$N$3</f>
        <v>33957.5515947467</v>
      </c>
      <c r="K65" s="8" t="n">
        <f aca="false">(K39*INDEX(Assumptions!$C$94:$E$94,$B$3)+K40*INDEX(Assumptions!$C$95:$E$95,$B$3)+K41*INDEX(Assumptions!$C$96:$E$96,$B$3))*$N$3</f>
        <v>33664.3996247655</v>
      </c>
      <c r="L65" s="8" t="n">
        <f aca="false">(L39*INDEX(Assumptions!$C$94:$E$94,$B$3)+L40*INDEX(Assumptions!$C$95:$E$95,$B$3)+L41*INDEX(Assumptions!$C$96:$E$96,$B$3))*$N$3</f>
        <v>34724.6716697936</v>
      </c>
      <c r="M65" s="8" t="n">
        <f aca="false">(M39*INDEX(Assumptions!$C$94:$E$94,$B$3)+M40*INDEX(Assumptions!$C$95:$E$95,$B$3)+M41*INDEX(Assumptions!$C$96:$E$96,$B$3))*$N$3</f>
        <v>36828.095684803</v>
      </c>
      <c r="N65" s="8" t="n">
        <f aca="false">(N39*INDEX(Assumptions!$C$94:$E$94,$B$3)+N40*INDEX(Assumptions!$C$95:$E$95,$B$3)+N41*INDEX(Assumptions!$C$96:$E$96,$B$3))*$N$3</f>
        <v>38931.5196998124</v>
      </c>
      <c r="O65" s="37" t="n">
        <f aca="false">SUM(C65:N65)</f>
        <v>300345.516240619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38358.0538686679</v>
      </c>
      <c r="D70" s="37" t="n">
        <f aca="false">SUM(D62:D69)</f>
        <v>56158.8510050024</v>
      </c>
      <c r="E70" s="37" t="n">
        <f aca="false">SUM(E62:E69)</f>
        <v>78754.4310414189</v>
      </c>
      <c r="F70" s="37" t="n">
        <f aca="false">SUM(F62:F69)</f>
        <v>111468.86015167</v>
      </c>
      <c r="G70" s="37" t="n">
        <f aca="false">SUM(G62:G69)</f>
        <v>144696.670026754</v>
      </c>
      <c r="H70" s="37" t="n">
        <f aca="false">SUM(H62:H69)</f>
        <v>133307.697019836</v>
      </c>
      <c r="I70" s="37" t="n">
        <f aca="false">SUM(I62:I69)</f>
        <v>150882.515570505</v>
      </c>
      <c r="J70" s="37" t="n">
        <f aca="false">SUM(J62:J69)</f>
        <v>162773.8719575</v>
      </c>
      <c r="K70" s="37" t="n">
        <f aca="false">SUM(K62:K69)</f>
        <v>145077.400141475</v>
      </c>
      <c r="L70" s="37" t="n">
        <f aca="false">SUM(L62:L69)</f>
        <v>167145.144419662</v>
      </c>
      <c r="M70" s="37" t="n">
        <f aca="false">SUM(M62:M69)</f>
        <v>173038.282106923</v>
      </c>
      <c r="N70" s="37" t="n">
        <f aca="false">SUM(N62:N69)</f>
        <v>171384.96178334</v>
      </c>
      <c r="O70" s="31" t="n">
        <f aca="false">SUM(C70:N70)</f>
        <v>1533046.73909275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80783.8922629186</v>
      </c>
      <c r="D71" s="37" t="n">
        <f aca="false">D59-D70</f>
        <v>121838.971773502</v>
      </c>
      <c r="E71" s="37" t="n">
        <f aca="false">E59-E70</f>
        <v>190556.279349874</v>
      </c>
      <c r="F71" s="37" t="n">
        <f aca="false">F59-F70</f>
        <v>263673.737380686</v>
      </c>
      <c r="G71" s="37" t="n">
        <f aca="false">G59-G70</f>
        <v>317224.695624977</v>
      </c>
      <c r="H71" s="37" t="n">
        <f aca="false">H59-H70</f>
        <v>311312.934698238</v>
      </c>
      <c r="I71" s="37" t="n">
        <f aca="false">I59-I70</f>
        <v>792734.030462384</v>
      </c>
      <c r="J71" s="37" t="n">
        <f aca="false">J59-J70</f>
        <v>832570.837960687</v>
      </c>
      <c r="K71" s="37" t="n">
        <f aca="false">K59-K70</f>
        <v>590451.660434465</v>
      </c>
      <c r="L71" s="37" t="n">
        <f aca="false">L59-L70</f>
        <v>700716.600488748</v>
      </c>
      <c r="M71" s="37" t="n">
        <f aca="false">M59-M70</f>
        <v>727400.877390884</v>
      </c>
      <c r="N71" s="37" t="n">
        <f aca="false">N59-N70</f>
        <v>720595.423111881</v>
      </c>
      <c r="O71" s="31" t="n">
        <f aca="false">SUM(C71:N71)</f>
        <v>5649859.94093924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0.678047445806338</v>
      </c>
      <c r="D72" s="7" t="n">
        <f aca="false">IFERROR(D71/D59,0)</f>
        <v>0.684496977949641</v>
      </c>
      <c r="E72" s="7" t="n">
        <f aca="false">IFERROR(E71/E59,0)</f>
        <v>0.707570371312032</v>
      </c>
      <c r="F72" s="7" t="n">
        <f aca="false">IFERROR(F71/F59,0)</f>
        <v>0.702862695719178</v>
      </c>
      <c r="G72" s="7" t="n">
        <f aca="false">IFERROR(G71/G59,0)</f>
        <v>0.68675042813272</v>
      </c>
      <c r="H72" s="7" t="n">
        <f aca="false">IFERROR(H71/H59,0)</f>
        <v>0.700176538131581</v>
      </c>
      <c r="I72" s="7" t="n">
        <f aca="false">IFERROR(I71/I59,0)</f>
        <v>0.840101875910466</v>
      </c>
      <c r="J72" s="7" t="n">
        <f aca="false">IFERROR(J71/J59,0)</f>
        <v>0.836464824361322</v>
      </c>
      <c r="K72" s="7" t="n">
        <f aca="false">IFERROR(K71/K59,0)</f>
        <v>0.802757759118484</v>
      </c>
      <c r="L72" s="7" t="n">
        <f aca="false">IFERROR(L71/L59,0)</f>
        <v>0.807405793145887</v>
      </c>
      <c r="M72" s="7" t="n">
        <f aca="false">IFERROR(M71/M59,0)</f>
        <v>0.807829012896962</v>
      </c>
      <c r="N72" s="7" t="n">
        <f aca="false">IFERROR(N71/N59,0)</f>
        <v>0.807860167459319</v>
      </c>
      <c r="O72" s="13" t="n">
        <f aca="false">IFERROR(O71/O59,0)</f>
        <v>0.786570143900864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-211049.107737081</v>
      </c>
      <c r="D94" s="37" t="n">
        <f aca="false">D71-D93</f>
        <v>-189994.028226498</v>
      </c>
      <c r="E94" s="37" t="n">
        <f aca="false">E71-E93</f>
        <v>-296276.720650126</v>
      </c>
      <c r="F94" s="37" t="n">
        <f aca="false">F71-F93</f>
        <v>-83159.2626193138</v>
      </c>
      <c r="G94" s="37" t="n">
        <f aca="false">G71-G93</f>
        <v>-49608.3043750227</v>
      </c>
      <c r="H94" s="37" t="n">
        <f aca="false">H71-H93</f>
        <v>-78020.0653017621</v>
      </c>
      <c r="I94" s="37" t="n">
        <f aca="false">I71-I93</f>
        <v>282801.030462384</v>
      </c>
      <c r="J94" s="37" t="n">
        <f aca="false">J71-J93</f>
        <v>322637.837960687</v>
      </c>
      <c r="K94" s="37" t="n">
        <f aca="false">K71-K93</f>
        <v>75518.6604344647</v>
      </c>
      <c r="L94" s="37" t="n">
        <f aca="false">L71-L93</f>
        <v>185783.600488748</v>
      </c>
      <c r="M94" s="37" t="n">
        <f aca="false">M71-M93</f>
        <v>212467.877390884</v>
      </c>
      <c r="N94" s="37" t="n">
        <f aca="false">N71-N93</f>
        <v>205662.423111881</v>
      </c>
      <c r="O94" s="31" t="n">
        <f aca="false">SUM(C94:N94)</f>
        <v>376763.940939243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-1.77140893354208</v>
      </c>
      <c r="D95" s="7" t="n">
        <f aca="false">IFERROR(D94/D59,0)</f>
        <v>-1.06739523697951</v>
      </c>
      <c r="E95" s="7" t="n">
        <f aca="false">IFERROR(E94/E59,0)</f>
        <v>-1.10012973572292</v>
      </c>
      <c r="F95" s="7" t="n">
        <f aca="false">IFERROR(F94/F59,0)</f>
        <v>-0.221673739976014</v>
      </c>
      <c r="G95" s="7" t="n">
        <f aca="false">IFERROR(G94/G59,0)</f>
        <v>-0.107395561374455</v>
      </c>
      <c r="H95" s="7" t="n">
        <f aca="false">IFERROR(H94/H59,0)</f>
        <v>-0.175475584658053</v>
      </c>
      <c r="I95" s="7" t="n">
        <f aca="false">IFERROR(I94/I59,0)</f>
        <v>0.299699100923276</v>
      </c>
      <c r="J95" s="7" t="n">
        <f aca="false">IFERROR(J94/J59,0)</f>
        <v>0.324146835509083</v>
      </c>
      <c r="K95" s="7" t="n">
        <f aca="false">IFERROR(K94/K59,0)</f>
        <v>0.102672572005967</v>
      </c>
      <c r="L95" s="7" t="n">
        <f aca="false">IFERROR(L94/L59,0)</f>
        <v>0.214070503255509</v>
      </c>
      <c r="M95" s="7" t="n">
        <f aca="false">IFERROR(M94/M59,0)</f>
        <v>0.235960281324705</v>
      </c>
      <c r="N95" s="7" t="n">
        <f aca="false">IFERROR(N94/N59,0)</f>
        <v>0.2305683248136</v>
      </c>
      <c r="O95" s="7" t="n">
        <f aca="false">IFERROR(O94/O59,0)</f>
        <v>0.052452851989101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-286049.107737082</v>
      </c>
      <c r="D96" s="8" t="n">
        <f aca="false">D94-INDEX(Assumptions!$C$163:$E$163,$B$3)</f>
        <v>-264994.028226498</v>
      </c>
      <c r="E96" s="8" t="n">
        <f aca="false">E94-INDEX(Assumptions!$C$163:$E$163,$B$3)</f>
        <v>-371276.720650126</v>
      </c>
      <c r="F96" s="8" t="n">
        <f aca="false">F94-INDEX(Assumptions!$C$163:$E$163,$B$3)</f>
        <v>-158159.262619314</v>
      </c>
      <c r="G96" s="8" t="n">
        <f aca="false">G94-INDEX(Assumptions!$C$163:$E$163,$B$3)</f>
        <v>-124608.304375023</v>
      </c>
      <c r="H96" s="8" t="n">
        <f aca="false">H94-INDEX(Assumptions!$C$163:$E$163,$B$3)</f>
        <v>-153020.065301762</v>
      </c>
      <c r="I96" s="8" t="n">
        <f aca="false">I94-INDEX(Assumptions!$C$163:$E$163,$B$3)</f>
        <v>207801.030462384</v>
      </c>
      <c r="J96" s="8" t="n">
        <f aca="false">J94-INDEX(Assumptions!$C$163:$E$163,$B$3)</f>
        <v>247637.837960687</v>
      </c>
      <c r="K96" s="8" t="n">
        <f aca="false">K94-INDEX(Assumptions!$C$163:$E$163,$B$3)</f>
        <v>518.660434464691</v>
      </c>
      <c r="L96" s="8" t="n">
        <f aca="false">L94-INDEX(Assumptions!$C$163:$E$163,$B$3)</f>
        <v>110783.600488748</v>
      </c>
      <c r="M96" s="8" t="n">
        <f aca="false">M94-INDEX(Assumptions!$C$163:$E$163,$B$3)</f>
        <v>137467.877390884</v>
      </c>
      <c r="N96" s="8" t="n">
        <f aca="false">N94-INDEX(Assumptions!$C$163:$E$163,$B$3)</f>
        <v>130662.423111881</v>
      </c>
      <c r="O96" s="37" t="n">
        <f aca="false">SUM(C96:N96)</f>
        <v>-523236.059060757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-405083.006042166</v>
      </c>
      <c r="D105" s="37" t="n">
        <f aca="false">D94+D104-D103</f>
        <v>-208564.568480735</v>
      </c>
      <c r="E105" s="37" t="n">
        <f aca="false">E94+E104-E103</f>
        <v>-313542.836116227</v>
      </c>
      <c r="F105" s="37" t="n">
        <f aca="false">F94+F104-F103</f>
        <v>-116950.57300067</v>
      </c>
      <c r="G105" s="37" t="n">
        <f aca="false">G94+G104-G103</f>
        <v>-89671.0162394295</v>
      </c>
      <c r="H105" s="37" t="n">
        <f aca="false">H94+H104-H103</f>
        <v>-1528422.34306575</v>
      </c>
      <c r="I105" s="37" t="n">
        <f aca="false">I94+I104-I103</f>
        <v>50792.6525104654</v>
      </c>
      <c r="J105" s="37" t="n">
        <f aca="false">J94+J104-J103</f>
        <v>-40813.6181766816</v>
      </c>
      <c r="K105" s="37" t="n">
        <f aca="false">K94+K104-K103</f>
        <v>213851.101078733</v>
      </c>
      <c r="L105" s="37" t="n">
        <f aca="false">L94+L104-L103</f>
        <v>126090.022457958</v>
      </c>
      <c r="M105" s="37" t="n">
        <f aca="false">M94+M104-M103</f>
        <v>205549.435985665</v>
      </c>
      <c r="N105" s="37" t="n">
        <f aca="false">N94+N104-N103</f>
        <v>219102.418841641</v>
      </c>
      <c r="O105" s="31" t="n">
        <f aca="false">SUM(C105:N105)</f>
        <v>-1887662.3302472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-405083.006042166</v>
      </c>
      <c r="D106" s="37" t="n">
        <f aca="false">C106+D105</f>
        <v>-613647.574522902</v>
      </c>
      <c r="E106" s="37" t="n">
        <f aca="false">D106+E105</f>
        <v>-927190.410639129</v>
      </c>
      <c r="F106" s="37" t="n">
        <f aca="false">E106+F105</f>
        <v>-1044140.9836398</v>
      </c>
      <c r="G106" s="37" t="n">
        <f aca="false">F106+G105</f>
        <v>-1133811.99987923</v>
      </c>
      <c r="H106" s="37" t="n">
        <f aca="false">G106+H105</f>
        <v>-2662234.34294498</v>
      </c>
      <c r="I106" s="37" t="n">
        <f aca="false">H106+I105</f>
        <v>-2611441.69043451</v>
      </c>
      <c r="J106" s="37" t="n">
        <f aca="false">I106+J105</f>
        <v>-2652255.30861119</v>
      </c>
      <c r="K106" s="37" t="n">
        <f aca="false">J106+K105</f>
        <v>-2438404.20753246</v>
      </c>
      <c r="L106" s="37" t="n">
        <f aca="false">K106+L105</f>
        <v>-2312314.1850745</v>
      </c>
      <c r="M106" s="37" t="n">
        <f aca="false">L106+M105</f>
        <v>-2106764.74908884</v>
      </c>
      <c r="N106" s="37" t="n">
        <f aca="false">M106+N105</f>
        <v>-1887662.3302472</v>
      </c>
      <c r="O106" s="31" t="n">
        <f aca="false">N106</f>
        <v>-1887662.3302472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405083.006042166</v>
      </c>
      <c r="D107" s="37" t="n">
        <f aca="false">-MIN(0,MIN($C$106:D106))</f>
        <v>613647.574522902</v>
      </c>
      <c r="E107" s="37" t="n">
        <f aca="false">-MIN(0,MIN($C$106:E106))</f>
        <v>927190.410639129</v>
      </c>
      <c r="F107" s="37" t="n">
        <f aca="false">-MIN(0,MIN($C$106:F106))</f>
        <v>1044140.9836398</v>
      </c>
      <c r="G107" s="37" t="n">
        <f aca="false">-MIN(0,MIN($C$106:G106))</f>
        <v>1133811.99987923</v>
      </c>
      <c r="H107" s="37" t="n">
        <f aca="false">-MIN(0,MIN($C$106:H106))</f>
        <v>2662234.34294498</v>
      </c>
      <c r="I107" s="37" t="n">
        <f aca="false">-MIN(0,MIN($C$106:I106))</f>
        <v>2662234.34294498</v>
      </c>
      <c r="J107" s="37" t="n">
        <f aca="false">-MIN(0,MIN($C$106:J106))</f>
        <v>2662234.34294498</v>
      </c>
      <c r="K107" s="37" t="n">
        <f aca="false">-MIN(0,MIN($C$106:K106))</f>
        <v>2662234.34294498</v>
      </c>
      <c r="L107" s="37" t="n">
        <f aca="false">-MIN(0,MIN($C$106:L106))</f>
        <v>2662234.34294498</v>
      </c>
      <c r="M107" s="37" t="n">
        <f aca="false">-MIN(0,MIN($C$106:M106))</f>
        <v>2662234.34294498</v>
      </c>
      <c r="N107" s="37" t="n">
        <f aca="false">-MIN(0,MIN($C$106:N106))</f>
        <v>2662234.34294498</v>
      </c>
      <c r="O107" s="31" t="n">
        <f aca="false">MAX(C107:N107)</f>
        <v>2662234.34294498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376763.940939243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0.052452851989101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-523236.059060757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2662234.34294498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337765.657055022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48850.3317372881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232092.105739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5.78994828084461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69.4793793701354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603913.900991512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-1887662.3302472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1225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0.75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5400</v>
      </c>
      <c r="D62" s="8" t="n">
        <f aca="false">((D29+D32)*INDEX(Assumptions!$C$91:$E$91,$B$3)+D30*INDEX(Assumptions!$C$93:$E$93,$B$3))*$N$3</f>
        <v>8506.6875</v>
      </c>
      <c r="E62" s="8" t="n">
        <f aca="false">((E29+E32)*INDEX(Assumptions!$C$91:$E$91,$B$3)+E30*INDEX(Assumptions!$C$93:$E$93,$B$3))*$N$3</f>
        <v>10935.3375</v>
      </c>
      <c r="F62" s="8" t="n">
        <f aca="false">((F29+F32)*INDEX(Assumptions!$C$91:$E$91,$B$3)+F30*INDEX(Assumptions!$C$93:$E$93,$B$3))*$N$3</f>
        <v>15390</v>
      </c>
      <c r="G62" s="8" t="n">
        <f aca="false">((G29+G32)*INDEX(Assumptions!$C$91:$E$91,$B$3)+G30*INDEX(Assumptions!$C$93:$E$93,$B$3))*$N$3</f>
        <v>20925</v>
      </c>
      <c r="H62" s="8" t="n">
        <f aca="false">((H29+H32)*INDEX(Assumptions!$C$91:$E$91,$B$3)+H30*INDEX(Assumptions!$C$93:$E$93,$B$3))*$N$3</f>
        <v>18056.3912133891</v>
      </c>
      <c r="I62" s="8" t="n">
        <f aca="false">((I29+I32)*INDEX(Assumptions!$C$91:$E$91,$B$3)+I30*INDEX(Assumptions!$C$93:$E$93,$B$3))*$N$3</f>
        <v>38228.5826359833</v>
      </c>
      <c r="J62" s="8" t="n">
        <f aca="false">((J29+J32)*INDEX(Assumptions!$C$91:$E$91,$B$3)+J30*INDEX(Assumptions!$C$93:$E$93,$B$3))*$N$3</f>
        <v>41831.1522320759</v>
      </c>
      <c r="K62" s="8" t="n">
        <f aca="false">((K29+K32)*INDEX(Assumptions!$C$91:$E$91,$B$3)+K30*INDEX(Assumptions!$C$93:$E$93,$B$3))*$N$3</f>
        <v>26702.2018218181</v>
      </c>
      <c r="L62" s="8" t="n">
        <f aca="false">((L29+L32)*INDEX(Assumptions!$C$91:$E$91,$B$3)+L30*INDEX(Assumptions!$C$93:$E$93,$B$3))*$N$3</f>
        <v>34164.5050774401</v>
      </c>
      <c r="M62" s="8" t="n">
        <f aca="false">((M29+M32)*INDEX(Assumptions!$C$91:$E$91,$B$3)+M30*INDEX(Assumptions!$C$93:$E$93,$B$3))*$N$3</f>
        <v>35762.5172605998</v>
      </c>
      <c r="N62" s="8" t="n">
        <f aca="false">((N29+N32)*INDEX(Assumptions!$C$91:$E$91,$B$3)+N30*INDEX(Assumptions!$C$93:$E$93,$B$3))*$N$3</f>
        <v>34357.5</v>
      </c>
      <c r="O62" s="37" t="n">
        <f aca="false">SUM(C62:N62)</f>
        <v>290259.875241306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10800</v>
      </c>
      <c r="D63" s="8" t="n">
        <f aca="false">(D29+D30)*D47*INDEX(Assumptions!$C$14:$E$14,$B$3)*$N$3</f>
        <v>14853.375</v>
      </c>
      <c r="E63" s="8" t="n">
        <f aca="false">(E29+E30)*E47*INDEX(Assumptions!$C$14:$E$14,$B$3)*$N$3</f>
        <v>18900</v>
      </c>
      <c r="F63" s="8" t="n">
        <f aca="false">(F29+F30)*F47*INDEX(Assumptions!$C$14:$E$14,$B$3)*$N$3</f>
        <v>27000</v>
      </c>
      <c r="G63" s="8" t="n">
        <f aca="false">(G29+G30)*G47*INDEX(Assumptions!$C$14:$E$14,$B$3)*$N$3</f>
        <v>36450</v>
      </c>
      <c r="H63" s="8" t="n">
        <f aca="false">(H29+H30)*H47*INDEX(Assumptions!$C$14:$E$14,$B$3)*$N$3</f>
        <v>31285.8263598326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139289.201359833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1200</v>
      </c>
      <c r="D64" s="8" t="n">
        <f aca="false">D31*INDEX(Assumptions!$C$92:$E$92,$B$3)*$N$3</f>
        <v>1650.375</v>
      </c>
      <c r="E64" s="8" t="n">
        <f aca="false">E31*INDEX(Assumptions!$C$92:$E$92,$B$3)*$N$3</f>
        <v>2100</v>
      </c>
      <c r="F64" s="8" t="n">
        <f aca="false">F31*INDEX(Assumptions!$C$92:$E$92,$B$3)*$N$3</f>
        <v>3000</v>
      </c>
      <c r="G64" s="8" t="n">
        <f aca="false">G31*INDEX(Assumptions!$C$92:$E$92,$B$3)*$N$3</f>
        <v>4050</v>
      </c>
      <c r="H64" s="8" t="n">
        <f aca="false">H31*INDEX(Assumptions!$C$92:$E$92,$B$3)*$N$3</f>
        <v>3476.20292887029</v>
      </c>
      <c r="I64" s="8" t="n">
        <f aca="false">I31*INDEX(Assumptions!$C$92:$E$92,$B$3)*$N$3</f>
        <v>7800</v>
      </c>
      <c r="J64" s="8" t="n">
        <f aca="false">J31*INDEX(Assumptions!$C$92:$E$92,$B$3)*$N$3</f>
        <v>7794.62463951725</v>
      </c>
      <c r="K64" s="8" t="n">
        <f aca="false">K31*INDEX(Assumptions!$C$92:$E$92,$B$3)*$N$3</f>
        <v>4912.68777004092</v>
      </c>
      <c r="L64" s="8" t="n">
        <f aca="false">L31*INDEX(Assumptions!$C$92:$E$92,$B$3)*$N$3</f>
        <v>6267.38028955532</v>
      </c>
      <c r="M64" s="8" t="n">
        <f aca="false">M31*INDEX(Assumptions!$C$92:$E$92,$B$3)*$N$3</f>
        <v>6300</v>
      </c>
      <c r="N64" s="8" t="n">
        <f aca="false">N31*INDEX(Assumptions!$C$92:$E$92,$B$3)*$N$3</f>
        <v>6000</v>
      </c>
      <c r="O64" s="37" t="n">
        <f aca="false">SUM(C64:N64)</f>
        <v>54551.2706279838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2451.78236397749</v>
      </c>
      <c r="D65" s="8" t="n">
        <f aca="false">(D39*INDEX(Assumptions!$C$94:$E$94,$B$3)+D40*INDEX(Assumptions!$C$95:$E$95,$B$3)+D41*INDEX(Assumptions!$C$96:$E$96,$B$3))*$N$3</f>
        <v>4083.81068245779</v>
      </c>
      <c r="E65" s="8" t="n">
        <f aca="false">(E39*INDEX(Assumptions!$C$94:$E$94,$B$3)+E40*INDEX(Assumptions!$C$95:$E$95,$B$3)+E41*INDEX(Assumptions!$C$96:$E$96,$B$3))*$N$3</f>
        <v>8565.6191369606</v>
      </c>
      <c r="F65" s="8" t="n">
        <f aca="false">(F39*INDEX(Assumptions!$C$94:$E$94,$B$3)+F40*INDEX(Assumptions!$C$95:$E$95,$B$3)+F41*INDEX(Assumptions!$C$96:$E$96,$B$3))*$N$3</f>
        <v>11829.4559099437</v>
      </c>
      <c r="G65" s="8" t="n">
        <f aca="false">(G39*INDEX(Assumptions!$C$94:$E$94,$B$3)+G40*INDEX(Assumptions!$C$95:$E$95,$B$3)+G41*INDEX(Assumptions!$C$96:$E$96,$B$3))*$N$3</f>
        <v>12887.265478424</v>
      </c>
      <c r="H65" s="8" t="n">
        <f aca="false">(H39*INDEX(Assumptions!$C$94:$E$94,$B$3)+H40*INDEX(Assumptions!$C$95:$E$95,$B$3)+H41*INDEX(Assumptions!$C$96:$E$96,$B$3))*$N$3</f>
        <v>15339.0478424015</v>
      </c>
      <c r="I65" s="8" t="n">
        <f aca="false">(I39*INDEX(Assumptions!$C$94:$E$94,$B$3)+I40*INDEX(Assumptions!$C$95:$E$95,$B$3)+I41*INDEX(Assumptions!$C$96:$E$96,$B$3))*$N$3</f>
        <v>18186.5853658537</v>
      </c>
      <c r="J65" s="8" t="n">
        <f aca="false">(J39*INDEX(Assumptions!$C$94:$E$94,$B$3)+J40*INDEX(Assumptions!$C$95:$E$95,$B$3)+J41*INDEX(Assumptions!$C$96:$E$96,$B$3))*$N$3</f>
        <v>20374.530956848</v>
      </c>
      <c r="K65" s="8" t="n">
        <f aca="false">(K39*INDEX(Assumptions!$C$94:$E$94,$B$3)+K40*INDEX(Assumptions!$C$95:$E$95,$B$3)+K41*INDEX(Assumptions!$C$96:$E$96,$B$3))*$N$3</f>
        <v>20198.6397748593</v>
      </c>
      <c r="L65" s="8" t="n">
        <f aca="false">(L39*INDEX(Assumptions!$C$94:$E$94,$B$3)+L40*INDEX(Assumptions!$C$95:$E$95,$B$3)+L41*INDEX(Assumptions!$C$96:$E$96,$B$3))*$N$3</f>
        <v>20834.8030018762</v>
      </c>
      <c r="M65" s="8" t="n">
        <f aca="false">(M39*INDEX(Assumptions!$C$94:$E$94,$B$3)+M40*INDEX(Assumptions!$C$95:$E$95,$B$3)+M41*INDEX(Assumptions!$C$96:$E$96,$B$3))*$N$3</f>
        <v>22096.8574108818</v>
      </c>
      <c r="N65" s="8" t="n">
        <f aca="false">(N39*INDEX(Assumptions!$C$94:$E$94,$B$3)+N40*INDEX(Assumptions!$C$95:$E$95,$B$3)+N41*INDEX(Assumptions!$C$96:$E$96,$B$3))*$N$3</f>
        <v>23358.9118198874</v>
      </c>
      <c r="O65" s="37" t="n">
        <f aca="false">SUM(C65:N65)</f>
        <v>180207.309744371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25123.5322926829</v>
      </c>
      <c r="D70" s="37" t="n">
        <f aca="false">SUM(D62:D69)</f>
        <v>36762.6855500305</v>
      </c>
      <c r="E70" s="37" t="n">
        <f aca="false">SUM(E62:E69)</f>
        <v>51753.7932834451</v>
      </c>
      <c r="F70" s="37" t="n">
        <f aca="false">SUM(F62:F69)</f>
        <v>73322.5562117073</v>
      </c>
      <c r="G70" s="37" t="n">
        <f aca="false">SUM(G62:G69)</f>
        <v>95155.1597078049</v>
      </c>
      <c r="H70" s="37" t="n">
        <f aca="false">SUM(H62:H69)</f>
        <v>87869.384790174</v>
      </c>
      <c r="I70" s="37" t="n">
        <f aca="false">SUM(I62:I69)</f>
        <v>108072.40356928</v>
      </c>
      <c r="J70" s="37" t="n">
        <f aca="false">SUM(J62:J69)</f>
        <v>116107.000071873</v>
      </c>
      <c r="K70" s="37" t="n">
        <f aca="false">SUM(K62:K69)</f>
        <v>110535.047230329</v>
      </c>
      <c r="L70" s="37" t="n">
        <f aca="false">SUM(L62:L69)</f>
        <v>126300.685507081</v>
      </c>
      <c r="M70" s="37" t="n">
        <f aca="false">SUM(M62:M69)</f>
        <v>130265.365659269</v>
      </c>
      <c r="N70" s="37" t="n">
        <f aca="false">SUM(N62:N69)</f>
        <v>128907.353903415</v>
      </c>
      <c r="O70" s="31" t="n">
        <f aca="false">SUM(C70:N70)</f>
        <v>1090174.96777709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94018.4138389036</v>
      </c>
      <c r="D71" s="37" t="n">
        <f aca="false">D59-D70</f>
        <v>141235.137228474</v>
      </c>
      <c r="E71" s="37" t="n">
        <f aca="false">E59-E70</f>
        <v>217556.917107848</v>
      </c>
      <c r="F71" s="37" t="n">
        <f aca="false">F59-F70</f>
        <v>301820.041320649</v>
      </c>
      <c r="G71" s="37" t="n">
        <f aca="false">G59-G70</f>
        <v>366766.205943927</v>
      </c>
      <c r="H71" s="37" t="n">
        <f aca="false">H59-H70</f>
        <v>356751.2469279</v>
      </c>
      <c r="I71" s="37" t="n">
        <f aca="false">I59-I70</f>
        <v>835544.142463608</v>
      </c>
      <c r="J71" s="37" t="n">
        <f aca="false">J59-J70</f>
        <v>879237.709846314</v>
      </c>
      <c r="K71" s="37" t="n">
        <f aca="false">K59-K70</f>
        <v>624994.01334561</v>
      </c>
      <c r="L71" s="37" t="n">
        <f aca="false">L59-L70</f>
        <v>741561.059401329</v>
      </c>
      <c r="M71" s="37" t="n">
        <f aca="false">M59-M70</f>
        <v>770173.793838538</v>
      </c>
      <c r="N71" s="37" t="n">
        <f aca="false">N59-N70</f>
        <v>763073.030991806</v>
      </c>
      <c r="O71" s="31" t="n">
        <f aca="false">SUM(C71:N71)</f>
        <v>6092731.71225491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0.789129411526187</v>
      </c>
      <c r="D72" s="7" t="n">
        <f aca="false">IFERROR(D71/D59,0)</f>
        <v>0.793465532464535</v>
      </c>
      <c r="E72" s="7" t="n">
        <f aca="false">IFERROR(E71/E59,0)</f>
        <v>0.807828685282328</v>
      </c>
      <c r="F72" s="7" t="n">
        <f aca="false">IFERROR(F71/F59,0)</f>
        <v>0.804547506217597</v>
      </c>
      <c r="G72" s="7" t="n">
        <f aca="false">IFERROR(G71/G59,0)</f>
        <v>0.794001389016615</v>
      </c>
      <c r="H72" s="7" t="n">
        <f aca="false">IFERROR(H71/H59,0)</f>
        <v>0.802372228093342</v>
      </c>
      <c r="I72" s="7" t="n">
        <f aca="false">IFERROR(I71/I59,0)</f>
        <v>0.885469999414875</v>
      </c>
      <c r="J72" s="7" t="n">
        <f aca="false">IFERROR(J71/J59,0)</f>
        <v>0.883349960154592</v>
      </c>
      <c r="K72" s="7" t="n">
        <f aca="false">IFERROR(K71/K59,0)</f>
        <v>0.849720353477567</v>
      </c>
      <c r="L72" s="7" t="n">
        <f aca="false">IFERROR(L71/L59,0)</f>
        <v>0.854469117635309</v>
      </c>
      <c r="M72" s="7" t="n">
        <f aca="false">IFERROR(M71/M59,0)</f>
        <v>0.85533129663983</v>
      </c>
      <c r="N72" s="7" t="n">
        <f aca="false">IFERROR(N71/N59,0)</f>
        <v>0.855481851298157</v>
      </c>
      <c r="O72" s="13" t="n">
        <f aca="false">IFERROR(O71/O59,0)</f>
        <v>0.848226488754517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-197814.586161096</v>
      </c>
      <c r="D94" s="37" t="n">
        <f aca="false">D71-D93</f>
        <v>-170597.862771526</v>
      </c>
      <c r="E94" s="37" t="n">
        <f aca="false">E71-E93</f>
        <v>-269276.082892152</v>
      </c>
      <c r="F94" s="37" t="n">
        <f aca="false">F71-F93</f>
        <v>-45012.9586793513</v>
      </c>
      <c r="G94" s="37" t="n">
        <f aca="false">G71-G93</f>
        <v>-66.7940560734132</v>
      </c>
      <c r="H94" s="37" t="n">
        <f aca="false">H71-H93</f>
        <v>-32581.7530720996</v>
      </c>
      <c r="I94" s="37" t="n">
        <f aca="false">I71-I93</f>
        <v>325611.142463608</v>
      </c>
      <c r="J94" s="37" t="n">
        <f aca="false">J71-J93</f>
        <v>369304.709846314</v>
      </c>
      <c r="K94" s="37" t="n">
        <f aca="false">K71-K93</f>
        <v>110061.01334561</v>
      </c>
      <c r="L94" s="37" t="n">
        <f aca="false">L71-L93</f>
        <v>226628.059401329</v>
      </c>
      <c r="M94" s="37" t="n">
        <f aca="false">M71-M93</f>
        <v>255240.793838538</v>
      </c>
      <c r="N94" s="37" t="n">
        <f aca="false">N71-N93</f>
        <v>248140.030991806</v>
      </c>
      <c r="O94" s="31" t="n">
        <f aca="false">SUM(C94:N94)</f>
        <v>819635.712254906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-1.66032696782223</v>
      </c>
      <c r="D95" s="7" t="n">
        <f aca="false">IFERROR(D94/D59,0)</f>
        <v>-0.958426682464614</v>
      </c>
      <c r="E95" s="7" t="n">
        <f aca="false">IFERROR(E94/E59,0)</f>
        <v>-0.999871421752625</v>
      </c>
      <c r="F95" s="7" t="n">
        <f aca="false">IFERROR(F94/F59,0)</f>
        <v>-0.119988929477594</v>
      </c>
      <c r="G95" s="7" t="n">
        <f aca="false">IFERROR(G94/G59,0)</f>
        <v>-0.00014460049056006</v>
      </c>
      <c r="H95" s="7" t="n">
        <f aca="false">IFERROR(H94/H59,0)</f>
        <v>-0.0732798946962927</v>
      </c>
      <c r="I95" s="7" t="n">
        <f aca="false">IFERROR(I94/I59,0)</f>
        <v>0.345067224427686</v>
      </c>
      <c r="J95" s="7" t="n">
        <f aca="false">IFERROR(J94/J59,0)</f>
        <v>0.371031971302354</v>
      </c>
      <c r="K95" s="7" t="n">
        <f aca="false">IFERROR(K94/K59,0)</f>
        <v>0.149635166365051</v>
      </c>
      <c r="L95" s="7" t="n">
        <f aca="false">IFERROR(L94/L59,0)</f>
        <v>0.261133827744932</v>
      </c>
      <c r="M95" s="7" t="n">
        <f aca="false">IFERROR(M94/M59,0)</f>
        <v>0.283462565067573</v>
      </c>
      <c r="N95" s="7" t="n">
        <f aca="false">IFERROR(N94/N59,0)</f>
        <v>0.278190008652437</v>
      </c>
      <c r="O95" s="7" t="n">
        <f aca="false">IFERROR(O94/O59,0)</f>
        <v>0.114109196842754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-272814.586161096</v>
      </c>
      <c r="D96" s="8" t="n">
        <f aca="false">D94-INDEX(Assumptions!$C$163:$E$163,$B$3)</f>
        <v>-245597.862771526</v>
      </c>
      <c r="E96" s="8" t="n">
        <f aca="false">E94-INDEX(Assumptions!$C$163:$E$163,$B$3)</f>
        <v>-344276.082892152</v>
      </c>
      <c r="F96" s="8" t="n">
        <f aca="false">F94-INDEX(Assumptions!$C$163:$E$163,$B$3)</f>
        <v>-120012.958679351</v>
      </c>
      <c r="G96" s="8" t="n">
        <f aca="false">G94-INDEX(Assumptions!$C$163:$E$163,$B$3)</f>
        <v>-75066.7940560734</v>
      </c>
      <c r="H96" s="8" t="n">
        <f aca="false">H94-INDEX(Assumptions!$C$163:$E$163,$B$3)</f>
        <v>-107581.7530721</v>
      </c>
      <c r="I96" s="8" t="n">
        <f aca="false">I94-INDEX(Assumptions!$C$163:$E$163,$B$3)</f>
        <v>250611.142463608</v>
      </c>
      <c r="J96" s="8" t="n">
        <f aca="false">J94-INDEX(Assumptions!$C$163:$E$163,$B$3)</f>
        <v>294304.709846314</v>
      </c>
      <c r="K96" s="8" t="n">
        <f aca="false">K94-INDEX(Assumptions!$C$163:$E$163,$B$3)</f>
        <v>35061.0133456101</v>
      </c>
      <c r="L96" s="8" t="n">
        <f aca="false">L94-INDEX(Assumptions!$C$163:$E$163,$B$3)</f>
        <v>151628.059401329</v>
      </c>
      <c r="M96" s="8" t="n">
        <f aca="false">M94-INDEX(Assumptions!$C$163:$E$163,$B$3)</f>
        <v>180240.793838538</v>
      </c>
      <c r="N96" s="8" t="n">
        <f aca="false">N94-INDEX(Assumptions!$C$163:$E$163,$B$3)</f>
        <v>173140.030991806</v>
      </c>
      <c r="O96" s="37" t="n">
        <f aca="false">SUM(C96:N96)</f>
        <v>-80364.2877450942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-391848.484466181</v>
      </c>
      <c r="D105" s="37" t="n">
        <f aca="false">D94+D104-D103</f>
        <v>-189168.403025763</v>
      </c>
      <c r="E105" s="37" t="n">
        <f aca="false">E94+E104-E103</f>
        <v>-286542.198358254</v>
      </c>
      <c r="F105" s="37" t="n">
        <f aca="false">F94+F104-F103</f>
        <v>-78804.2690607072</v>
      </c>
      <c r="G105" s="37" t="n">
        <f aca="false">G94+G104-G103</f>
        <v>-40129.5059204802</v>
      </c>
      <c r="H105" s="37" t="n">
        <f aca="false">H94+H104-H103</f>
        <v>-1482984.03083609</v>
      </c>
      <c r="I105" s="37" t="n">
        <f aca="false">I94+I104-I103</f>
        <v>93602.7645116899</v>
      </c>
      <c r="J105" s="37" t="n">
        <f aca="false">J94+J104-J103</f>
        <v>5853.25370894582</v>
      </c>
      <c r="K105" s="37" t="n">
        <f aca="false">K94+K104-K103</f>
        <v>248393.453989878</v>
      </c>
      <c r="L105" s="37" t="n">
        <f aca="false">L94+L104-L103</f>
        <v>166934.481370539</v>
      </c>
      <c r="M105" s="37" t="n">
        <f aca="false">M94+M104-M103</f>
        <v>248322.35243332</v>
      </c>
      <c r="N105" s="37" t="n">
        <f aca="false">N94+N104-N103</f>
        <v>261580.026721566</v>
      </c>
      <c r="O105" s="31" t="n">
        <f aca="false">SUM(C105:N105)</f>
        <v>-1444790.55893153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-391848.484466181</v>
      </c>
      <c r="D106" s="37" t="n">
        <f aca="false">C106+D105</f>
        <v>-581016.887491945</v>
      </c>
      <c r="E106" s="37" t="n">
        <f aca="false">D106+E105</f>
        <v>-867559.085850198</v>
      </c>
      <c r="F106" s="37" t="n">
        <f aca="false">E106+F105</f>
        <v>-946363.354910906</v>
      </c>
      <c r="G106" s="37" t="n">
        <f aca="false">F106+G105</f>
        <v>-986492.860831386</v>
      </c>
      <c r="H106" s="37" t="n">
        <f aca="false">G106+H105</f>
        <v>-2469476.89166747</v>
      </c>
      <c r="I106" s="37" t="n">
        <f aca="false">H106+I105</f>
        <v>-2375874.12715578</v>
      </c>
      <c r="J106" s="37" t="n">
        <f aca="false">I106+J105</f>
        <v>-2370020.87344684</v>
      </c>
      <c r="K106" s="37" t="n">
        <f aca="false">J106+K105</f>
        <v>-2121627.41945696</v>
      </c>
      <c r="L106" s="37" t="n">
        <f aca="false">K106+L105</f>
        <v>-1954692.93808642</v>
      </c>
      <c r="M106" s="37" t="n">
        <f aca="false">L106+M105</f>
        <v>-1706370.5856531</v>
      </c>
      <c r="N106" s="37" t="n">
        <f aca="false">M106+N105</f>
        <v>-1444790.55893153</v>
      </c>
      <c r="O106" s="31" t="n">
        <f aca="false">N106</f>
        <v>-1444790.55893153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391848.484466181</v>
      </c>
      <c r="D107" s="37" t="n">
        <f aca="false">-MIN(0,MIN($C$106:D106))</f>
        <v>581016.887491945</v>
      </c>
      <c r="E107" s="37" t="n">
        <f aca="false">-MIN(0,MIN($C$106:E106))</f>
        <v>867559.085850198</v>
      </c>
      <c r="F107" s="37" t="n">
        <f aca="false">-MIN(0,MIN($C$106:F106))</f>
        <v>946363.354910906</v>
      </c>
      <c r="G107" s="37" t="n">
        <f aca="false">-MIN(0,MIN($C$106:G106))</f>
        <v>986492.860831386</v>
      </c>
      <c r="H107" s="37" t="n">
        <f aca="false">-MIN(0,MIN($C$106:H106))</f>
        <v>2469476.89166747</v>
      </c>
      <c r="I107" s="37" t="n">
        <f aca="false">-MIN(0,MIN($C$106:I106))</f>
        <v>2469476.89166747</v>
      </c>
      <c r="J107" s="37" t="n">
        <f aca="false">-MIN(0,MIN($C$106:J106))</f>
        <v>2469476.89166747</v>
      </c>
      <c r="K107" s="37" t="n">
        <f aca="false">-MIN(0,MIN($C$106:K106))</f>
        <v>2469476.89166747</v>
      </c>
      <c r="L107" s="37" t="n">
        <f aca="false">-MIN(0,MIN($C$106:L106))</f>
        <v>2469476.89166747</v>
      </c>
      <c r="M107" s="37" t="n">
        <f aca="false">-MIN(0,MIN($C$106:M106))</f>
        <v>2469476.89166747</v>
      </c>
      <c r="N107" s="37" t="n">
        <f aca="false">-MIN(0,MIN($C$106:N106))</f>
        <v>2469476.89166747</v>
      </c>
      <c r="O107" s="31" t="n">
        <f aca="false">MAX(C107:N107)</f>
        <v>2469476.89166747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819635.712254906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0.114109196842754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-80364.2877450942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2469476.89166747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530523.108332526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51540.8317372881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247664.713618925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5.18556409301629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62.2267691161954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730008.884231672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-1444790.55893153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1226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1.625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56875</v>
      </c>
      <c r="D86" s="8" t="n">
        <f aca="false">IF(2&gt;=INDEX(Assumptions!$C$173:$E$173,$D$3),INDEX(Assumptions!$C$174:$E$174,$D$3)*INDEX(Assumptions!$C$175:$E$175,$B$3),INDEX(Assumptions!$C$179:$E$179,$B$3))*$F$4</f>
        <v>56875</v>
      </c>
      <c r="E86" s="8" t="n">
        <f aca="false">IF(3&gt;=INDEX(Assumptions!$C$173:$E$173,$D$3),INDEX(Assumptions!$C$174:$E$174,$D$3)*INDEX(Assumptions!$C$175:$E$175,$B$3),INDEX(Assumptions!$C$179:$E$179,$B$3))*$F$4</f>
        <v>56875</v>
      </c>
      <c r="F86" s="8" t="n">
        <f aca="false">IF(4&gt;=INDEX(Assumptions!$C$173:$E$173,$D$3),INDEX(Assumptions!$C$174:$E$174,$D$3)*INDEX(Assumptions!$C$175:$E$175,$B$3),INDEX(Assumptions!$C$179:$E$179,$B$3))*$F$4</f>
        <v>56875</v>
      </c>
      <c r="G86" s="8" t="n">
        <f aca="false">IF(5&gt;=INDEX(Assumptions!$C$173:$E$173,$D$3),INDEX(Assumptions!$C$174:$E$174,$D$3)*INDEX(Assumptions!$C$175:$E$175,$B$3),INDEX(Assumptions!$C$179:$E$179,$B$3))*$F$4</f>
        <v>56875</v>
      </c>
      <c r="H86" s="8" t="n">
        <f aca="false">IF(6&gt;=INDEX(Assumptions!$C$173:$E$173,$D$3),INDEX(Assumptions!$C$174:$E$174,$D$3)*INDEX(Assumptions!$C$175:$E$175,$B$3),INDEX(Assumptions!$C$179:$E$179,$B$3))*$F$4</f>
        <v>56875</v>
      </c>
      <c r="I86" s="8" t="n">
        <f aca="false">IF(7&gt;=INDEX(Assumptions!$C$173:$E$173,$D$3),INDEX(Assumptions!$C$174:$E$174,$D$3)*INDEX(Assumptions!$C$175:$E$175,$B$3),INDEX(Assumptions!$C$179:$E$179,$B$3))*$F$4</f>
        <v>169000</v>
      </c>
      <c r="J86" s="8" t="n">
        <f aca="false">IF(8&gt;=INDEX(Assumptions!$C$173:$E$173,$D$3),INDEX(Assumptions!$C$174:$E$174,$D$3)*INDEX(Assumptions!$C$175:$E$175,$B$3),INDEX(Assumptions!$C$179:$E$179,$B$3))*$F$4</f>
        <v>169000</v>
      </c>
      <c r="K86" s="8" t="n">
        <f aca="false">IF(9&gt;=INDEX(Assumptions!$C$173:$E$173,$D$3),INDEX(Assumptions!$C$174:$E$174,$D$3)*INDEX(Assumptions!$C$175:$E$175,$B$3),INDEX(Assumptions!$C$179:$E$179,$B$3))*$F$4</f>
        <v>169000</v>
      </c>
      <c r="L86" s="8" t="n">
        <f aca="false">IF(10&gt;=INDEX(Assumptions!$C$173:$E$173,$D$3),INDEX(Assumptions!$C$174:$E$174,$D$3)*INDEX(Assumptions!$C$175:$E$175,$B$3),INDEX(Assumptions!$C$179:$E$179,$B$3))*$F$4</f>
        <v>169000</v>
      </c>
      <c r="M86" s="8" t="n">
        <f aca="false">IF(11&gt;=INDEX(Assumptions!$C$173:$E$173,$D$3),INDEX(Assumptions!$C$174:$E$174,$D$3)*INDEX(Assumptions!$C$175:$E$175,$B$3),INDEX(Assumptions!$C$179:$E$179,$B$3))*$F$4</f>
        <v>169000</v>
      </c>
      <c r="N86" s="8" t="n">
        <f aca="false">IF(12&gt;=INDEX(Assumptions!$C$173:$E$173,$D$3),INDEX(Assumptions!$C$174:$E$174,$D$3)*INDEX(Assumptions!$C$175:$E$175,$B$3),INDEX(Assumptions!$C$179:$E$179,$B$3))*$F$4</f>
        <v>169000</v>
      </c>
      <c r="O86" s="37" t="n">
        <f aca="false">SUM(C86:N86)</f>
        <v>1355250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313708</v>
      </c>
      <c r="D93" s="37" t="n">
        <f aca="false">D84+SUM(D86:D92)</f>
        <v>333708</v>
      </c>
      <c r="E93" s="37" t="n">
        <f aca="false">E84+SUM(E86:E92)</f>
        <v>508708</v>
      </c>
      <c r="F93" s="37" t="n">
        <f aca="false">F84+SUM(F86:F92)</f>
        <v>368708</v>
      </c>
      <c r="G93" s="37" t="n">
        <f aca="false">G84+SUM(G86:G92)</f>
        <v>388708</v>
      </c>
      <c r="H93" s="37" t="n">
        <f aca="false">H84+SUM(H86:H92)</f>
        <v>411208</v>
      </c>
      <c r="I93" s="37" t="n">
        <f aca="false">I84+SUM(I86:I92)</f>
        <v>574933</v>
      </c>
      <c r="J93" s="37" t="n">
        <f aca="false">J84+SUM(J86:J92)</f>
        <v>574933</v>
      </c>
      <c r="K93" s="37" t="n">
        <f aca="false">K84+SUM(K86:K92)</f>
        <v>579933</v>
      </c>
      <c r="L93" s="37" t="n">
        <f aca="false">L84+SUM(L86:L92)</f>
        <v>579933</v>
      </c>
      <c r="M93" s="37" t="n">
        <f aca="false">M84+SUM(M86:M92)</f>
        <v>579933</v>
      </c>
      <c r="N93" s="37" t="n">
        <f aca="false">N84+SUM(N86:N92)</f>
        <v>579933</v>
      </c>
      <c r="O93" s="31" t="n">
        <f aca="false">SUM(C93:N93)</f>
        <v>5794346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-226306.846949089</v>
      </c>
      <c r="D94" s="37" t="n">
        <f aca="false">D71-D93</f>
        <v>-202170.945499012</v>
      </c>
      <c r="E94" s="37" t="n">
        <f aca="false">E71-E93</f>
        <v>-304651.401771139</v>
      </c>
      <c r="F94" s="37" t="n">
        <f aca="false">F71-F93</f>
        <v>-85961.1106493325</v>
      </c>
      <c r="G94" s="37" t="n">
        <f aca="false">G71-G93</f>
        <v>-46712.549215548</v>
      </c>
      <c r="H94" s="37" t="n">
        <f aca="false">H71-H93</f>
        <v>-77175.9091869309</v>
      </c>
      <c r="I94" s="37" t="n">
        <f aca="false">I71-I93</f>
        <v>239206.086462996</v>
      </c>
      <c r="J94" s="37" t="n">
        <f aca="false">J71-J93</f>
        <v>280971.2739035</v>
      </c>
      <c r="K94" s="37" t="n">
        <f aca="false">K71-K93</f>
        <v>27789.8368900374</v>
      </c>
      <c r="L94" s="37" t="n">
        <f aca="false">L71-L93</f>
        <v>141205.829945038</v>
      </c>
      <c r="M94" s="37" t="n">
        <f aca="false">M71-M93</f>
        <v>168854.335614711</v>
      </c>
      <c r="N94" s="37" t="n">
        <f aca="false">N71-N93</f>
        <v>161901.227051843</v>
      </c>
      <c r="O94" s="31" t="n">
        <f aca="false">SUM(C94:N94)</f>
        <v>76949.8265970747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-1.89947247209764</v>
      </c>
      <c r="D95" s="7" t="n">
        <f aca="false">IFERROR(D94/D59,0)</f>
        <v>-1.13580572134631</v>
      </c>
      <c r="E95" s="7" t="n">
        <f aca="false">IFERROR(E94/E59,0)</f>
        <v>-1.13122646079875</v>
      </c>
      <c r="F95" s="7" t="n">
        <f aca="false">IFERROR(F94/F59,0)</f>
        <v>-0.229142494653432</v>
      </c>
      <c r="G95" s="7" t="n">
        <f aca="false">IFERROR(G94/G59,0)</f>
        <v>-0.101126626064678</v>
      </c>
      <c r="H95" s="7" t="n">
        <f aca="false">IFERROR(H94/H59,0)</f>
        <v>-0.173576986044738</v>
      </c>
      <c r="I95" s="7" t="n">
        <f aca="false">IFERROR(I94/I59,0)</f>
        <v>0.253499249741493</v>
      </c>
      <c r="J95" s="7" t="n">
        <f aca="false">IFERROR(J94/J59,0)</f>
        <v>0.282285394299825</v>
      </c>
      <c r="K95" s="7" t="n">
        <f aca="false">IFERROR(K94/K59,0)</f>
        <v>0.0377821059419151</v>
      </c>
      <c r="L95" s="7" t="n">
        <f aca="false">IFERROR(L94/L59,0)</f>
        <v>0.162705443319132</v>
      </c>
      <c r="M95" s="7" t="n">
        <f aca="false">IFERROR(M94/M59,0)</f>
        <v>0.187524424980455</v>
      </c>
      <c r="N95" s="7" t="n">
        <f aca="false">IFERROR(N94/N59,0)</f>
        <v>0.181507609128492</v>
      </c>
      <c r="O95" s="7" t="n">
        <f aca="false">IFERROR(O94/O59,0)</f>
        <v>0.0107129091362122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-301306.846949089</v>
      </c>
      <c r="D96" s="8" t="n">
        <f aca="false">D94-INDEX(Assumptions!$C$163:$E$163,$B$3)</f>
        <v>-277170.945499012</v>
      </c>
      <c r="E96" s="8" t="n">
        <f aca="false">E94-INDEX(Assumptions!$C$163:$E$163,$B$3)</f>
        <v>-379651.401771139</v>
      </c>
      <c r="F96" s="8" t="n">
        <f aca="false">F94-INDEX(Assumptions!$C$163:$E$163,$B$3)</f>
        <v>-160961.110649333</v>
      </c>
      <c r="G96" s="8" t="n">
        <f aca="false">G94-INDEX(Assumptions!$C$163:$E$163,$B$3)</f>
        <v>-121712.549215548</v>
      </c>
      <c r="H96" s="8" t="n">
        <f aca="false">H94-INDEX(Assumptions!$C$163:$E$163,$B$3)</f>
        <v>-152175.909186931</v>
      </c>
      <c r="I96" s="8" t="n">
        <f aca="false">I94-INDEX(Assumptions!$C$163:$E$163,$B$3)</f>
        <v>164206.086462996</v>
      </c>
      <c r="J96" s="8" t="n">
        <f aca="false">J94-INDEX(Assumptions!$C$163:$E$163,$B$3)</f>
        <v>205971.2739035</v>
      </c>
      <c r="K96" s="8" t="n">
        <f aca="false">K94-INDEX(Assumptions!$C$163:$E$163,$B$3)</f>
        <v>-47210.1631099626</v>
      </c>
      <c r="L96" s="8" t="n">
        <f aca="false">L94-INDEX(Assumptions!$C$163:$E$163,$B$3)</f>
        <v>66205.8299450381</v>
      </c>
      <c r="M96" s="8" t="n">
        <f aca="false">M94-INDEX(Assumptions!$C$163:$E$163,$B$3)</f>
        <v>93854.3356147107</v>
      </c>
      <c r="N96" s="8" t="n">
        <f aca="false">N94-INDEX(Assumptions!$C$163:$E$163,$B$3)</f>
        <v>86901.2270518434</v>
      </c>
      <c r="O96" s="37" t="n">
        <f aca="false">SUM(C96:N96)</f>
        <v>-823050.173402925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507000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507000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1667000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2167000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-420340.745254174</v>
      </c>
      <c r="D105" s="37" t="n">
        <f aca="false">D94+D104-D103</f>
        <v>-220741.485753249</v>
      </c>
      <c r="E105" s="37" t="n">
        <f aca="false">E94+E104-E103</f>
        <v>-321917.51723724</v>
      </c>
      <c r="F105" s="37" t="n">
        <f aca="false">F94+F104-F103</f>
        <v>-119752.421030688</v>
      </c>
      <c r="G105" s="37" t="n">
        <f aca="false">G94+G104-G103</f>
        <v>-86775.2610799548</v>
      </c>
      <c r="H105" s="37" t="n">
        <f aca="false">H94+H104-H103</f>
        <v>-1722578.18695092</v>
      </c>
      <c r="I105" s="37" t="n">
        <f aca="false">I94+I104-I103</f>
        <v>7197.70851107768</v>
      </c>
      <c r="J105" s="37" t="n">
        <f aca="false">J94+J104-J103</f>
        <v>-82480.1822338678</v>
      </c>
      <c r="K105" s="37" t="n">
        <f aca="false">K94+K104-K103</f>
        <v>166122.277534305</v>
      </c>
      <c r="L105" s="37" t="n">
        <f aca="false">L94+L104-L103</f>
        <v>81512.2519142488</v>
      </c>
      <c r="M105" s="37" t="n">
        <f aca="false">M94+M104-M103</f>
        <v>161935.894209493</v>
      </c>
      <c r="N105" s="37" t="n">
        <f aca="false">N94+N104-N103</f>
        <v>175341.222781604</v>
      </c>
      <c r="O105" s="31" t="n">
        <f aca="false">SUM(C105:N105)</f>
        <v>-2382476.44458937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-420340.745254174</v>
      </c>
      <c r="D106" s="37" t="n">
        <f aca="false">C106+D105</f>
        <v>-641082.231007423</v>
      </c>
      <c r="E106" s="37" t="n">
        <f aca="false">D106+E105</f>
        <v>-962999.748244664</v>
      </c>
      <c r="F106" s="37" t="n">
        <f aca="false">E106+F105</f>
        <v>-1082752.16927535</v>
      </c>
      <c r="G106" s="37" t="n">
        <f aca="false">F106+G105</f>
        <v>-1169527.43035531</v>
      </c>
      <c r="H106" s="37" t="n">
        <f aca="false">G106+H105</f>
        <v>-2892105.61730623</v>
      </c>
      <c r="I106" s="37" t="n">
        <f aca="false">H106+I105</f>
        <v>-2884907.90879515</v>
      </c>
      <c r="J106" s="37" t="n">
        <f aca="false">I106+J105</f>
        <v>-2967388.09102902</v>
      </c>
      <c r="K106" s="37" t="n">
        <f aca="false">J106+K105</f>
        <v>-2801265.81349471</v>
      </c>
      <c r="L106" s="37" t="n">
        <f aca="false">K106+L105</f>
        <v>-2719753.56158046</v>
      </c>
      <c r="M106" s="37" t="n">
        <f aca="false">L106+M105</f>
        <v>-2557817.66737097</v>
      </c>
      <c r="N106" s="37" t="n">
        <f aca="false">M106+N105</f>
        <v>-2382476.44458937</v>
      </c>
      <c r="O106" s="31" t="n">
        <f aca="false">N106</f>
        <v>-2382476.44458937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420340.745254174</v>
      </c>
      <c r="D107" s="37" t="n">
        <f aca="false">-MIN(0,MIN($C$106:D106))</f>
        <v>641082.231007423</v>
      </c>
      <c r="E107" s="37" t="n">
        <f aca="false">-MIN(0,MIN($C$106:E106))</f>
        <v>962999.748244664</v>
      </c>
      <c r="F107" s="37" t="n">
        <f aca="false">-MIN(0,MIN($C$106:F106))</f>
        <v>1082752.16927535</v>
      </c>
      <c r="G107" s="37" t="n">
        <f aca="false">-MIN(0,MIN($C$106:G106))</f>
        <v>1169527.43035531</v>
      </c>
      <c r="H107" s="37" t="n">
        <f aca="false">-MIN(0,MIN($C$106:H106))</f>
        <v>2892105.61730623</v>
      </c>
      <c r="I107" s="37" t="n">
        <f aca="false">-MIN(0,MIN($C$106:I106))</f>
        <v>2892105.61730623</v>
      </c>
      <c r="J107" s="37" t="n">
        <f aca="false">-MIN(0,MIN($C$106:J106))</f>
        <v>2967388.09102902</v>
      </c>
      <c r="K107" s="37" t="n">
        <f aca="false">-MIN(0,MIN($C$106:K106))</f>
        <v>2967388.09102902</v>
      </c>
      <c r="L107" s="37" t="n">
        <f aca="false">-MIN(0,MIN($C$106:L106))</f>
        <v>2967388.09102902</v>
      </c>
      <c r="M107" s="37" t="n">
        <f aca="false">-MIN(0,MIN($C$106:M106))</f>
        <v>2967388.09102902</v>
      </c>
      <c r="N107" s="37" t="n">
        <f aca="false">-MIN(0,MIN($C$106:N106))</f>
        <v>2967388.09102902</v>
      </c>
      <c r="O107" s="31" t="n">
        <f aca="false">MAX(C107:N107)</f>
        <v>2967388.09102902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76949.8265970747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0.0107129091362122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-823050.173402925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2167000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2967388.09102902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32611.9089709842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579933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6.77459207666531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81.2951049199837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471961.392611592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-2382476.44458937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1227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0.5875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20562.5</v>
      </c>
      <c r="D86" s="8" t="n">
        <f aca="false">IF(2&gt;=INDEX(Assumptions!$C$173:$E$173,$D$3),INDEX(Assumptions!$C$174:$E$174,$D$3)*INDEX(Assumptions!$C$175:$E$175,$B$3),INDEX(Assumptions!$C$179:$E$179,$B$3))*$F$4</f>
        <v>20562.5</v>
      </c>
      <c r="E86" s="8" t="n">
        <f aca="false">IF(3&gt;=INDEX(Assumptions!$C$173:$E$173,$D$3),INDEX(Assumptions!$C$174:$E$174,$D$3)*INDEX(Assumptions!$C$175:$E$175,$B$3),INDEX(Assumptions!$C$179:$E$179,$B$3))*$F$4</f>
        <v>20562.5</v>
      </c>
      <c r="F86" s="8" t="n">
        <f aca="false">IF(4&gt;=INDEX(Assumptions!$C$173:$E$173,$D$3),INDEX(Assumptions!$C$174:$E$174,$D$3)*INDEX(Assumptions!$C$175:$E$175,$B$3),INDEX(Assumptions!$C$179:$E$179,$B$3))*$F$4</f>
        <v>20562.5</v>
      </c>
      <c r="G86" s="8" t="n">
        <f aca="false">IF(5&gt;=INDEX(Assumptions!$C$173:$E$173,$D$3),INDEX(Assumptions!$C$174:$E$174,$D$3)*INDEX(Assumptions!$C$175:$E$175,$B$3),INDEX(Assumptions!$C$179:$E$179,$B$3))*$F$4</f>
        <v>20562.5</v>
      </c>
      <c r="H86" s="8" t="n">
        <f aca="false">IF(6&gt;=INDEX(Assumptions!$C$173:$E$173,$D$3),INDEX(Assumptions!$C$174:$E$174,$D$3)*INDEX(Assumptions!$C$175:$E$175,$B$3),INDEX(Assumptions!$C$179:$E$179,$B$3))*$F$4</f>
        <v>20562.5</v>
      </c>
      <c r="I86" s="8" t="n">
        <f aca="false">IF(7&gt;=INDEX(Assumptions!$C$173:$E$173,$D$3),INDEX(Assumptions!$C$174:$E$174,$D$3)*INDEX(Assumptions!$C$175:$E$175,$B$3),INDEX(Assumptions!$C$179:$E$179,$B$3))*$F$4</f>
        <v>61100</v>
      </c>
      <c r="J86" s="8" t="n">
        <f aca="false">IF(8&gt;=INDEX(Assumptions!$C$173:$E$173,$D$3),INDEX(Assumptions!$C$174:$E$174,$D$3)*INDEX(Assumptions!$C$175:$E$175,$B$3),INDEX(Assumptions!$C$179:$E$179,$B$3))*$F$4</f>
        <v>61100</v>
      </c>
      <c r="K86" s="8" t="n">
        <f aca="false">IF(9&gt;=INDEX(Assumptions!$C$173:$E$173,$D$3),INDEX(Assumptions!$C$174:$E$174,$D$3)*INDEX(Assumptions!$C$175:$E$175,$B$3),INDEX(Assumptions!$C$179:$E$179,$B$3))*$F$4</f>
        <v>61100</v>
      </c>
      <c r="L86" s="8" t="n">
        <f aca="false">IF(10&gt;=INDEX(Assumptions!$C$173:$E$173,$D$3),INDEX(Assumptions!$C$174:$E$174,$D$3)*INDEX(Assumptions!$C$175:$E$175,$B$3),INDEX(Assumptions!$C$179:$E$179,$B$3))*$F$4</f>
        <v>61100</v>
      </c>
      <c r="M86" s="8" t="n">
        <f aca="false">IF(11&gt;=INDEX(Assumptions!$C$173:$E$173,$D$3),INDEX(Assumptions!$C$174:$E$174,$D$3)*INDEX(Assumptions!$C$175:$E$175,$B$3),INDEX(Assumptions!$C$179:$E$179,$B$3))*$F$4</f>
        <v>61100</v>
      </c>
      <c r="N86" s="8" t="n">
        <f aca="false">IF(12&gt;=INDEX(Assumptions!$C$173:$E$173,$D$3),INDEX(Assumptions!$C$174:$E$174,$D$3)*INDEX(Assumptions!$C$175:$E$175,$B$3),INDEX(Assumptions!$C$179:$E$179,$B$3))*$F$4</f>
        <v>61100</v>
      </c>
      <c r="O86" s="37" t="n">
        <f aca="false">SUM(C86:N86)</f>
        <v>489975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277395.5</v>
      </c>
      <c r="D93" s="37" t="n">
        <f aca="false">D84+SUM(D86:D92)</f>
        <v>297395.5</v>
      </c>
      <c r="E93" s="37" t="n">
        <f aca="false">E84+SUM(E86:E92)</f>
        <v>472395.5</v>
      </c>
      <c r="F93" s="37" t="n">
        <f aca="false">F84+SUM(F86:F92)</f>
        <v>332395.5</v>
      </c>
      <c r="G93" s="37" t="n">
        <f aca="false">G84+SUM(G86:G92)</f>
        <v>352395.5</v>
      </c>
      <c r="H93" s="37" t="n">
        <f aca="false">H84+SUM(H86:H92)</f>
        <v>374895.5</v>
      </c>
      <c r="I93" s="37" t="n">
        <f aca="false">I84+SUM(I86:I92)</f>
        <v>467033</v>
      </c>
      <c r="J93" s="37" t="n">
        <f aca="false">J84+SUM(J86:J92)</f>
        <v>467033</v>
      </c>
      <c r="K93" s="37" t="n">
        <f aca="false">K84+SUM(K86:K92)</f>
        <v>472033</v>
      </c>
      <c r="L93" s="37" t="n">
        <f aca="false">L84+SUM(L86:L92)</f>
        <v>472033</v>
      </c>
      <c r="M93" s="37" t="n">
        <f aca="false">M84+SUM(M86:M92)</f>
        <v>472033</v>
      </c>
      <c r="N93" s="37" t="n">
        <f aca="false">N84+SUM(N86:N92)</f>
        <v>472033</v>
      </c>
      <c r="O93" s="31" t="n">
        <f aca="false">SUM(C93:N93)</f>
        <v>4929071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-189994.346949089</v>
      </c>
      <c r="D94" s="37" t="n">
        <f aca="false">D71-D93</f>
        <v>-165858.445499012</v>
      </c>
      <c r="E94" s="37" t="n">
        <f aca="false">E71-E93</f>
        <v>-268338.901771139</v>
      </c>
      <c r="F94" s="37" t="n">
        <f aca="false">F71-F93</f>
        <v>-49648.6106493325</v>
      </c>
      <c r="G94" s="37" t="n">
        <f aca="false">G71-G93</f>
        <v>-10400.049215548</v>
      </c>
      <c r="H94" s="37" t="n">
        <f aca="false">H71-H93</f>
        <v>-40863.4091869309</v>
      </c>
      <c r="I94" s="37" t="n">
        <f aca="false">I71-I93</f>
        <v>347106.086462996</v>
      </c>
      <c r="J94" s="37" t="n">
        <f aca="false">J71-J93</f>
        <v>388871.2739035</v>
      </c>
      <c r="K94" s="37" t="n">
        <f aca="false">K71-K93</f>
        <v>135689.836890037</v>
      </c>
      <c r="L94" s="37" t="n">
        <f aca="false">L71-L93</f>
        <v>249105.829945038</v>
      </c>
      <c r="M94" s="37" t="n">
        <f aca="false">M71-M93</f>
        <v>276754.335614711</v>
      </c>
      <c r="N94" s="37" t="n">
        <f aca="false">N71-N93</f>
        <v>269801.227051843</v>
      </c>
      <c r="O94" s="31" t="n">
        <f aca="false">SUM(C94:N94)</f>
        <v>942224.826597075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-1.59468896654793</v>
      </c>
      <c r="D95" s="7" t="n">
        <f aca="false">IFERROR(D94/D59,0)</f>
        <v>-0.931800417050055</v>
      </c>
      <c r="E95" s="7" t="n">
        <f aca="false">IFERROR(E94/E59,0)</f>
        <v>-0.996391496577531</v>
      </c>
      <c r="F95" s="7" t="n">
        <f aca="false">IFERROR(F94/F59,0)</f>
        <v>-0.132345969175229</v>
      </c>
      <c r="G95" s="7" t="n">
        <f aca="false">IFERROR(G94/G59,0)</f>
        <v>-0.0225147611452751</v>
      </c>
      <c r="H95" s="7" t="n">
        <f aca="false">IFERROR(H94/H59,0)</f>
        <v>-0.09190623707458</v>
      </c>
      <c r="I95" s="7" t="n">
        <f aca="false">IFERROR(I94/I59,0)</f>
        <v>0.367846545211913</v>
      </c>
      <c r="J95" s="7" t="n">
        <f aca="false">IFERROR(J94/J59,0)</f>
        <v>0.390690049415608</v>
      </c>
      <c r="K95" s="7" t="n">
        <f aca="false">IFERROR(K94/K59,0)</f>
        <v>0.184479232926281</v>
      </c>
      <c r="L95" s="7" t="n">
        <f aca="false">IFERROR(L94/L59,0)</f>
        <v>0.287034002139739</v>
      </c>
      <c r="M95" s="7" t="n">
        <f aca="false">IFERROR(M94/M59,0)</f>
        <v>0.30735484201849</v>
      </c>
      <c r="N95" s="7" t="n">
        <f aca="false">IFERROR(N94/N59,0)</f>
        <v>0.302474394752006</v>
      </c>
      <c r="O95" s="7" t="n">
        <f aca="false">IFERROR(O94/O59,0)</f>
        <v>0.13117598050054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-264994.346949089</v>
      </c>
      <c r="D96" s="8" t="n">
        <f aca="false">D94-INDEX(Assumptions!$C$163:$E$163,$B$3)</f>
        <v>-240858.445499012</v>
      </c>
      <c r="E96" s="8" t="n">
        <f aca="false">E94-INDEX(Assumptions!$C$163:$E$163,$B$3)</f>
        <v>-343338.901771139</v>
      </c>
      <c r="F96" s="8" t="n">
        <f aca="false">F94-INDEX(Assumptions!$C$163:$E$163,$B$3)</f>
        <v>-124648.610649333</v>
      </c>
      <c r="G96" s="8" t="n">
        <f aca="false">G94-INDEX(Assumptions!$C$163:$E$163,$B$3)</f>
        <v>-85400.049215548</v>
      </c>
      <c r="H96" s="8" t="n">
        <f aca="false">H94-INDEX(Assumptions!$C$163:$E$163,$B$3)</f>
        <v>-115863.409186931</v>
      </c>
      <c r="I96" s="8" t="n">
        <f aca="false">I94-INDEX(Assumptions!$C$163:$E$163,$B$3)</f>
        <v>272106.086462996</v>
      </c>
      <c r="J96" s="8" t="n">
        <f aca="false">J94-INDEX(Assumptions!$C$163:$E$163,$B$3)</f>
        <v>313871.2739035</v>
      </c>
      <c r="K96" s="8" t="n">
        <f aca="false">K94-INDEX(Assumptions!$C$163:$E$163,$B$3)</f>
        <v>60689.8368900374</v>
      </c>
      <c r="L96" s="8" t="n">
        <f aca="false">L94-INDEX(Assumptions!$C$163:$E$163,$B$3)</f>
        <v>174105.829945038</v>
      </c>
      <c r="M96" s="8" t="n">
        <f aca="false">M94-INDEX(Assumptions!$C$163:$E$163,$B$3)</f>
        <v>201754.335614711</v>
      </c>
      <c r="N96" s="8" t="n">
        <f aca="false">N94-INDEX(Assumptions!$C$163:$E$163,$B$3)</f>
        <v>194801.227051843</v>
      </c>
      <c r="O96" s="37" t="n">
        <f aca="false">SUM(C96:N96)</f>
        <v>42224.8265970747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183300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183300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1343300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1843300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-384028.245254174</v>
      </c>
      <c r="D105" s="37" t="n">
        <f aca="false">D94+D104-D103</f>
        <v>-184428.985753249</v>
      </c>
      <c r="E105" s="37" t="n">
        <f aca="false">E94+E104-E103</f>
        <v>-285605.01723724</v>
      </c>
      <c r="F105" s="37" t="n">
        <f aca="false">F94+F104-F103</f>
        <v>-83439.9210306885</v>
      </c>
      <c r="G105" s="37" t="n">
        <f aca="false">G94+G104-G103</f>
        <v>-50462.7610799548</v>
      </c>
      <c r="H105" s="37" t="n">
        <f aca="false">H94+H104-H103</f>
        <v>-1362565.68695092</v>
      </c>
      <c r="I105" s="37" t="n">
        <f aca="false">I94+I104-I103</f>
        <v>115097.708511078</v>
      </c>
      <c r="J105" s="37" t="n">
        <f aca="false">J94+J104-J103</f>
        <v>25419.8177661322</v>
      </c>
      <c r="K105" s="37" t="n">
        <f aca="false">K94+K104-K103</f>
        <v>274022.277534305</v>
      </c>
      <c r="L105" s="37" t="n">
        <f aca="false">L94+L104-L103</f>
        <v>189412.251914249</v>
      </c>
      <c r="M105" s="37" t="n">
        <f aca="false">M94+M104-M103</f>
        <v>269835.894209493</v>
      </c>
      <c r="N105" s="37" t="n">
        <f aca="false">N94+N104-N103</f>
        <v>283241.222781604</v>
      </c>
      <c r="O105" s="31" t="n">
        <f aca="false">SUM(C105:N105)</f>
        <v>-1193501.44458937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-384028.245254174</v>
      </c>
      <c r="D106" s="37" t="n">
        <f aca="false">C106+D105</f>
        <v>-568457.231007423</v>
      </c>
      <c r="E106" s="37" t="n">
        <f aca="false">D106+E105</f>
        <v>-854062.248244664</v>
      </c>
      <c r="F106" s="37" t="n">
        <f aca="false">E106+F105</f>
        <v>-937502.169275352</v>
      </c>
      <c r="G106" s="37" t="n">
        <f aca="false">F106+G105</f>
        <v>-987964.930355307</v>
      </c>
      <c r="H106" s="37" t="n">
        <f aca="false">G106+H105</f>
        <v>-2350530.61730623</v>
      </c>
      <c r="I106" s="37" t="n">
        <f aca="false">H106+I105</f>
        <v>-2235432.90879515</v>
      </c>
      <c r="J106" s="37" t="n">
        <f aca="false">I106+J105</f>
        <v>-2210013.09102902</v>
      </c>
      <c r="K106" s="37" t="n">
        <f aca="false">J106+K105</f>
        <v>-1935990.81349471</v>
      </c>
      <c r="L106" s="37" t="n">
        <f aca="false">K106+L105</f>
        <v>-1746578.56158046</v>
      </c>
      <c r="M106" s="37" t="n">
        <f aca="false">L106+M105</f>
        <v>-1476742.66737097</v>
      </c>
      <c r="N106" s="37" t="n">
        <f aca="false">M106+N105</f>
        <v>-1193501.44458937</v>
      </c>
      <c r="O106" s="31" t="n">
        <f aca="false">N106</f>
        <v>-1193501.44458937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384028.245254174</v>
      </c>
      <c r="D107" s="37" t="n">
        <f aca="false">-MIN(0,MIN($C$106:D106))</f>
        <v>568457.231007423</v>
      </c>
      <c r="E107" s="37" t="n">
        <f aca="false">-MIN(0,MIN($C$106:E106))</f>
        <v>854062.248244664</v>
      </c>
      <c r="F107" s="37" t="n">
        <f aca="false">-MIN(0,MIN($C$106:F106))</f>
        <v>937502.169275352</v>
      </c>
      <c r="G107" s="37" t="n">
        <f aca="false">-MIN(0,MIN($C$106:G106))</f>
        <v>987964.930355307</v>
      </c>
      <c r="H107" s="37" t="n">
        <f aca="false">-MIN(0,MIN($C$106:H106))</f>
        <v>2350530.61730623</v>
      </c>
      <c r="I107" s="37" t="n">
        <f aca="false">-MIN(0,MIN($C$106:I106))</f>
        <v>2350530.61730623</v>
      </c>
      <c r="J107" s="37" t="n">
        <f aca="false">-MIN(0,MIN($C$106:J106))</f>
        <v>2350530.61730623</v>
      </c>
      <c r="K107" s="37" t="n">
        <f aca="false">-MIN(0,MIN($C$106:K106))</f>
        <v>2350530.61730623</v>
      </c>
      <c r="L107" s="37" t="n">
        <f aca="false">-MIN(0,MIN($C$106:L106))</f>
        <v>2350530.61730623</v>
      </c>
      <c r="M107" s="37" t="n">
        <f aca="false">-MIN(0,MIN($C$106:M106))</f>
        <v>2350530.61730623</v>
      </c>
      <c r="N107" s="37" t="n">
        <f aca="false">-MIN(0,MIN($C$106:N106))</f>
        <v>2350530.61730623</v>
      </c>
      <c r="O107" s="31" t="n">
        <f aca="false">MAX(C107:N107)</f>
        <v>2350530.61730623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942224.826597075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0.13117598050054</v>
      </c>
    </row>
    <row r="114" customFormat="false" ht="15" hidden="false" customHeight="false" outlineLevel="0" collapsed="false">
      <c r="A114" s="3" t="s">
        <v>30</v>
      </c>
      <c r="B114" s="31" t="n">
        <f aca="false">O96</f>
        <v>42224.8265970747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1843300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2350530.61730623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649469.382693774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472033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4.62500049379008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55.500005925481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0.158542513634165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0.422416488225544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17.5428834734527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795661.392611592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-1193501.44458937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1228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0.7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10500</v>
      </c>
      <c r="D17" s="8" t="n">
        <f aca="false">INDEX(Assumptions!$C$122:$E$122,$D$3)*$J$4</f>
        <v>28000</v>
      </c>
      <c r="E17" s="8" t="n">
        <f aca="false">INDEX(Assumptions!$C$123:$E$123,$D$3)*$J$4</f>
        <v>35000</v>
      </c>
      <c r="F17" s="8" t="n">
        <f aca="false">INDEX(Assumptions!$C$124:$E$124,$D$3)*$J$4</f>
        <v>42000</v>
      </c>
      <c r="G17" s="8" t="n">
        <f aca="false">INDEX(Assumptions!$C$125:$E$125,$D$3)*$J$4</f>
        <v>56000</v>
      </c>
      <c r="H17" s="8" t="n">
        <f aca="false">INDEX(Assumptions!$C$126:$E$126,$D$3)*$J$4</f>
        <v>63000</v>
      </c>
      <c r="I17" s="8" t="n">
        <f aca="false">INDEX(Assumptions!$C$127:$E$127,$D$3)*$J$4</f>
        <v>70000</v>
      </c>
      <c r="J17" s="8" t="n">
        <f aca="false">INDEX(Assumptions!$C$128:$E$128,$D$3)*$J$4</f>
        <v>70000</v>
      </c>
      <c r="K17" s="8" t="n">
        <f aca="false">INDEX(Assumptions!$C$129:$E$129,$D$3)*$J$4</f>
        <v>70000</v>
      </c>
      <c r="L17" s="8" t="n">
        <f aca="false">INDEX(Assumptions!$C$130:$E$130,$D$3)*$J$4</f>
        <v>70000</v>
      </c>
      <c r="M17" s="8" t="n">
        <f aca="false">INDEX(Assumptions!$C$131:$E$131,$D$3)*$J$4</f>
        <v>70000</v>
      </c>
      <c r="N17" s="8" t="n">
        <f aca="false">INDEX(Assumptions!$C$132:$E$132,$D$3)*$J$4</f>
        <v>70000</v>
      </c>
      <c r="O17" s="37" t="n">
        <f aca="false">SUM(C17:N17)</f>
        <v>654500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0.63</v>
      </c>
      <c r="D20" s="27" t="n">
        <f aca="false">D17*INDEX(Assumptions!$C$119:$E$119,$B$3)/D18</f>
        <v>1.68</v>
      </c>
      <c r="E20" s="27" t="n">
        <f aca="false">E17*INDEX(Assumptions!$C$119:$E$119,$B$3)/E18</f>
        <v>2.1</v>
      </c>
      <c r="F20" s="27" t="n">
        <f aca="false">F17*INDEX(Assumptions!$C$119:$E$119,$B$3)/F18</f>
        <v>2.52</v>
      </c>
      <c r="G20" s="27" t="n">
        <f aca="false">G17*INDEX(Assumptions!$C$119:$E$119,$B$3)/G18</f>
        <v>3.36</v>
      </c>
      <c r="H20" s="27" t="n">
        <f aca="false">H17*INDEX(Assumptions!$C$119:$E$119,$B$3)/H18</f>
        <v>3.78</v>
      </c>
      <c r="I20" s="27" t="n">
        <f aca="false">I17*INDEX(Assumptions!$C$119:$E$119,$B$3)/I18</f>
        <v>4.2</v>
      </c>
      <c r="J20" s="27" t="n">
        <f aca="false">J17*INDEX(Assumptions!$C$119:$E$119,$B$3)/J18</f>
        <v>4.2</v>
      </c>
      <c r="K20" s="27" t="n">
        <f aca="false">K17*INDEX(Assumptions!$C$119:$E$119,$B$3)/K18</f>
        <v>4.2</v>
      </c>
      <c r="L20" s="27" t="n">
        <f aca="false">L17*INDEX(Assumptions!$C$119:$E$119,$B$3)/L18</f>
        <v>4.2</v>
      </c>
      <c r="M20" s="27" t="n">
        <f aca="false">M17*INDEX(Assumptions!$C$119:$E$119,$B$3)/M18</f>
        <v>4.2</v>
      </c>
      <c r="N20" s="27" t="n">
        <f aca="false">N17*INDEX(Assumptions!$C$119:$E$119,$B$3)/N18</f>
        <v>4.2</v>
      </c>
      <c r="O20" s="35" t="n">
        <f aca="false">SUM(C20:N20)</f>
        <v>39.27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4.616</v>
      </c>
      <c r="G21" s="35" t="n">
        <f aca="false">G9*(G13*$F$3+(G14-G13)*$F$3*G19+MIN(G15,G20*G19))</f>
        <v>6.174</v>
      </c>
      <c r="H21" s="35" t="n">
        <f aca="false">H9*(H13*$F$3+(H14-H13)*$F$3*H19+MIN(H15,H20*H19))</f>
        <v>7.53</v>
      </c>
      <c r="I21" s="35" t="n">
        <f aca="false">I9*(I13*$F$3+(I14-I13)*$F$3*I19+MIN(I15,I20*I19))</f>
        <v>10.66</v>
      </c>
      <c r="J21" s="35" t="n">
        <f aca="false">J9*(J13*$F$3+(J14-J13)*$F$3*J19+MIN(J15,J20*J19))</f>
        <v>11.07</v>
      </c>
      <c r="K21" s="35" t="n">
        <f aca="false">K9*(K13*$F$3+(K14-K13)*$F$3*K19+MIN(K15,K20*K19))</f>
        <v>10.25</v>
      </c>
      <c r="L21" s="35" t="n">
        <f aca="false">L9*(L13*$F$3+(L14-L13)*$F$3*L19+MIN(L15,L20*L19))</f>
        <v>9.02</v>
      </c>
      <c r="M21" s="35" t="n">
        <f aca="false">M9*(M13*$F$3+(M14-M13)*$F$3*M19+MIN(M15,M20*M19))</f>
        <v>8.61</v>
      </c>
      <c r="N21" s="35" t="n">
        <f aca="false">N9*(N13*$F$3+(N14-N13)*$F$3*N19+MIN(N15,N20*N19))</f>
        <v>8.2</v>
      </c>
      <c r="O21" s="38" t="n">
        <f aca="false">SUM(C21:N21)</f>
        <v>84.380625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5.619675</v>
      </c>
      <c r="H26" s="6" t="n">
        <f aca="false">G29+F29+G32+F32+1.25*G30</f>
        <v>7.44792</v>
      </c>
      <c r="I26" s="6" t="n">
        <f aca="false">H29+G29+H32+G32+1.25*H30</f>
        <v>8.67866638036098</v>
      </c>
      <c r="J26" s="6" t="n">
        <f aca="false">I29+H29+I32+H32+1.25*I30</f>
        <v>11.5758664662527</v>
      </c>
      <c r="K26" s="6" t="n">
        <f aca="false">J29+I29+J32+I32+1.25*J30</f>
        <v>15.0767200858917</v>
      </c>
      <c r="L26" s="6" t="n">
        <f aca="false">K29+J29+K32+J32+1.25*K30</f>
        <v>15.3996</v>
      </c>
      <c r="M26" s="6" t="n">
        <f aca="false">L29+K29+L32+K32+1.25*L30</f>
        <v>14.45865</v>
      </c>
      <c r="N26" s="6" t="n">
        <f aca="false">M29+L29+M32+L32+1.25*M30</f>
        <v>11.860275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5.036</v>
      </c>
      <c r="G27" s="6" t="n">
        <f aca="false">G21*(INDEX(Assumptions!$C$26:$E$26,$B$3)*(1-G25)+INDEX(Assumptions!$C$26:$E$26,$B$3)*G25*1.25+(1-INDEX(Assumptions!$C$26:$E$26,$B$3)))+F31*INDEX(Assumptions!$C$89:$E$89,$B$3)</f>
        <v>6.72792</v>
      </c>
      <c r="H27" s="6" t="n">
        <f aca="false">H21*(INDEX(Assumptions!$C$26:$E$26,$B$3)*(1-H25)+INDEX(Assumptions!$C$26:$E$26,$B$3)*H25*1.25+(1-INDEX(Assumptions!$C$26:$E$26,$B$3)))+G31*INDEX(Assumptions!$C$89:$E$89,$B$3)</f>
        <v>8.27088</v>
      </c>
      <c r="I27" s="6" t="n">
        <f aca="false">I21*(INDEX(Assumptions!$C$26:$E$26,$B$3)*(1-I25)+INDEX(Assumptions!$C$26:$E$26,$B$3)*I25*1.25+(1-INDEX(Assumptions!$C$26:$E$26,$B$3)))+H31*INDEX(Assumptions!$C$89:$E$89,$B$3)</f>
        <v>11.4195200858917</v>
      </c>
      <c r="J27" s="6" t="n">
        <f aca="false">J21*(INDEX(Assumptions!$C$26:$E$26,$B$3)*(1-J25)+INDEX(Assumptions!$C$26:$E$26,$B$3)*J25*1.25+(1-INDEX(Assumptions!$C$26:$E$26,$B$3)))+I31*INDEX(Assumptions!$C$89:$E$89,$B$3)</f>
        <v>12.3492</v>
      </c>
      <c r="K27" s="6" t="n">
        <f aca="false">K21*(INDEX(Assumptions!$C$26:$E$26,$B$3)*(1-K25)+INDEX(Assumptions!$C$26:$E$26,$B$3)*K25*1.25+(1-INDEX(Assumptions!$C$26:$E$26,$B$3)))+J31*INDEX(Assumptions!$C$89:$E$89,$B$3)</f>
        <v>11.5784</v>
      </c>
      <c r="L27" s="6" t="n">
        <f aca="false">L21*(INDEX(Assumptions!$C$26:$E$26,$B$3)*(1-L25)+INDEX(Assumptions!$C$26:$E$26,$B$3)*L25*1.25+(1-INDEX(Assumptions!$C$26:$E$26,$B$3)))+K31*INDEX(Assumptions!$C$89:$E$89,$B$3)</f>
        <v>10.58825</v>
      </c>
      <c r="M27" s="6" t="n">
        <f aca="false">M21*(INDEX(Assumptions!$C$26:$E$26,$B$3)*(1-M25)+INDEX(Assumptions!$C$26:$E$26,$B$3)*M25*1.25+(1-INDEX(Assumptions!$C$26:$E$26,$B$3)))+L31*INDEX(Assumptions!$C$89:$E$89,$B$3)</f>
        <v>10.015275</v>
      </c>
      <c r="N27" s="6" t="n">
        <f aca="false">N21*(INDEX(Assumptions!$C$26:$E$26,$B$3)*(1-N25)+INDEX(Assumptions!$C$26:$E$26,$B$3)*N25*1.25+(1-INDEX(Assumptions!$C$26:$E$26,$B$3)))+M31*INDEX(Assumptions!$C$89:$E$89,$B$3)</f>
        <v>9.5407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0.840549010504324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0.840549010504324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2.7696</v>
      </c>
      <c r="G29" s="35" t="n">
        <f aca="false">G21*INDEX(Assumptions!$C$26:$E$26,$B$3)*(1-G25)*G28</f>
        <v>3.7044</v>
      </c>
      <c r="H29" s="35" t="n">
        <f aca="false">H21*INDEX(Assumptions!$C$26:$E$26,$B$3)*(1-H25)*H28</f>
        <v>3.79760042945853</v>
      </c>
      <c r="I29" s="35" t="n">
        <f aca="false">I21*INDEX(Assumptions!$C$26:$E$26,$B$3)*(1-I25)*I28</f>
        <v>6.396</v>
      </c>
      <c r="J29" s="35" t="n">
        <f aca="false">J21*INDEX(Assumptions!$C$26:$E$26,$B$3)*(1-J25)*J28</f>
        <v>6.642</v>
      </c>
      <c r="K29" s="35" t="n">
        <f aca="false">K21*INDEX(Assumptions!$C$26:$E$26,$B$3)*(1-K25)*K28</f>
        <v>6.15</v>
      </c>
      <c r="L29" s="35" t="n">
        <f aca="false">L21*INDEX(Assumptions!$C$26:$E$26,$B$3)*(1-L25)*L28</f>
        <v>4.059</v>
      </c>
      <c r="M29" s="35" t="n">
        <f aca="false">M21*INDEX(Assumptions!$C$26:$E$26,$B$3)*(1-M25)*M28</f>
        <v>3.8745</v>
      </c>
      <c r="N29" s="35" t="n">
        <f aca="false">N21*INDEX(Assumptions!$C$26:$E$26,$B$3)*(1-N25)*N28</f>
        <v>3.69</v>
      </c>
      <c r="O29" s="38" t="n">
        <f aca="false">SUM(C29:N29)</f>
        <v>46.0334754294585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1.353</v>
      </c>
      <c r="M30" s="27" t="n">
        <f aca="false">M21*INDEX(Assumptions!$C$26:$E$26,$B$3)*M25*M28</f>
        <v>1.2915</v>
      </c>
      <c r="N30" s="27" t="n">
        <f aca="false">N21*INDEX(Assumptions!$C$26:$E$26,$B$3)*N25*N28</f>
        <v>1.23</v>
      </c>
      <c r="O30" s="35" t="n">
        <f aca="false">SUM(C30:N30)</f>
        <v>3.8745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1.8464</v>
      </c>
      <c r="G31" s="27" t="n">
        <f aca="false">G21*(1-INDEX(Assumptions!$C$26:$E$26,$B$3))*G28</f>
        <v>2.4696</v>
      </c>
      <c r="H31" s="27" t="n">
        <f aca="false">H21*(1-INDEX(Assumptions!$C$26:$E$26,$B$3))*H28</f>
        <v>2.53173361963902</v>
      </c>
      <c r="I31" s="27" t="n">
        <f aca="false">I21*(1-INDEX(Assumptions!$C$26:$E$26,$B$3))*I28</f>
        <v>4.264</v>
      </c>
      <c r="J31" s="27" t="n">
        <f aca="false">J21*(1-INDEX(Assumptions!$C$26:$E$26,$B$3))*J28</f>
        <v>4.428</v>
      </c>
      <c r="K31" s="27" t="n">
        <f aca="false">K21*(1-INDEX(Assumptions!$C$26:$E$26,$B$3))*K28</f>
        <v>4.1</v>
      </c>
      <c r="L31" s="27" t="n">
        <f aca="false">L21*(1-INDEX(Assumptions!$C$26:$E$26,$B$3))*L28</f>
        <v>3.608</v>
      </c>
      <c r="M31" s="27" t="n">
        <f aca="false">M21*(1-INDEX(Assumptions!$C$26:$E$26,$B$3))*M28</f>
        <v>3.444</v>
      </c>
      <c r="N31" s="27" t="n">
        <f aca="false">N21*(1-INDEX(Assumptions!$C$26:$E$26,$B$3))*N28</f>
        <v>3.28</v>
      </c>
      <c r="O31" s="35" t="n">
        <f aca="false">SUM(C31:N31)</f>
        <v>33.271983619639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0.55392</v>
      </c>
      <c r="H32" s="27" t="n">
        <f aca="false">G31*INDEX(Assumptions!$C$89:$E$89,$B$3)*H28</f>
        <v>0.622745950902443</v>
      </c>
      <c r="I32" s="27" t="n">
        <f aca="false">H31*INDEX(Assumptions!$C$89:$E$89,$B$3)*I28</f>
        <v>0.759520085891707</v>
      </c>
      <c r="J32" s="27" t="n">
        <f aca="false">I31*INDEX(Assumptions!$C$89:$E$89,$B$3)*J28</f>
        <v>1.2792</v>
      </c>
      <c r="K32" s="27" t="n">
        <f aca="false">J31*INDEX(Assumptions!$C$89:$E$89,$B$3)*K28</f>
        <v>1.3284</v>
      </c>
      <c r="L32" s="27" t="n">
        <f aca="false">K31*INDEX(Assumptions!$C$89:$E$89,$B$3)*L28</f>
        <v>1.23</v>
      </c>
      <c r="M32" s="27" t="n">
        <f aca="false">L31*INDEX(Assumptions!$C$89:$E$89,$B$3)*M28</f>
        <v>1.0824</v>
      </c>
      <c r="N32" s="27" t="n">
        <f aca="false">M31*INDEX(Assumptions!$C$89:$E$89,$B$3)*N28</f>
        <v>1.0332</v>
      </c>
      <c r="O32" s="35" t="n">
        <f aca="false">SUM(C32:N32)</f>
        <v>8.87946103679415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4.616</v>
      </c>
      <c r="G33" s="35" t="n">
        <f aca="false">G29+G30+G31</f>
        <v>6.174</v>
      </c>
      <c r="H33" s="35" t="n">
        <f aca="false">H29+H30+H31</f>
        <v>6.32933404909756</v>
      </c>
      <c r="I33" s="35" t="n">
        <f aca="false">I29+I30+I31</f>
        <v>10.66</v>
      </c>
      <c r="J33" s="35" t="n">
        <f aca="false">J29+J30+J31</f>
        <v>11.07</v>
      </c>
      <c r="K33" s="35" t="n">
        <f aca="false">K29+K30+K31</f>
        <v>10.25</v>
      </c>
      <c r="L33" s="35" t="n">
        <f aca="false">L29+L30+L31</f>
        <v>9.02</v>
      </c>
      <c r="M33" s="35" t="n">
        <f aca="false">M29+M30+M31</f>
        <v>8.61</v>
      </c>
      <c r="N33" s="35" t="n">
        <f aca="false">N29+N30+N31</f>
        <v>8.2</v>
      </c>
      <c r="O33" s="38" t="n">
        <f aca="false">SUM(C33:N33)</f>
        <v>83.1799590490976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1.154</v>
      </c>
      <c r="G34" s="27" t="n">
        <f aca="false">G33*INDEX(Assumptions!$C$74:$E$74,$B$3)</f>
        <v>1.5435</v>
      </c>
      <c r="H34" s="27" t="n">
        <f aca="false">H33*INDEX(Assumptions!$C$74:$E$74,$B$3)</f>
        <v>1.58233351227439</v>
      </c>
      <c r="I34" s="27" t="n">
        <f aca="false">I33*INDEX(Assumptions!$C$74:$E$74,$B$3)</f>
        <v>2.665</v>
      </c>
      <c r="J34" s="27" t="n">
        <f aca="false">J33*INDEX(Assumptions!$C$74:$E$74,$B$3)</f>
        <v>2.7675</v>
      </c>
      <c r="K34" s="27" t="n">
        <f aca="false">K33*INDEX(Assumptions!$C$74:$E$74,$B$3)</f>
        <v>2.5625</v>
      </c>
      <c r="L34" s="27" t="n">
        <f aca="false">L33*INDEX(Assumptions!$C$74:$E$74,$B$3)</f>
        <v>2.255</v>
      </c>
      <c r="M34" s="27" t="n">
        <f aca="false">M33*INDEX(Assumptions!$C$74:$E$74,$B$3)</f>
        <v>2.1525</v>
      </c>
      <c r="N34" s="27" t="n">
        <f aca="false">N33*INDEX(Assumptions!$C$74:$E$74,$B$3)</f>
        <v>2.05</v>
      </c>
      <c r="O34" s="35" t="n">
        <f aca="false">SUM(C34:N34)</f>
        <v>20.7949897622744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9.35645</v>
      </c>
      <c r="G35" s="6" t="n">
        <f aca="false">G26+G29+G32+G31+1.25*G30</f>
        <v>12.347595</v>
      </c>
      <c r="H35" s="6" t="n">
        <f aca="false">H26+H29+H32+H31+1.25*H30</f>
        <v>14.4</v>
      </c>
      <c r="I35" s="6" t="n">
        <f aca="false">I26+I29+I32+I31+1.25*I30</f>
        <v>20.0981864662527</v>
      </c>
      <c r="J35" s="6" t="n">
        <f aca="false">J26+J29+J32+J31+1.25*J30</f>
        <v>23.9250664662527</v>
      </c>
      <c r="K35" s="6" t="n">
        <f aca="false">K26+K29+K32+K31+1.25*K30</f>
        <v>26.6551200858917</v>
      </c>
      <c r="L35" s="6" t="n">
        <f aca="false">L26+L29+L32+L31+1.25*L30</f>
        <v>25.98785</v>
      </c>
      <c r="M35" s="6" t="n">
        <f aca="false">M26+M29+M32+M31+1.25*M30</f>
        <v>24.473925</v>
      </c>
      <c r="N35" s="6" t="n">
        <f aca="false">N26+N29+N32+N31+1.25*N30</f>
        <v>21.400975</v>
      </c>
      <c r="O35" s="39" t="n">
        <f aca="false">AVERAGE(C35:N35)</f>
        <v>15.9796869181998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0.584778125</v>
      </c>
      <c r="G36" s="36" t="n">
        <f aca="false">G35/(G22*G23)</f>
        <v>0.7717246875</v>
      </c>
      <c r="H36" s="36" t="n">
        <f aca="false">H35/(H22*H23)</f>
        <v>0.9</v>
      </c>
      <c r="I36" s="36" t="n">
        <f aca="false">I35/(I22*I23)</f>
        <v>0.669939548875089</v>
      </c>
      <c r="J36" s="36" t="n">
        <f aca="false">J35/(J22*J23)</f>
        <v>0.797502215541756</v>
      </c>
      <c r="K36" s="36" t="n">
        <f aca="false">K35/(K22*K23)</f>
        <v>0.888504002863057</v>
      </c>
      <c r="L36" s="36" t="n">
        <f aca="false">L35/(L22*L23)</f>
        <v>0.866261666666667</v>
      </c>
      <c r="M36" s="36" t="n">
        <f aca="false">M35/(M22*M23)</f>
        <v>0.8157975</v>
      </c>
      <c r="N36" s="36" t="n">
        <f aca="false">N35/(N22*N23)</f>
        <v>0.713365833333333</v>
      </c>
      <c r="O36" s="30" t="n">
        <f aca="false">N36</f>
        <v>0.713365833333333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0</v>
      </c>
      <c r="K37" s="8" t="n">
        <f aca="false">IF(K28&lt;0.999,1,0)</f>
        <v>0</v>
      </c>
      <c r="L37" s="8" t="n">
        <f aca="false">IF(L28&lt;0.999,1,0)</f>
        <v>0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1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4.33020637898687</v>
      </c>
      <c r="G41" s="6" t="n">
        <f aca="false">G21*INDEX(Assumptions!$C$31:$E$31,$B$3)/(INDEX(Assumptions!$C$56:$E$56,$B$3)*INDEX(Assumptions!$C$57:$E$57,$B$3)*INDEX(Assumptions!$C$58:$E$58,$B$3))</f>
        <v>5.79174484052533</v>
      </c>
      <c r="H41" s="6" t="n">
        <f aca="false">H21*INDEX(Assumptions!$C$31:$E$31,$B$3)/(INDEX(Assumptions!$C$56:$E$56,$B$3)*INDEX(Assumptions!$C$57:$E$57,$B$3)*INDEX(Assumptions!$C$58:$E$58,$B$3))</f>
        <v>7.06378986866792</v>
      </c>
      <c r="I41" s="6" t="n">
        <f aca="false">I21*INDEX(Assumptions!$C$31:$E$31,$B$3)/(INDEX(Assumptions!$C$56:$E$56,$B$3)*INDEX(Assumptions!$C$57:$E$57,$B$3)*INDEX(Assumptions!$C$58:$E$58,$B$3))</f>
        <v>10</v>
      </c>
      <c r="J41" s="6" t="n">
        <f aca="false">J21*INDEX(Assumptions!$C$31:$E$31,$B$3)/(INDEX(Assumptions!$C$56:$E$56,$B$3)*INDEX(Assumptions!$C$57:$E$57,$B$3)*INDEX(Assumptions!$C$58:$E$58,$B$3))</f>
        <v>10.3846153846154</v>
      </c>
      <c r="K41" s="6" t="n">
        <f aca="false">K21*INDEX(Assumptions!$C$31:$E$31,$B$3)/(INDEX(Assumptions!$C$56:$E$56,$B$3)*INDEX(Assumptions!$C$57:$E$57,$B$3)*INDEX(Assumptions!$C$58:$E$58,$B$3))</f>
        <v>9.61538461538462</v>
      </c>
      <c r="L41" s="6" t="n">
        <f aca="false">L21*INDEX(Assumptions!$C$31:$E$31,$B$3)/(INDEX(Assumptions!$C$56:$E$56,$B$3)*INDEX(Assumptions!$C$57:$E$57,$B$3)*INDEX(Assumptions!$C$58:$E$58,$B$3))</f>
        <v>8.46153846153846</v>
      </c>
      <c r="M41" s="6" t="n">
        <f aca="false">M21*INDEX(Assumptions!$C$31:$E$31,$B$3)/(INDEX(Assumptions!$C$56:$E$56,$B$3)*INDEX(Assumptions!$C$57:$E$57,$B$3)*INDEX(Assumptions!$C$58:$E$58,$B$3))</f>
        <v>8.07692307692308</v>
      </c>
      <c r="N41" s="6" t="n">
        <f aca="false">N21*INDEX(Assumptions!$C$31:$E$31,$B$3)/(INDEX(Assumptions!$C$56:$E$56,$B$3)*INDEX(Assumptions!$C$57:$E$57,$B$3)*INDEX(Assumptions!$C$58:$E$58,$B$3))</f>
        <v>7.69230769230769</v>
      </c>
      <c r="O41" s="39" t="n">
        <f aca="false">SUM(C41:N41)</f>
        <v>79.156308630394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140827.118644068</v>
      </c>
      <c r="G49" s="8" t="n">
        <f aca="false">G29*G46/(1+INDEX(Assumptions!$C$15:$E$15,$B$3)*$H$4)</f>
        <v>188359.322033898</v>
      </c>
      <c r="H49" s="8" t="n">
        <f aca="false">H29*H46/(1+INDEX(Assumptions!$C$15:$E$15,$B$3)*$H$4)</f>
        <v>193098.32692162</v>
      </c>
      <c r="I49" s="8" t="n">
        <f aca="false">I29*I46/(1+INDEX(Assumptions!$C$15:$E$15,$B$3)*$H$4)</f>
        <v>433627.118644068</v>
      </c>
      <c r="J49" s="8" t="n">
        <f aca="false">J29*J46/(1+INDEX(Assumptions!$C$15:$E$15,$B$3)*$H$4)</f>
        <v>450305.084745763</v>
      </c>
      <c r="K49" s="8" t="n">
        <f aca="false">K29*K46/(1+INDEX(Assumptions!$C$15:$E$15,$B$3)*$H$4)</f>
        <v>416949.152542373</v>
      </c>
      <c r="L49" s="8" t="n">
        <f aca="false">L29*L46/(1+INDEX(Assumptions!$C$15:$E$15,$B$3)*$H$4)</f>
        <v>275186.440677966</v>
      </c>
      <c r="M49" s="8" t="n">
        <f aca="false">M29*M46/(1+INDEX(Assumptions!$C$15:$E$15,$B$3)*$H$4)</f>
        <v>262677.966101695</v>
      </c>
      <c r="N49" s="8" t="n">
        <f aca="false">N29*N46/(1+INDEX(Assumptions!$C$15:$E$15,$B$3)*$H$4)</f>
        <v>250169.491525424</v>
      </c>
      <c r="O49" s="37" t="n">
        <f aca="false">SUM(C49:N49)</f>
        <v>2862914.00488772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91728.813559322</v>
      </c>
      <c r="M50" s="8" t="n">
        <f aca="false">M30*M46/(1+INDEX(Assumptions!$C$15:$E$15,$B$3)*$H$4)</f>
        <v>87559.3220338983</v>
      </c>
      <c r="N50" s="8" t="n">
        <f aca="false">N30*N46/(1+INDEX(Assumptions!$C$15:$E$15,$B$3)*$H$4)</f>
        <v>83389.8305084746</v>
      </c>
      <c r="O50" s="37" t="n">
        <f aca="false">SUM(C50:N50)</f>
        <v>262677.966101695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9435.41694915254</v>
      </c>
      <c r="H51" s="8" t="n">
        <f aca="false">H32*MAX(0,H46-INDEX(Assumptions!$C$18:$E$18,$B$3)*$H$3)/(1+INDEX(Assumptions!$C$15:$E$15,$B$3)*$H$4)</f>
        <v>10607.7911975755</v>
      </c>
      <c r="I51" s="8" t="n">
        <f aca="false">I32*MAX(0,I46-INDEX(Assumptions!$C$18:$E$18,$B$3)*$H$3)/(1+INDEX(Assumptions!$C$15:$E$15,$B$3)*$H$4)</f>
        <v>25810.8096985233</v>
      </c>
      <c r="J51" s="8" t="n">
        <f aca="false">J32*MAX(0,J46-INDEX(Assumptions!$C$18:$E$18,$B$3)*$H$3)/(1+INDEX(Assumptions!$C$15:$E$15,$B$3)*$H$4)</f>
        <v>43471.1186440678</v>
      </c>
      <c r="K51" s="8" t="n">
        <f aca="false">K32*MAX(0,K46-INDEX(Assumptions!$C$18:$E$18,$B$3)*$H$3)/(1+INDEX(Assumptions!$C$15:$E$15,$B$3)*$H$4)</f>
        <v>45143.0847457627</v>
      </c>
      <c r="L51" s="8" t="n">
        <f aca="false">L32*MAX(0,L46-INDEX(Assumptions!$C$18:$E$18,$B$3)*$H$3)/(1+INDEX(Assumptions!$C$15:$E$15,$B$3)*$H$4)</f>
        <v>41799.1525423729</v>
      </c>
      <c r="M51" s="8" t="n">
        <f aca="false">M32*MAX(0,M46-INDEX(Assumptions!$C$18:$E$18,$B$3)*$H$3)/(1+INDEX(Assumptions!$C$15:$E$15,$B$3)*$H$4)</f>
        <v>36783.2542372881</v>
      </c>
      <c r="N51" s="8" t="n">
        <f aca="false">N32*MAX(0,N46-INDEX(Assumptions!$C$18:$E$18,$B$3)*$H$3)/(1+INDEX(Assumptions!$C$15:$E$15,$B$3)*$H$4)</f>
        <v>35111.2881355932</v>
      </c>
      <c r="O51" s="37" t="n">
        <f aca="false">SUM(C51:N51)</f>
        <v>265026.753014743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62433.3559322034</v>
      </c>
      <c r="G52" s="8" t="n">
        <f aca="false">G31*INDEX(Assumptions!$C$18:$E$18,$B$3)*$H$3/(1+INDEX(Assumptions!$C$15:$E$15,$B$3)*$H$4)</f>
        <v>83505.9661016949</v>
      </c>
      <c r="H52" s="8" t="n">
        <f aca="false">H31*INDEX(Assumptions!$C$18:$E$18,$B$3)*$H$3/(1+INDEX(Assumptions!$C$15:$E$15,$B$3)*$H$4)</f>
        <v>85606.9249352517</v>
      </c>
      <c r="I52" s="8" t="n">
        <f aca="false">I31*INDEX(Assumptions!$C$18:$E$18,$B$3)*$H$3/(1+INDEX(Assumptions!$C$15:$E$15,$B$3)*$H$4)</f>
        <v>144181.016949153</v>
      </c>
      <c r="J52" s="8" t="n">
        <f aca="false">J31*INDEX(Assumptions!$C$18:$E$18,$B$3)*$H$3/(1+INDEX(Assumptions!$C$15:$E$15,$B$3)*$H$4)</f>
        <v>149726.440677966</v>
      </c>
      <c r="K52" s="8" t="n">
        <f aca="false">K31*INDEX(Assumptions!$C$18:$E$18,$B$3)*$H$3/(1+INDEX(Assumptions!$C$15:$E$15,$B$3)*$H$4)</f>
        <v>138635.593220339</v>
      </c>
      <c r="L52" s="8" t="n">
        <f aca="false">L31*INDEX(Assumptions!$C$18:$E$18,$B$3)*$H$3/(1+INDEX(Assumptions!$C$15:$E$15,$B$3)*$H$4)</f>
        <v>121999.322033898</v>
      </c>
      <c r="M52" s="8" t="n">
        <f aca="false">M31*INDEX(Assumptions!$C$18:$E$18,$B$3)*$H$3/(1+INDEX(Assumptions!$C$15:$E$15,$B$3)*$H$4)</f>
        <v>116453.898305085</v>
      </c>
      <c r="N52" s="8" t="n">
        <f aca="false">N31*INDEX(Assumptions!$C$18:$E$18,$B$3)*$H$3/(1+INDEX(Assumptions!$C$15:$E$15,$B$3)*$H$4)</f>
        <v>110908.474576271</v>
      </c>
      <c r="O52" s="37" t="n">
        <f aca="false">SUM(C52:N52)</f>
        <v>1125044.1918844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3275.20150221007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4380.65296244475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5342.77888033835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7563.61525423729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7854.52353324641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7272.70697522816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6399.98213820078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6109.07385919166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5818.16558018253</v>
      </c>
      <c r="O53" s="37" t="n">
        <f aca="false">SUM(C53:N53)</f>
        <v>59870.7863425963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6140.16</v>
      </c>
      <c r="J58" s="8" t="n">
        <f aca="false">(J29+J30)*(1-J47)*INDEX(Assumptions!$C$90:$E$90,$B$3)</f>
        <v>6376.32</v>
      </c>
      <c r="K58" s="8" t="n">
        <f aca="false">(K29+K30)*(1-K47)*INDEX(Assumptions!$C$90:$E$90,$B$3)</f>
        <v>5904</v>
      </c>
      <c r="L58" s="8" t="n">
        <f aca="false">(L29+L30)*(1-L47)*INDEX(Assumptions!$C$90:$E$90,$B$3)</f>
        <v>5195.52</v>
      </c>
      <c r="M58" s="8" t="n">
        <f aca="false">(M29+M30)*(1-M47)*INDEX(Assumptions!$C$90:$E$90,$B$3)</f>
        <v>4959.36</v>
      </c>
      <c r="N58" s="8" t="n">
        <f aca="false">(N29+N30)*(1-N47)*INDEX(Assumptions!$C$90:$E$90,$B$3)</f>
        <v>4723.2</v>
      </c>
      <c r="O58" s="37" t="n">
        <f aca="false">SUM(C58:N58)</f>
        <v>33298.56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357961.120146278</v>
      </c>
      <c r="G59" s="37" t="n">
        <f aca="false">SUM(G49:G58)</f>
        <v>435364.227538716</v>
      </c>
      <c r="H59" s="37" t="n">
        <f aca="false">SUM(H49:H58)</f>
        <v>468814.337189023</v>
      </c>
      <c r="I59" s="37" t="n">
        <f aca="false">SUM(I49:I58)</f>
        <v>815956.88156293</v>
      </c>
      <c r="J59" s="37" t="n">
        <f aca="false">SUM(J49:J58)</f>
        <v>880843.294380704</v>
      </c>
      <c r="K59" s="37" t="n">
        <f aca="false">SUM(K49:K58)</f>
        <v>857339.767992177</v>
      </c>
      <c r="L59" s="37" t="n">
        <f aca="false">SUM(L49:L58)</f>
        <v>798453.783494133</v>
      </c>
      <c r="M59" s="37" t="n">
        <f aca="false">SUM(M49:M58)</f>
        <v>789751.410130378</v>
      </c>
      <c r="N59" s="37" t="n">
        <f aca="false">SUM(N49:N58)</f>
        <v>784392.968970013</v>
      </c>
      <c r="O59" s="31" t="n">
        <f aca="false">SUM(C59:N59)</f>
        <v>6755328.27070574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210414.711864407</v>
      </c>
      <c r="G60" s="8" t="n">
        <f aca="false">G49+G50+G51+G52</f>
        <v>281300.705084746</v>
      </c>
      <c r="H60" s="8" t="n">
        <f aca="false">H49+H50+H51+H52</f>
        <v>289313.043054448</v>
      </c>
      <c r="I60" s="8" t="n">
        <f aca="false">I49+I50+I51+I52</f>
        <v>603618.945291744</v>
      </c>
      <c r="J60" s="8" t="n">
        <f aca="false">J49+J50+J51+J52</f>
        <v>643502.644067797</v>
      </c>
      <c r="K60" s="8" t="n">
        <f aca="false">K49+K50+K51+K52</f>
        <v>600727.830508475</v>
      </c>
      <c r="L60" s="8" t="n">
        <f aca="false">L49+L50+L51+L52</f>
        <v>530713.728813559</v>
      </c>
      <c r="M60" s="8" t="n">
        <f aca="false">M49+M50+M51+M52</f>
        <v>503474.440677966</v>
      </c>
      <c r="N60" s="8" t="n">
        <f aca="false">N49+N50+N51+N52</f>
        <v>479579.084745763</v>
      </c>
      <c r="O60" s="37" t="n">
        <f aca="false">SUM(C60:N60)</f>
        <v>4515662.91588856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19137.6</v>
      </c>
      <c r="G62" s="8" t="n">
        <f aca="false">((G29+G32)*INDEX(Assumptions!$C$91:$E$91,$B$3)+G30*INDEX(Assumptions!$C$93:$E$93,$B$3))*$N$3</f>
        <v>25549.92</v>
      </c>
      <c r="H62" s="8" t="n">
        <f aca="false">((H29+H32)*INDEX(Assumptions!$C$91:$E$91,$B$3)+H30*INDEX(Assumptions!$C$93:$E$93,$B$3))*$N$3</f>
        <v>26522.0782821659</v>
      </c>
      <c r="I62" s="8" t="n">
        <f aca="false">((I29+I32)*INDEX(Assumptions!$C$91:$E$91,$B$3)+I30*INDEX(Assumptions!$C$93:$E$93,$B$3))*$N$3</f>
        <v>42933.1205153502</v>
      </c>
      <c r="J62" s="8" t="n">
        <f aca="false">((J29+J32)*INDEX(Assumptions!$C$91:$E$91,$B$3)+J30*INDEX(Assumptions!$C$93:$E$93,$B$3))*$N$3</f>
        <v>47527.2</v>
      </c>
      <c r="K62" s="8" t="n">
        <f aca="false">((K29+K32)*INDEX(Assumptions!$C$91:$E$91,$B$3)+K30*INDEX(Assumptions!$C$93:$E$93,$B$3))*$N$3</f>
        <v>44870.4</v>
      </c>
      <c r="L62" s="8" t="n">
        <f aca="false">((L29+L32)*INDEX(Assumptions!$C$91:$E$91,$B$3)+L30*INDEX(Assumptions!$C$93:$E$93,$B$3))*$N$3</f>
        <v>41881.5</v>
      </c>
      <c r="M62" s="8" t="n">
        <f aca="false">((M29+M32)*INDEX(Assumptions!$C$91:$E$91,$B$3)+M30*INDEX(Assumptions!$C$93:$E$93,$B$3))*$N$3</f>
        <v>39427.65</v>
      </c>
      <c r="N62" s="8" t="n">
        <f aca="false">((N29+N32)*INDEX(Assumptions!$C$91:$E$91,$B$3)+N30*INDEX(Assumptions!$C$93:$E$93,$B$3))*$N$3</f>
        <v>37564.2</v>
      </c>
      <c r="O62" s="37" t="n">
        <f aca="false">SUM(C62:N62)</f>
        <v>358536.368797516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33235.2</v>
      </c>
      <c r="G63" s="8" t="n">
        <f aca="false">(G29+G30)*G47*INDEX(Assumptions!$C$14:$E$14,$B$3)*$N$3</f>
        <v>44452.8</v>
      </c>
      <c r="H63" s="8" t="n">
        <f aca="false">(H29+H30)*H47*INDEX(Assumptions!$C$14:$E$14,$B$3)*$N$3</f>
        <v>45571.2051535024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182663.705153502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3692.8</v>
      </c>
      <c r="G64" s="8" t="n">
        <f aca="false">G31*INDEX(Assumptions!$C$92:$E$92,$B$3)*$N$3</f>
        <v>4939.2</v>
      </c>
      <c r="H64" s="8" t="n">
        <f aca="false">H31*INDEX(Assumptions!$C$92:$E$92,$B$3)*$N$3</f>
        <v>5063.46723927805</v>
      </c>
      <c r="I64" s="8" t="n">
        <f aca="false">I31*INDEX(Assumptions!$C$92:$E$92,$B$3)*$N$3</f>
        <v>8528</v>
      </c>
      <c r="J64" s="8" t="n">
        <f aca="false">J31*INDEX(Assumptions!$C$92:$E$92,$B$3)*$N$3</f>
        <v>8856</v>
      </c>
      <c r="K64" s="8" t="n">
        <f aca="false">K31*INDEX(Assumptions!$C$92:$E$92,$B$3)*$N$3</f>
        <v>8200</v>
      </c>
      <c r="L64" s="8" t="n">
        <f aca="false">L31*INDEX(Assumptions!$C$92:$E$92,$B$3)*$N$3</f>
        <v>7216</v>
      </c>
      <c r="M64" s="8" t="n">
        <f aca="false">M31*INDEX(Assumptions!$C$92:$E$92,$B$3)*$N$3</f>
        <v>6888</v>
      </c>
      <c r="N64" s="8" t="n">
        <f aca="false">N31*INDEX(Assumptions!$C$92:$E$92,$B$3)*$N$3</f>
        <v>6560</v>
      </c>
      <c r="O64" s="37" t="n">
        <f aca="false">SUM(C64:N64)</f>
        <v>66543.9672392781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15682.5515947467</v>
      </c>
      <c r="G65" s="8" t="n">
        <f aca="false">(G39*INDEX(Assumptions!$C$94:$E$94,$B$3)+G40*INDEX(Assumptions!$C$95:$E$95,$B$3)+G41*INDEX(Assumptions!$C$96:$E$96,$B$3))*$N$3</f>
        <v>17047.9362101313</v>
      </c>
      <c r="H65" s="8" t="n">
        <f aca="false">(H39*INDEX(Assumptions!$C$94:$E$94,$B$3)+H40*INDEX(Assumptions!$C$95:$E$95,$B$3)+H41*INDEX(Assumptions!$C$96:$E$96,$B$3))*$N$3</f>
        <v>20165.947467167</v>
      </c>
      <c r="I65" s="8" t="n">
        <f aca="false">(I39*INDEX(Assumptions!$C$94:$E$94,$B$3)+I40*INDEX(Assumptions!$C$95:$E$95,$B$3)+I41*INDEX(Assumptions!$C$96:$E$96,$B$3))*$N$3</f>
        <v>23700</v>
      </c>
      <c r="J65" s="8" t="n">
        <f aca="false">(J39*INDEX(Assumptions!$C$94:$E$94,$B$3)+J40*INDEX(Assumptions!$C$95:$E$95,$B$3)+J41*INDEX(Assumptions!$C$96:$E$96,$B$3))*$N$3</f>
        <v>26596.1538461538</v>
      </c>
      <c r="K65" s="8" t="n">
        <f aca="false">(K39*INDEX(Assumptions!$C$94:$E$94,$B$3)+K40*INDEX(Assumptions!$C$95:$E$95,$B$3)+K41*INDEX(Assumptions!$C$96:$E$96,$B$3))*$N$3</f>
        <v>26403.8461538462</v>
      </c>
      <c r="L65" s="8" t="n">
        <f aca="false">(L39*INDEX(Assumptions!$C$94:$E$94,$B$3)+L40*INDEX(Assumptions!$C$95:$E$95,$B$3)+L41*INDEX(Assumptions!$C$96:$E$96,$B$3))*$N$3</f>
        <v>27315.3846153846</v>
      </c>
      <c r="M65" s="8" t="n">
        <f aca="false">(M39*INDEX(Assumptions!$C$94:$E$94,$B$3)+M40*INDEX(Assumptions!$C$95:$E$95,$B$3)+M41*INDEX(Assumptions!$C$96:$E$96,$B$3))*$N$3</f>
        <v>29019.2307692308</v>
      </c>
      <c r="N65" s="8" t="n">
        <f aca="false">(N39*INDEX(Assumptions!$C$94:$E$94,$B$3)+N40*INDEX(Assumptions!$C$95:$E$95,$B$3)+N41*INDEX(Assumptions!$C$96:$E$96,$B$3))*$N$3</f>
        <v>30723.0769230769</v>
      </c>
      <c r="O65" s="37" t="n">
        <f aca="false">SUM(C65:N65)</f>
        <v>236789.077157599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11503.6974354522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14359.0571299137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15270.5496968223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28743.9756251597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30984.3803473846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29775.4232246154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27283.4617904615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26630.1074790769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26124.7221676923</v>
      </c>
      <c r="O68" s="37" t="n">
        <f aca="false">SUM(C68:N68)</f>
        <v>229442.023839341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2769.6</v>
      </c>
      <c r="G69" s="8" t="n">
        <f aca="false">G33*INDEX(Assumptions!$C$198:$E$198,$B$3)*INDEX(Assumptions!$C$69:$E$69,$B$3)</f>
        <v>3704.4</v>
      </c>
      <c r="H69" s="8" t="n">
        <f aca="false">H33*INDEX(Assumptions!$C$198:$E$198,$B$3)*INDEX(Assumptions!$C$69:$E$69,$B$3)</f>
        <v>3797.60042945854</v>
      </c>
      <c r="I69" s="8" t="n">
        <f aca="false">I33*INDEX(Assumptions!$C$198:$E$198,$B$3)*INDEX(Assumptions!$C$69:$E$69,$B$3)</f>
        <v>6396</v>
      </c>
      <c r="J69" s="8" t="n">
        <f aca="false">J33*INDEX(Assumptions!$C$198:$E$198,$B$3)*INDEX(Assumptions!$C$69:$E$69,$B$3)</f>
        <v>6642</v>
      </c>
      <c r="K69" s="8" t="n">
        <f aca="false">K33*INDEX(Assumptions!$C$198:$E$198,$B$3)*INDEX(Assumptions!$C$69:$E$69,$B$3)</f>
        <v>6150</v>
      </c>
      <c r="L69" s="8" t="n">
        <f aca="false">L33*INDEX(Assumptions!$C$198:$E$198,$B$3)*INDEX(Assumptions!$C$69:$E$69,$B$3)</f>
        <v>5412</v>
      </c>
      <c r="M69" s="8" t="n">
        <f aca="false">M33*INDEX(Assumptions!$C$198:$E$198,$B$3)*INDEX(Assumptions!$C$69:$E$69,$B$3)</f>
        <v>5166</v>
      </c>
      <c r="N69" s="8" t="n">
        <f aca="false">N33*INDEX(Assumptions!$C$198:$E$198,$B$3)*INDEX(Assumptions!$C$69:$E$69,$B$3)</f>
        <v>4920</v>
      </c>
      <c r="O69" s="37" t="n">
        <f aca="false">SUM(C69:N69)</f>
        <v>49907.9754294585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86973.4490301989</v>
      </c>
      <c r="G70" s="37" t="n">
        <f aca="false">SUM(G62:G69)</f>
        <v>111481.313340045</v>
      </c>
      <c r="H70" s="37" t="n">
        <f aca="false">SUM(H62:H69)</f>
        <v>118294.848268394</v>
      </c>
      <c r="I70" s="37" t="n">
        <f aca="false">SUM(I62:I69)</f>
        <v>112681.09614051</v>
      </c>
      <c r="J70" s="37" t="n">
        <f aca="false">SUM(J62:J69)</f>
        <v>123461.734193538</v>
      </c>
      <c r="K70" s="37" t="n">
        <f aca="false">SUM(K62:K69)</f>
        <v>144255.669378462</v>
      </c>
      <c r="L70" s="37" t="n">
        <f aca="false">SUM(L62:L69)</f>
        <v>137964.346405846</v>
      </c>
      <c r="M70" s="37" t="n">
        <f aca="false">SUM(M62:M69)</f>
        <v>135986.988248308</v>
      </c>
      <c r="N70" s="37" t="n">
        <f aca="false">SUM(N62:N69)</f>
        <v>134747.999090769</v>
      </c>
      <c r="O70" s="31" t="n">
        <f aca="false">SUM(C70:N70)</f>
        <v>1249303.1176167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270987.671116079</v>
      </c>
      <c r="G71" s="37" t="n">
        <f aca="false">G59-G70</f>
        <v>323882.914198671</v>
      </c>
      <c r="H71" s="37" t="n">
        <f aca="false">H59-H70</f>
        <v>350519.488920629</v>
      </c>
      <c r="I71" s="37" t="n">
        <f aca="false">I59-I70</f>
        <v>703275.78542242</v>
      </c>
      <c r="J71" s="37" t="n">
        <f aca="false">J59-J70</f>
        <v>757381.560187166</v>
      </c>
      <c r="K71" s="37" t="n">
        <f aca="false">K59-K70</f>
        <v>713084.098613716</v>
      </c>
      <c r="L71" s="37" t="n">
        <f aca="false">L59-L70</f>
        <v>660489.437088287</v>
      </c>
      <c r="M71" s="37" t="n">
        <f aca="false">M59-M70</f>
        <v>653764.42188207</v>
      </c>
      <c r="N71" s="37" t="n">
        <f aca="false">N59-N70</f>
        <v>649644.969879244</v>
      </c>
      <c r="O71" s="31" t="n">
        <f aca="false">SUM(C71:N71)</f>
        <v>5506025.15308904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0.757031017796967</v>
      </c>
      <c r="G72" s="7" t="n">
        <f aca="false">IFERROR(G71/G59,0)</f>
        <v>0.743935522745421</v>
      </c>
      <c r="H72" s="7" t="n">
        <f aca="false">IFERROR(H71/H59,0)</f>
        <v>0.747672289679361</v>
      </c>
      <c r="I72" s="7" t="n">
        <f aca="false">IFERROR(I71/I59,0)</f>
        <v>0.861903124188776</v>
      </c>
      <c r="J72" s="7" t="n">
        <f aca="false">IFERROR(J71/J59,0)</f>
        <v>0.859836891554768</v>
      </c>
      <c r="K72" s="7" t="n">
        <f aca="false">IFERROR(K71/K59,0)</f>
        <v>0.831740373228811</v>
      </c>
      <c r="L72" s="7" t="n">
        <f aca="false">IFERROR(L71/L59,0)</f>
        <v>0.827210604723924</v>
      </c>
      <c r="M72" s="7" t="n">
        <f aca="false">IFERROR(M71/M59,0)</f>
        <v>0.827810388808476</v>
      </c>
      <c r="N72" s="7" t="n">
        <f aca="false">IFERROR(N71/N59,0)</f>
        <v>0.828213657667397</v>
      </c>
      <c r="O72" s="13" t="n">
        <f aca="false">IFERROR(O71/O59,0)</f>
        <v>0.815064040183768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10500</v>
      </c>
      <c r="D89" s="8" t="n">
        <f aca="false">D17</f>
        <v>28000</v>
      </c>
      <c r="E89" s="8" t="n">
        <f aca="false">E17</f>
        <v>35000</v>
      </c>
      <c r="F89" s="8" t="n">
        <f aca="false">F17</f>
        <v>42000</v>
      </c>
      <c r="G89" s="8" t="n">
        <f aca="false">G17</f>
        <v>56000</v>
      </c>
      <c r="H89" s="8" t="n">
        <f aca="false">H17</f>
        <v>63000</v>
      </c>
      <c r="I89" s="8" t="n">
        <f aca="false">I17</f>
        <v>70000</v>
      </c>
      <c r="J89" s="8" t="n">
        <f aca="false">J17</f>
        <v>70000</v>
      </c>
      <c r="K89" s="8" t="n">
        <f aca="false">K17</f>
        <v>70000</v>
      </c>
      <c r="L89" s="8" t="n">
        <f aca="false">L17</f>
        <v>70000</v>
      </c>
      <c r="M89" s="8" t="n">
        <f aca="false">M17</f>
        <v>70000</v>
      </c>
      <c r="N89" s="8" t="n">
        <f aca="false">N17</f>
        <v>70000</v>
      </c>
      <c r="O89" s="37" t="n">
        <f aca="false">SUM(C89:N89)</f>
        <v>654500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287333</v>
      </c>
      <c r="D93" s="37" t="n">
        <f aca="false">D84+SUM(D86:D92)</f>
        <v>299833</v>
      </c>
      <c r="E93" s="37" t="n">
        <f aca="false">E84+SUM(E86:E92)</f>
        <v>471833</v>
      </c>
      <c r="F93" s="37" t="n">
        <f aca="false">F84+SUM(F86:F92)</f>
        <v>328833</v>
      </c>
      <c r="G93" s="37" t="n">
        <f aca="false">G84+SUM(G86:G92)</f>
        <v>342833</v>
      </c>
      <c r="H93" s="37" t="n">
        <f aca="false">H84+SUM(H86:H92)</f>
        <v>362333</v>
      </c>
      <c r="I93" s="37" t="n">
        <f aca="false">I84+SUM(I86:I92)</f>
        <v>479933</v>
      </c>
      <c r="J93" s="37" t="n">
        <f aca="false">J84+SUM(J86:J92)</f>
        <v>479933</v>
      </c>
      <c r="K93" s="37" t="n">
        <f aca="false">K84+SUM(K86:K92)</f>
        <v>484933</v>
      </c>
      <c r="L93" s="37" t="n">
        <f aca="false">L84+SUM(L86:L92)</f>
        <v>484933</v>
      </c>
      <c r="M93" s="37" t="n">
        <f aca="false">M84+SUM(M86:M92)</f>
        <v>484933</v>
      </c>
      <c r="N93" s="37" t="n">
        <f aca="false">N84+SUM(N86:N92)</f>
        <v>484933</v>
      </c>
      <c r="O93" s="31" t="n">
        <f aca="false">SUM(C93:N93)</f>
        <v>4992596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-199931.846949089</v>
      </c>
      <c r="D94" s="37" t="n">
        <f aca="false">D71-D93</f>
        <v>-168295.945499012</v>
      </c>
      <c r="E94" s="37" t="n">
        <f aca="false">E71-E93</f>
        <v>-267776.401771139</v>
      </c>
      <c r="F94" s="37" t="n">
        <f aca="false">F71-F93</f>
        <v>-57845.328883921</v>
      </c>
      <c r="G94" s="37" t="n">
        <f aca="false">G71-G93</f>
        <v>-18950.0858013291</v>
      </c>
      <c r="H94" s="37" t="n">
        <f aca="false">H71-H93</f>
        <v>-11813.511079371</v>
      </c>
      <c r="I94" s="37" t="n">
        <f aca="false">I71-I93</f>
        <v>223342.78542242</v>
      </c>
      <c r="J94" s="37" t="n">
        <f aca="false">J71-J93</f>
        <v>277448.560187166</v>
      </c>
      <c r="K94" s="37" t="n">
        <f aca="false">K71-K93</f>
        <v>228151.098613716</v>
      </c>
      <c r="L94" s="37" t="n">
        <f aca="false">L71-L93</f>
        <v>175556.437088287</v>
      </c>
      <c r="M94" s="37" t="n">
        <f aca="false">M71-M93</f>
        <v>168831.42188207</v>
      </c>
      <c r="N94" s="37" t="n">
        <f aca="false">N71-N93</f>
        <v>164711.969879244</v>
      </c>
      <c r="O94" s="31" t="n">
        <f aca="false">SUM(C94:N94)</f>
        <v>513429.153089042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-1.67809787770525</v>
      </c>
      <c r="D95" s="7" t="n">
        <f aca="false">IFERROR(D94/D59,0)</f>
        <v>-0.9454944047739</v>
      </c>
      <c r="E95" s="7" t="n">
        <f aca="false">IFERROR(E94/E59,0)</f>
        <v>-0.99430283103882</v>
      </c>
      <c r="F95" s="7" t="n">
        <f aca="false">IFERROR(F94/F59,0)</f>
        <v>-0.161596680835849</v>
      </c>
      <c r="G95" s="7" t="n">
        <f aca="false">IFERROR(G94/G59,0)</f>
        <v>-0.04352697029901</v>
      </c>
      <c r="H95" s="7" t="n">
        <f aca="false">IFERROR(H94/H59,0)</f>
        <v>-0.0251986983806936</v>
      </c>
      <c r="I95" s="7" t="n">
        <f aca="false">IFERROR(I94/I59,0)</f>
        <v>0.273718857538914</v>
      </c>
      <c r="J95" s="7" t="n">
        <f aca="false">IFERROR(J94/J59,0)</f>
        <v>0.314980612280453</v>
      </c>
      <c r="K95" s="7" t="n">
        <f aca="false">IFERROR(K94/K59,0)</f>
        <v>0.26611514726306</v>
      </c>
      <c r="L95" s="7" t="n">
        <f aca="false">IFERROR(L94/L59,0)</f>
        <v>0.219870505616531</v>
      </c>
      <c r="M95" s="7" t="n">
        <f aca="false">IFERROR(M94/M59,0)</f>
        <v>0.213777930265675</v>
      </c>
      <c r="N95" s="7" t="n">
        <f aca="false">IFERROR(N94/N59,0)</f>
        <v>0.209986545513695</v>
      </c>
      <c r="O95" s="7" t="n">
        <f aca="false">IFERROR(O94/O59,0)</f>
        <v>0.0760035830257888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-274931.846949089</v>
      </c>
      <c r="D96" s="8" t="n">
        <f aca="false">D94-INDEX(Assumptions!$C$163:$E$163,$B$3)</f>
        <v>-243295.945499012</v>
      </c>
      <c r="E96" s="8" t="n">
        <f aca="false">E94-INDEX(Assumptions!$C$163:$E$163,$B$3)</f>
        <v>-342776.401771139</v>
      </c>
      <c r="F96" s="8" t="n">
        <f aca="false">F94-INDEX(Assumptions!$C$163:$E$163,$B$3)</f>
        <v>-132845.328883921</v>
      </c>
      <c r="G96" s="8" t="n">
        <f aca="false">G94-INDEX(Assumptions!$C$163:$E$163,$B$3)</f>
        <v>-93950.0858013291</v>
      </c>
      <c r="H96" s="8" t="n">
        <f aca="false">H94-INDEX(Assumptions!$C$163:$E$163,$B$3)</f>
        <v>-86813.511079371</v>
      </c>
      <c r="I96" s="8" t="n">
        <f aca="false">I94-INDEX(Assumptions!$C$163:$E$163,$B$3)</f>
        <v>148342.78542242</v>
      </c>
      <c r="J96" s="8" t="n">
        <f aca="false">J94-INDEX(Assumptions!$C$163:$E$163,$B$3)</f>
        <v>202448.560187166</v>
      </c>
      <c r="K96" s="8" t="n">
        <f aca="false">K94-INDEX(Assumptions!$C$163:$E$163,$B$3)</f>
        <v>153151.098613716</v>
      </c>
      <c r="L96" s="8" t="n">
        <f aca="false">L94-INDEX(Assumptions!$C$163:$E$163,$B$3)</f>
        <v>100556.437088287</v>
      </c>
      <c r="M96" s="8" t="n">
        <f aca="false">M94-INDEX(Assumptions!$C$163:$E$163,$B$3)</f>
        <v>93831.4218820704</v>
      </c>
      <c r="N96" s="8" t="n">
        <f aca="false">N94-INDEX(Assumptions!$C$163:$E$163,$B$3)</f>
        <v>89711.9698792438</v>
      </c>
      <c r="O96" s="37" t="n">
        <f aca="false">SUM(C96:N96)</f>
        <v>-386570.846910958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-25336.8019067796</v>
      </c>
      <c r="G104" s="8" t="n">
        <f aca="false">((G60+IF(INDEX(Assumptions!$C$87:$E$87,$B$3)&gt;=2,F60,0)+IF(INDEX(Assumptions!$C$87:$E$87,$B$3)&gt;=3,E60,0))/INDEX(Assumptions!$C$87:$E$87,$B$3))-G60</f>
        <v>-35442.9966101695</v>
      </c>
      <c r="H104" s="8" t="n">
        <f aca="false">((H60+IF(INDEX(Assumptions!$C$87:$E$87,$B$3)&gt;=2,G60,0)+IF(INDEX(Assumptions!$C$87:$E$87,$B$3)&gt;=3,F60,0))/INDEX(Assumptions!$C$87:$E$87,$B$3))-H60</f>
        <v>-4006.16898485093</v>
      </c>
      <c r="I104" s="8" t="n">
        <f aca="false">((I60+IF(INDEX(Assumptions!$C$87:$E$87,$B$3)&gt;=2,H60,0)+IF(INDEX(Assumptions!$C$87:$E$87,$B$3)&gt;=3,G60,0))/INDEX(Assumptions!$C$87:$E$87,$B$3))-I60</f>
        <v>-157152.951118648</v>
      </c>
      <c r="J104" s="8" t="n">
        <f aca="false">((J60+IF(INDEX(Assumptions!$C$87:$E$87,$B$3)&gt;=2,I60,0)+IF(INDEX(Assumptions!$C$87:$E$87,$B$3)&gt;=3,H60,0))/INDEX(Assumptions!$C$87:$E$87,$B$3))-J60</f>
        <v>-19941.8493880265</v>
      </c>
      <c r="K104" s="8" t="n">
        <f aca="false">((K60+IF(INDEX(Assumptions!$C$87:$E$87,$B$3)&gt;=2,J60,0)+IF(INDEX(Assumptions!$C$87:$E$87,$B$3)&gt;=3,I60,0))/INDEX(Assumptions!$C$87:$E$87,$B$3))-K60</f>
        <v>21387.406779661</v>
      </c>
      <c r="L104" s="8" t="n">
        <f aca="false">((L60+IF(INDEX(Assumptions!$C$87:$E$87,$B$3)&gt;=2,K60,0)+IF(INDEX(Assumptions!$C$87:$E$87,$B$3)&gt;=3,J60,0))/INDEX(Assumptions!$C$87:$E$87,$B$3))-L60</f>
        <v>35007.0508474577</v>
      </c>
      <c r="M104" s="8" t="n">
        <f aca="false">((M60+IF(INDEX(Assumptions!$C$87:$E$87,$B$3)&gt;=2,L60,0)+IF(INDEX(Assumptions!$C$87:$E$87,$B$3)&gt;=3,K60,0))/INDEX(Assumptions!$C$87:$E$87,$B$3))-M60</f>
        <v>13619.6440677966</v>
      </c>
      <c r="N104" s="8" t="n">
        <f aca="false">((N60+IF(INDEX(Assumptions!$C$87:$E$87,$B$3)&gt;=2,M60,0)+IF(INDEX(Assumptions!$C$87:$E$87,$B$3)&gt;=3,L60,0))/INDEX(Assumptions!$C$87:$E$87,$B$3))-N60</f>
        <v>11947.6779661017</v>
      </c>
      <c r="O104" s="37" t="n">
        <f aca="false">SUM(C104:N104)</f>
        <v>-239789.542372881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-393965.745254174</v>
      </c>
      <c r="D105" s="37" t="n">
        <f aca="false">D94+D104-D103</f>
        <v>-186866.485753249</v>
      </c>
      <c r="E105" s="37" t="n">
        <f aca="false">E94+E104-E103</f>
        <v>-285042.51723724</v>
      </c>
      <c r="F105" s="37" t="n">
        <f aca="false">F94+F104-F103</f>
        <v>-83182.1307907007</v>
      </c>
      <c r="G105" s="37" t="n">
        <f aca="false">G94+G104-G103</f>
        <v>-54393.0824114986</v>
      </c>
      <c r="H105" s="37" t="n">
        <f aca="false">H94+H104-H103</f>
        <v>-1487819.68006422</v>
      </c>
      <c r="I105" s="37" t="n">
        <f aca="false">I94+I104-I103</f>
        <v>66189.8343037721</v>
      </c>
      <c r="J105" s="37" t="n">
        <f aca="false">J94+J104-J103</f>
        <v>-92493.2892008609</v>
      </c>
      <c r="K105" s="37" t="n">
        <f aca="false">K94+K104-K103</f>
        <v>249538.505393377</v>
      </c>
      <c r="L105" s="37" t="n">
        <f aca="false">L94+L104-L103</f>
        <v>210563.487935745</v>
      </c>
      <c r="M105" s="37" t="n">
        <f aca="false">M94+M104-M103</f>
        <v>182451.065949867</v>
      </c>
      <c r="N105" s="37" t="n">
        <f aca="false">N94+N104-N103</f>
        <v>176659.647845346</v>
      </c>
      <c r="O105" s="31" t="n">
        <f aca="false">SUM(C105:N105)</f>
        <v>-1698360.38928384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-393965.745254174</v>
      </c>
      <c r="D106" s="37" t="n">
        <f aca="false">C106+D105</f>
        <v>-580832.231007423</v>
      </c>
      <c r="E106" s="37" t="n">
        <f aca="false">D106+E105</f>
        <v>-865874.748244664</v>
      </c>
      <c r="F106" s="37" t="n">
        <f aca="false">E106+F105</f>
        <v>-949056.879035364</v>
      </c>
      <c r="G106" s="37" t="n">
        <f aca="false">F106+G105</f>
        <v>-1003449.96144686</v>
      </c>
      <c r="H106" s="37" t="n">
        <f aca="false">G106+H105</f>
        <v>-2491269.64151108</v>
      </c>
      <c r="I106" s="37" t="n">
        <f aca="false">H106+I105</f>
        <v>-2425079.80720731</v>
      </c>
      <c r="J106" s="37" t="n">
        <f aca="false">I106+J105</f>
        <v>-2517573.09640817</v>
      </c>
      <c r="K106" s="37" t="n">
        <f aca="false">J106+K105</f>
        <v>-2268034.5910148</v>
      </c>
      <c r="L106" s="37" t="n">
        <f aca="false">K106+L105</f>
        <v>-2057471.10307905</v>
      </c>
      <c r="M106" s="37" t="n">
        <f aca="false">L106+M105</f>
        <v>-1875020.03712919</v>
      </c>
      <c r="N106" s="37" t="n">
        <f aca="false">M106+N105</f>
        <v>-1698360.38928384</v>
      </c>
      <c r="O106" s="31" t="n">
        <f aca="false">N106</f>
        <v>-1698360.38928384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393965.745254174</v>
      </c>
      <c r="D107" s="37" t="n">
        <f aca="false">-MIN(0,MIN($C$106:D106))</f>
        <v>580832.231007423</v>
      </c>
      <c r="E107" s="37" t="n">
        <f aca="false">-MIN(0,MIN($C$106:E106))</f>
        <v>865874.748244664</v>
      </c>
      <c r="F107" s="37" t="n">
        <f aca="false">-MIN(0,MIN($C$106:F106))</f>
        <v>949056.879035364</v>
      </c>
      <c r="G107" s="37" t="n">
        <f aca="false">-MIN(0,MIN($C$106:G106))</f>
        <v>1003449.96144686</v>
      </c>
      <c r="H107" s="37" t="n">
        <f aca="false">-MIN(0,MIN($C$106:H106))</f>
        <v>2491269.64151108</v>
      </c>
      <c r="I107" s="37" t="n">
        <f aca="false">-MIN(0,MIN($C$106:I106))</f>
        <v>2491269.64151108</v>
      </c>
      <c r="J107" s="37" t="n">
        <f aca="false">-MIN(0,MIN($C$106:J106))</f>
        <v>2517573.09640817</v>
      </c>
      <c r="K107" s="37" t="n">
        <f aca="false">-MIN(0,MIN($C$106:K106))</f>
        <v>2517573.09640817</v>
      </c>
      <c r="L107" s="37" t="n">
        <f aca="false">-MIN(0,MIN($C$106:L106))</f>
        <v>2517573.09640817</v>
      </c>
      <c r="M107" s="37" t="n">
        <f aca="false">-MIN(0,MIN($C$106:M106))</f>
        <v>2517573.09640817</v>
      </c>
      <c r="N107" s="37" t="n">
        <f aca="false">-MIN(0,MIN($C$106:N106))</f>
        <v>2517573.09640817</v>
      </c>
      <c r="O107" s="31" t="n">
        <f aca="false">MAX(C107:N107)</f>
        <v>2517573.09640817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6755328.27070574</v>
      </c>
    </row>
    <row r="112" customFormat="false" ht="15" hidden="false" customHeight="false" outlineLevel="0" collapsed="false">
      <c r="A112" s="3" t="s">
        <v>28</v>
      </c>
      <c r="B112" s="31" t="n">
        <f aca="false">O94</f>
        <v>513429.153089042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0.0760035830257888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-386570.846910958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2517573.09640817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482426.903591827</v>
      </c>
    </row>
    <row r="119" customFormat="false" ht="15" hidden="false" customHeight="false" outlineLevel="0" collapsed="false">
      <c r="A119" s="3" t="s">
        <v>35</v>
      </c>
      <c r="B119" s="32" t="n">
        <f aca="false">O33</f>
        <v>83.1799590490976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9.635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0.713365833333333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484933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238041.199633481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4.9185962553177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59.0231550638124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8476.04220723058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0.125021622556651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0.415349677063228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15.4172194642717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509099.828849601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-1698360.38928384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1229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f aca="false">INDEX(Assumptions!$C$16:$E$16,$B$3)</f>
        <v>1</v>
      </c>
      <c r="I4" s="2" t="s">
        <v>1096</v>
      </c>
      <c r="J4" s="21" t="n">
        <v>1.3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19500</v>
      </c>
      <c r="D17" s="8" t="n">
        <f aca="false">INDEX(Assumptions!$C$122:$E$122,$D$3)*$J$4</f>
        <v>52000</v>
      </c>
      <c r="E17" s="8" t="n">
        <f aca="false">INDEX(Assumptions!$C$123:$E$123,$D$3)*$J$4</f>
        <v>65000</v>
      </c>
      <c r="F17" s="8" t="n">
        <f aca="false">INDEX(Assumptions!$C$124:$E$124,$D$3)*$J$4</f>
        <v>78000</v>
      </c>
      <c r="G17" s="8" t="n">
        <f aca="false">INDEX(Assumptions!$C$125:$E$125,$D$3)*$J$4</f>
        <v>104000</v>
      </c>
      <c r="H17" s="8" t="n">
        <f aca="false">INDEX(Assumptions!$C$126:$E$126,$D$3)*$J$4</f>
        <v>117000</v>
      </c>
      <c r="I17" s="8" t="n">
        <f aca="false">INDEX(Assumptions!$C$127:$E$127,$D$3)*$J$4</f>
        <v>130000</v>
      </c>
      <c r="J17" s="8" t="n">
        <f aca="false">INDEX(Assumptions!$C$128:$E$128,$D$3)*$J$4</f>
        <v>130000</v>
      </c>
      <c r="K17" s="8" t="n">
        <f aca="false">INDEX(Assumptions!$C$129:$E$129,$D$3)*$J$4</f>
        <v>130000</v>
      </c>
      <c r="L17" s="8" t="n">
        <f aca="false">INDEX(Assumptions!$C$130:$E$130,$D$3)*$J$4</f>
        <v>130000</v>
      </c>
      <c r="M17" s="8" t="n">
        <f aca="false">INDEX(Assumptions!$C$131:$E$131,$D$3)*$J$4</f>
        <v>130000</v>
      </c>
      <c r="N17" s="8" t="n">
        <f aca="false">INDEX(Assumptions!$C$132:$E$132,$D$3)*$J$4</f>
        <v>130000</v>
      </c>
      <c r="O17" s="37" t="n">
        <f aca="false">SUM(C17:N17)</f>
        <v>1215500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1.17</v>
      </c>
      <c r="D20" s="27" t="n">
        <f aca="false">D17*INDEX(Assumptions!$C$119:$E$119,$B$3)/D18</f>
        <v>3.12</v>
      </c>
      <c r="E20" s="27" t="n">
        <f aca="false">E17*INDEX(Assumptions!$C$119:$E$119,$B$3)/E18</f>
        <v>3.9</v>
      </c>
      <c r="F20" s="27" t="n">
        <f aca="false">F17*INDEX(Assumptions!$C$119:$E$119,$B$3)/F18</f>
        <v>4.68</v>
      </c>
      <c r="G20" s="27" t="n">
        <f aca="false">G17*INDEX(Assumptions!$C$119:$E$119,$B$3)/G18</f>
        <v>6.24</v>
      </c>
      <c r="H20" s="27" t="n">
        <f aca="false">H17*INDEX(Assumptions!$C$119:$E$119,$B$3)/H18</f>
        <v>7.02</v>
      </c>
      <c r="I20" s="27" t="n">
        <f aca="false">I17*INDEX(Assumptions!$C$119:$E$119,$B$3)/I18</f>
        <v>7.8</v>
      </c>
      <c r="J20" s="27" t="n">
        <f aca="false">J17*INDEX(Assumptions!$C$119:$E$119,$B$3)/J18</f>
        <v>7.8</v>
      </c>
      <c r="K20" s="27" t="n">
        <f aca="false">K17*INDEX(Assumptions!$C$119:$E$119,$B$3)/K18</f>
        <v>7.8</v>
      </c>
      <c r="L20" s="27" t="n">
        <f aca="false">L17*INDEX(Assumptions!$C$119:$E$119,$B$3)/L18</f>
        <v>7.8</v>
      </c>
      <c r="M20" s="27" t="n">
        <f aca="false">M17*INDEX(Assumptions!$C$119:$E$119,$B$3)/M18</f>
        <v>7.8</v>
      </c>
      <c r="N20" s="27" t="n">
        <f aca="false">N17*INDEX(Assumptions!$C$119:$E$119,$B$3)/N18</f>
        <v>7.8</v>
      </c>
      <c r="O20" s="35" t="n">
        <f aca="false">SUM(C20:N20)</f>
        <v>72.93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61016.9491525424</v>
      </c>
      <c r="D49" s="8" t="n">
        <f aca="false">D29*D46/(1+INDEX(Assumptions!$C$15:$E$15,$B$3)*$H$4)</f>
        <v>83917.3728813559</v>
      </c>
      <c r="E49" s="8" t="n">
        <f aca="false">E29*E46/(1+INDEX(Assumptions!$C$15:$E$15,$B$3)*$H$4)</f>
        <v>106779.661016949</v>
      </c>
      <c r="F49" s="8" t="n">
        <f aca="false">F29*F46/(1+INDEX(Assumptions!$C$15:$E$15,$B$3)*$H$4)</f>
        <v>152542.372881356</v>
      </c>
      <c r="G49" s="8" t="n">
        <f aca="false">G29*G46/(1+INDEX(Assumptions!$C$15:$E$15,$B$3)*$H$4)</f>
        <v>205932.203389831</v>
      </c>
      <c r="H49" s="8" t="n">
        <f aca="false">H29*H46/(1+INDEX(Assumptions!$C$15:$E$15,$B$3)*$H$4)</f>
        <v>176756.081128998</v>
      </c>
      <c r="I49" s="8" t="n">
        <f aca="false">I29*I46/(1+INDEX(Assumptions!$C$15:$E$15,$B$3)*$H$4)</f>
        <v>528813.559322034</v>
      </c>
      <c r="J49" s="8" t="n">
        <f aca="false">J29*J46/(1+INDEX(Assumptions!$C$15:$E$15,$B$3)*$H$4)</f>
        <v>528449.128102864</v>
      </c>
      <c r="K49" s="8" t="n">
        <f aca="false">K29*K46/(1+INDEX(Assumptions!$C$15:$E$15,$B$3)*$H$4)</f>
        <v>333063.577629893</v>
      </c>
      <c r="L49" s="8" t="n">
        <f aca="false">L29*L46/(1+INDEX(Assumptions!$C$15:$E$15,$B$3)*$H$4)</f>
        <v>318680.353706203</v>
      </c>
      <c r="M49" s="8" t="n">
        <f aca="false">M29*M46/(1+INDEX(Assumptions!$C$15:$E$15,$B$3)*$H$4)</f>
        <v>320338.983050848</v>
      </c>
      <c r="N49" s="8" t="n">
        <f aca="false">N29*N46/(1+INDEX(Assumptions!$C$15:$E$15,$B$3)*$H$4)</f>
        <v>305084.745762712</v>
      </c>
      <c r="O49" s="37" t="n">
        <f aca="false">SUM(C49:N49)</f>
        <v>3121374.98802558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106226.784568734</v>
      </c>
      <c r="M50" s="8" t="n">
        <f aca="false">M30*M46/(1+INDEX(Assumptions!$C$15:$E$15,$B$3)*$H$4)</f>
        <v>106779.661016949</v>
      </c>
      <c r="N50" s="8" t="n">
        <f aca="false">N30*N46/(1+INDEX(Assumptions!$C$15:$E$15,$B$3)*$H$4)</f>
        <v>101694.915254237</v>
      </c>
      <c r="O50" s="37" t="n">
        <f aca="false">SUM(C50:N50)</f>
        <v>314701.360839921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4088.13559322034</v>
      </c>
      <c r="E51" s="8" t="n">
        <f aca="false">E32*MAX(0,E46-INDEX(Assumptions!$C$18:$E$18,$B$3)*$H$3)/(1+INDEX(Assumptions!$C$15:$E$15,$B$3)*$H$4)</f>
        <v>5622.46398305085</v>
      </c>
      <c r="F51" s="8" t="n">
        <f aca="false">F32*MAX(0,F46-INDEX(Assumptions!$C$18:$E$18,$B$3)*$H$3)/(1+INDEX(Assumptions!$C$15:$E$15,$B$3)*$H$4)</f>
        <v>7154.23728813559</v>
      </c>
      <c r="G51" s="8" t="n">
        <f aca="false">G32*MAX(0,G46-INDEX(Assumptions!$C$18:$E$18,$B$3)*$H$3)/(1+INDEX(Assumptions!$C$15:$E$15,$B$3)*$H$4)</f>
        <v>10220.3389830508</v>
      </c>
      <c r="H51" s="8" t="n">
        <f aca="false">H32*MAX(0,H46-INDEX(Assumptions!$C$18:$E$18,$B$3)*$H$3)/(1+INDEX(Assumptions!$C$15:$E$15,$B$3)*$H$4)</f>
        <v>9135.76430749592</v>
      </c>
      <c r="I51" s="8" t="n">
        <f aca="false">I32*MAX(0,I46-INDEX(Assumptions!$C$18:$E$18,$B$3)*$H$3)/(1+INDEX(Assumptions!$C$15:$E$15,$B$3)*$H$4)</f>
        <v>23626.3961775761</v>
      </c>
      <c r="J51" s="8" t="n">
        <f aca="false">J32*MAX(0,J46-INDEX(Assumptions!$C$18:$E$18,$B$3)*$H$3)/(1+INDEX(Assumptions!$C$15:$E$15,$B$3)*$H$4)</f>
        <v>51014.9130518561</v>
      </c>
      <c r="K51" s="8" t="n">
        <f aca="false">K32*MAX(0,K46-INDEX(Assumptions!$C$18:$E$18,$B$3)*$H$3)/(1+INDEX(Assumptions!$C$15:$E$15,$B$3)*$H$4)</f>
        <v>34701.2777685537</v>
      </c>
      <c r="L51" s="8" t="n">
        <f aca="false">L32*MAX(0,L46-INDEX(Assumptions!$C$18:$E$18,$B$3)*$H$3)/(1+INDEX(Assumptions!$C$15:$E$15,$B$3)*$H$4)</f>
        <v>31706.8892706119</v>
      </c>
      <c r="M51" s="8" t="n">
        <f aca="false">M32*MAX(0,M46-INDEX(Assumptions!$C$18:$E$18,$B$3)*$H$3)/(1+INDEX(Assumptions!$C$15:$E$15,$B$3)*$H$4)</f>
        <v>42596.9406120624</v>
      </c>
      <c r="N51" s="8" t="n">
        <f aca="false">N32*MAX(0,N46-INDEX(Assumptions!$C$18:$E$18,$B$3)*$H$3)/(1+INDEX(Assumptions!$C$15:$E$15,$B$3)*$H$4)</f>
        <v>42818.6440677966</v>
      </c>
      <c r="O51" s="37" t="n">
        <f aca="false">SUM(C51:N51)</f>
        <v>262686.00110341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27050.8474576271</v>
      </c>
      <c r="D52" s="8" t="n">
        <f aca="false">D31*INDEX(Assumptions!$C$18:$E$18,$B$3)*$H$3/(1+INDEX(Assumptions!$C$15:$E$15,$B$3)*$H$4)</f>
        <v>37203.3686440678</v>
      </c>
      <c r="E52" s="8" t="n">
        <f aca="false">E31*INDEX(Assumptions!$C$18:$E$18,$B$3)*$H$3/(1+INDEX(Assumptions!$C$15:$E$15,$B$3)*$H$4)</f>
        <v>47338.9830508475</v>
      </c>
      <c r="F52" s="8" t="n">
        <f aca="false">F31*INDEX(Assumptions!$C$18:$E$18,$B$3)*$H$3/(1+INDEX(Assumptions!$C$15:$E$15,$B$3)*$H$4)</f>
        <v>67627.1186440678</v>
      </c>
      <c r="G52" s="8" t="n">
        <f aca="false">G31*INDEX(Assumptions!$C$18:$E$18,$B$3)*$H$3/(1+INDEX(Assumptions!$C$15:$E$15,$B$3)*$H$4)</f>
        <v>91296.6101694915</v>
      </c>
      <c r="H52" s="8" t="n">
        <f aca="false">H31*INDEX(Assumptions!$C$18:$E$18,$B$3)*$H$3/(1+INDEX(Assumptions!$C$15:$E$15,$B$3)*$H$4)</f>
        <v>78361.8626338558</v>
      </c>
      <c r="I52" s="8" t="n">
        <f aca="false">I31*INDEX(Assumptions!$C$18:$E$18,$B$3)*$H$3/(1+INDEX(Assumptions!$C$15:$E$15,$B$3)*$H$4)</f>
        <v>175830.508474576</v>
      </c>
      <c r="J52" s="8" t="n">
        <f aca="false">J31*INDEX(Assumptions!$C$18:$E$18,$B$3)*$H$3/(1+INDEX(Assumptions!$C$15:$E$15,$B$3)*$H$4)</f>
        <v>175709.335094202</v>
      </c>
      <c r="K52" s="8" t="n">
        <f aca="false">K31*INDEX(Assumptions!$C$18:$E$18,$B$3)*$H$3/(1+INDEX(Assumptions!$C$15:$E$15,$B$3)*$H$4)</f>
        <v>110743.639561939</v>
      </c>
      <c r="L52" s="8" t="n">
        <f aca="false">L31*INDEX(Assumptions!$C$18:$E$18,$B$3)*$H$3/(1+INDEX(Assumptions!$C$15:$E$15,$B$3)*$H$4)</f>
        <v>141281.623476416</v>
      </c>
      <c r="M52" s="8" t="n">
        <f aca="false">M31*INDEX(Assumptions!$C$18:$E$18,$B$3)*$H$3/(1+INDEX(Assumptions!$C$15:$E$15,$B$3)*$H$4)</f>
        <v>142016.949152542</v>
      </c>
      <c r="N52" s="8" t="n">
        <f aca="false">N31*INDEX(Assumptions!$C$18:$E$18,$B$3)*$H$3/(1+INDEX(Assumptions!$C$15:$E$15,$B$3)*$H$4)</f>
        <v>135254.237288136</v>
      </c>
      <c r="O52" s="37" t="n">
        <f aca="false">SUM(C52:N52)</f>
        <v>1229715.08364777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1419.06477565428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1951.65752426702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2483.36335739498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3547.66193913569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4789.34361783318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6208.40839348745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9223.92104175279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9578.68723566636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8869.15484783922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7804.85626609852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7450.09007218495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7095.32387827138</v>
      </c>
      <c r="O53" s="37" t="n">
        <f aca="false">SUM(C53:N53)</f>
        <v>70421.5329495858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28813.5593220339</v>
      </c>
      <c r="F54" s="8" t="n">
        <f aca="false">F39*INDEX(Assumptions!$C$21:$E$21,$B$3)*$H$3/(1+INDEX(Assumptions!$C$15:$E$15,$B$3)*$H$4)</f>
        <v>57627.1186440678</v>
      </c>
      <c r="G54" s="8" t="n">
        <f aca="false">G39*INDEX(Assumptions!$C$21:$E$21,$B$3)*$H$3/(1+INDEX(Assumptions!$C$15:$E$15,$B$3)*$H$4)</f>
        <v>86440.6779661017</v>
      </c>
      <c r="H54" s="8" t="n">
        <f aca="false">H39*INDEX(Assumptions!$C$21:$E$21,$B$3)*$H$3/(1+INDEX(Assumptions!$C$15:$E$15,$B$3)*$H$4)</f>
        <v>115254.237288136</v>
      </c>
      <c r="I54" s="8" t="n">
        <f aca="false">I39*INDEX(Assumptions!$C$21:$E$21,$B$3)*$H$3/(1+INDEX(Assumptions!$C$15:$E$15,$B$3)*$H$4)</f>
        <v>144067.79661017</v>
      </c>
      <c r="J54" s="8" t="n">
        <f aca="false">J39*INDEX(Assumptions!$C$21:$E$21,$B$3)*$H$3/(1+INDEX(Assumptions!$C$15:$E$15,$B$3)*$H$4)</f>
        <v>172881.355932203</v>
      </c>
      <c r="K54" s="8" t="n">
        <f aca="false">K39*INDEX(Assumptions!$C$21:$E$21,$B$3)*$H$3/(1+INDEX(Assumptions!$C$15:$E$15,$B$3)*$H$4)</f>
        <v>172881.355932203</v>
      </c>
      <c r="L54" s="8" t="n">
        <f aca="false">L39*INDEX(Assumptions!$C$21:$E$21,$B$3)*$H$3/(1+INDEX(Assumptions!$C$15:$E$15,$B$3)*$H$4)</f>
        <v>172881.355932203</v>
      </c>
      <c r="M54" s="8" t="n">
        <f aca="false">M39*INDEX(Assumptions!$C$21:$E$21,$B$3)*$H$3/(1+INDEX(Assumptions!$C$15:$E$15,$B$3)*$H$4)</f>
        <v>172881.355932203</v>
      </c>
      <c r="N54" s="8" t="n">
        <f aca="false">N39*INDEX(Assumptions!$C$21:$E$21,$B$3)*$H$3/(1+INDEX(Assumptions!$C$15:$E$15,$B$3)*$H$4)</f>
        <v>172881.355932203</v>
      </c>
      <c r="O54" s="37" t="n">
        <f aca="false">SUM(C54:N54)</f>
        <v>1296610.16949153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29655.0847457627</v>
      </c>
      <c r="D55" s="8" t="n">
        <f aca="false">D40*INDEX(Assumptions!$C$22:$E$22,$B$3)*$H$3/(1+INDEX(Assumptions!$C$15:$E$15,$B$3)*$H$4)</f>
        <v>50837.2881355932</v>
      </c>
      <c r="E55" s="8" t="n">
        <f aca="false">E40*INDEX(Assumptions!$C$22:$E$22,$B$3)*$H$3/(1+INDEX(Assumptions!$C$15:$E$15,$B$3)*$H$4)</f>
        <v>76255.9322033898</v>
      </c>
      <c r="F55" s="8" t="n">
        <f aca="false">F40*INDEX(Assumptions!$C$22:$E$22,$B$3)*$H$3/(1+INDEX(Assumptions!$C$15:$E$15,$B$3)*$H$4)</f>
        <v>82610.593220339</v>
      </c>
      <c r="G55" s="8" t="n">
        <f aca="false">G40*INDEX(Assumptions!$C$22:$E$22,$B$3)*$H$3/(1+INDEX(Assumptions!$C$15:$E$15,$B$3)*$H$4)</f>
        <v>57191.9491525424</v>
      </c>
      <c r="H55" s="8" t="n">
        <f aca="false">H40*INDEX(Assumptions!$C$22:$E$22,$B$3)*$H$3/(1+INDEX(Assumptions!$C$15:$E$15,$B$3)*$H$4)</f>
        <v>50837.2881355932</v>
      </c>
      <c r="I55" s="8" t="n">
        <f aca="false">I40*INDEX(Assumptions!$C$22:$E$22,$B$3)*$H$3/(1+INDEX(Assumptions!$C$15:$E$15,$B$3)*$H$4)</f>
        <v>44482.6271186441</v>
      </c>
      <c r="J55" s="8" t="n">
        <f aca="false">J40*INDEX(Assumptions!$C$22:$E$22,$B$3)*$H$3/(1+INDEX(Assumptions!$C$15:$E$15,$B$3)*$H$4)</f>
        <v>38127.9661016949</v>
      </c>
      <c r="K55" s="8" t="n">
        <f aca="false">K40*INDEX(Assumptions!$C$22:$E$22,$B$3)*$H$3/(1+INDEX(Assumptions!$C$15:$E$15,$B$3)*$H$4)</f>
        <v>38127.9661016949</v>
      </c>
      <c r="L55" s="8" t="n">
        <f aca="false">L40*INDEX(Assumptions!$C$22:$E$22,$B$3)*$H$3/(1+INDEX(Assumptions!$C$15:$E$15,$B$3)*$H$4)</f>
        <v>50837.2881355932</v>
      </c>
      <c r="M55" s="8" t="n">
        <f aca="false">M40*INDEX(Assumptions!$C$22:$E$22,$B$3)*$H$3/(1+INDEX(Assumptions!$C$15:$E$15,$B$3)*$H$4)</f>
        <v>69901.2711864407</v>
      </c>
      <c r="N55" s="8" t="n">
        <f aca="false">N40*INDEX(Assumptions!$C$22:$E$22,$B$3)*$H$3/(1+INDEX(Assumptions!$C$15:$E$15,$B$3)*$H$4)</f>
        <v>88965.2542372881</v>
      </c>
      <c r="O55" s="37" t="n">
        <f aca="false">SUM(C55:N55)</f>
        <v>677830.508474576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20325.4237288136</v>
      </c>
      <c r="L56" s="8" t="n">
        <f aca="false">L43*INDEX(Assumptions!$C$83:$E$83,$B$3)/(1+INDEX(Assumptions!$C$15:$E$15,$B$3)*$H$4)</f>
        <v>20325.4237288136</v>
      </c>
      <c r="M56" s="8" t="n">
        <f aca="false">M43*INDEX(Assumptions!$C$83:$E$83,$B$3)/(1+INDEX(Assumptions!$C$15:$E$15,$B$3)*$H$4)</f>
        <v>20325.4237288136</v>
      </c>
      <c r="N56" s="8" t="n">
        <f aca="false">N43*INDEX(Assumptions!$C$83:$E$83,$B$3)/(1+INDEX(Assumptions!$C$15:$E$15,$B$3)*$H$4)</f>
        <v>20325.4237288136</v>
      </c>
      <c r="O56" s="37" t="n">
        <f aca="false">SUM(C56:N56)</f>
        <v>81301.6949152542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2016.74745762712</v>
      </c>
      <c r="F57" s="8" t="n">
        <f aca="false">F44*INDEX(Assumptions!$C$23:$E$23,$B$3)/(1+INDEX(Assumptions!$C$15:$E$15,$B$3)*$H$4)</f>
        <v>4033.49491525424</v>
      </c>
      <c r="G57" s="8" t="n">
        <f aca="false">G44*INDEX(Assumptions!$C$23:$E$23,$B$3)/(1+INDEX(Assumptions!$C$15:$E$15,$B$3)*$H$4)</f>
        <v>6050.24237288136</v>
      </c>
      <c r="H57" s="8" t="n">
        <f aca="false">H44*INDEX(Assumptions!$C$23:$E$23,$B$3)/(1+INDEX(Assumptions!$C$15:$E$15,$B$3)*$H$4)</f>
        <v>8066.98983050847</v>
      </c>
      <c r="I57" s="8" t="n">
        <f aca="false">I44*INDEX(Assumptions!$C$23:$E$23,$B$3)/(1+INDEX(Assumptions!$C$15:$E$15,$B$3)*$H$4)</f>
        <v>10083.7372881356</v>
      </c>
      <c r="J57" s="8" t="n">
        <f aca="false">J44*INDEX(Assumptions!$C$23:$E$23,$B$3)/(1+INDEX(Assumptions!$C$15:$E$15,$B$3)*$H$4)</f>
        <v>12100.4847457627</v>
      </c>
      <c r="K57" s="8" t="n">
        <f aca="false">K44*INDEX(Assumptions!$C$23:$E$23,$B$3)/(1+INDEX(Assumptions!$C$15:$E$15,$B$3)*$H$4)</f>
        <v>12100.4847457627</v>
      </c>
      <c r="L57" s="8" t="n">
        <f aca="false">L44*INDEX(Assumptions!$C$23:$E$23,$B$3)/(1+INDEX(Assumptions!$C$15:$E$15,$B$3)*$H$4)</f>
        <v>12100.4847457627</v>
      </c>
      <c r="M57" s="8" t="n">
        <f aca="false">M44*INDEX(Assumptions!$C$23:$E$23,$B$3)/(1+INDEX(Assumptions!$C$15:$E$15,$B$3)*$H$4)</f>
        <v>12100.4847457627</v>
      </c>
      <c r="N57" s="8" t="n">
        <f aca="false">N44*INDEX(Assumptions!$C$23:$E$23,$B$3)/(1+INDEX(Assumptions!$C$15:$E$15,$B$3)*$H$4)</f>
        <v>12100.4847457627</v>
      </c>
      <c r="O57" s="37" t="n">
        <f aca="false">SUM(C57:N57)</f>
        <v>90753.6355932203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119141.946131586</v>
      </c>
      <c r="D59" s="37" t="n">
        <f aca="false">SUM(D49:D58)</f>
        <v>177997.822778504</v>
      </c>
      <c r="E59" s="37" t="n">
        <f aca="false">SUM(E49:E58)</f>
        <v>269310.710391293</v>
      </c>
      <c r="F59" s="37" t="n">
        <f aca="false">SUM(F49:F58)</f>
        <v>375142.597532356</v>
      </c>
      <c r="G59" s="37" t="n">
        <f aca="false">SUM(G49:G58)</f>
        <v>461921.365651732</v>
      </c>
      <c r="H59" s="37" t="n">
        <f aca="false">SUM(H49:H58)</f>
        <v>444620.631718074</v>
      </c>
      <c r="I59" s="37" t="n">
        <f aca="false">SUM(I49:I58)</f>
        <v>943616.546032888</v>
      </c>
      <c r="J59" s="37" t="n">
        <f aca="false">SUM(J49:J58)</f>
        <v>995344.709918187</v>
      </c>
      <c r="K59" s="37" t="n">
        <f aca="false">SUM(K49:K58)</f>
        <v>735529.06057594</v>
      </c>
      <c r="L59" s="37" t="n">
        <f aca="false">SUM(L49:L58)</f>
        <v>867861.74490841</v>
      </c>
      <c r="M59" s="37" t="n">
        <f aca="false">SUM(M49:M58)</f>
        <v>900439.159497807</v>
      </c>
      <c r="N59" s="37" t="n">
        <f aca="false">SUM(N49:N58)</f>
        <v>891980.384895221</v>
      </c>
      <c r="O59" s="31" t="n">
        <f aca="false">SUM(C59:N59)</f>
        <v>7182906.680032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88067.7966101695</v>
      </c>
      <c r="D60" s="8" t="n">
        <f aca="false">D49+D50+D51+D52</f>
        <v>125208.877118644</v>
      </c>
      <c r="E60" s="8" t="n">
        <f aca="false">E49+E50+E51+E52</f>
        <v>159741.108050847</v>
      </c>
      <c r="F60" s="8" t="n">
        <f aca="false">F49+F50+F51+F52</f>
        <v>227323.728813559</v>
      </c>
      <c r="G60" s="8" t="n">
        <f aca="false">G49+G50+G51+G52</f>
        <v>307449.152542373</v>
      </c>
      <c r="H60" s="8" t="n">
        <f aca="false">H49+H50+H51+H52</f>
        <v>264253.70807035</v>
      </c>
      <c r="I60" s="8" t="n">
        <f aca="false">I49+I50+I51+I52</f>
        <v>728270.463974186</v>
      </c>
      <c r="J60" s="8" t="n">
        <f aca="false">J49+J50+J51+J52</f>
        <v>755173.376248923</v>
      </c>
      <c r="K60" s="8" t="n">
        <f aca="false">K49+K50+K51+K52</f>
        <v>478508.494960386</v>
      </c>
      <c r="L60" s="8" t="n">
        <f aca="false">L49+L50+L51+L52</f>
        <v>597895.651021965</v>
      </c>
      <c r="M60" s="8" t="n">
        <f aca="false">M49+M50+M51+M52</f>
        <v>611732.533832402</v>
      </c>
      <c r="N60" s="8" t="n">
        <f aca="false">N49+N50+N51+N52</f>
        <v>584852.542372881</v>
      </c>
      <c r="O60" s="37" t="n">
        <f aca="false">SUM(C60:N60)</f>
        <v>4928477.43361669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33677.2355674431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35456.0676039142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24952.8300935701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29910.616848654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30949.9909877873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30334.9420835272</v>
      </c>
      <c r="O68" s="37" t="n">
        <f aca="false">SUM(C68:N68)</f>
        <v>245896.040175613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129477.459569892</v>
      </c>
      <c r="J70" s="37" t="n">
        <f aca="false">SUM(J62:J69)</f>
        <v>139440.436014686</v>
      </c>
      <c r="K70" s="37" t="n">
        <f aca="false">SUM(K62:K69)</f>
        <v>127806.223685902</v>
      </c>
      <c r="L70" s="37" t="n">
        <f aca="false">SUM(L62:L69)</f>
        <v>146722.914963371</v>
      </c>
      <c r="M70" s="37" t="n">
        <f aca="false">SUM(M62:M69)</f>
        <v>151651.823883096</v>
      </c>
      <c r="N70" s="37" t="n">
        <f aca="false">SUM(N62:N69)</f>
        <v>150146.157843377</v>
      </c>
      <c r="O70" s="31" t="n">
        <f aca="false">SUM(C70:N70)</f>
        <v>1311610.85343492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87401.1530509111</v>
      </c>
      <c r="D71" s="37" t="n">
        <f aca="false">D59-D70</f>
        <v>131537.054500988</v>
      </c>
      <c r="E71" s="37" t="n">
        <f aca="false">E59-E70</f>
        <v>204056.598228861</v>
      </c>
      <c r="F71" s="37" t="n">
        <f aca="false">F59-F70</f>
        <v>282746.889350668</v>
      </c>
      <c r="G71" s="37" t="n">
        <f aca="false">G59-G70</f>
        <v>341995.450784452</v>
      </c>
      <c r="H71" s="37" t="n">
        <f aca="false">H59-H70</f>
        <v>334032.090813069</v>
      </c>
      <c r="I71" s="37" t="n">
        <f aca="false">I59-I70</f>
        <v>814139.086462996</v>
      </c>
      <c r="J71" s="37" t="n">
        <f aca="false">J59-J70</f>
        <v>855904.2739035</v>
      </c>
      <c r="K71" s="37" t="n">
        <f aca="false">K59-K70</f>
        <v>607722.836890037</v>
      </c>
      <c r="L71" s="37" t="n">
        <f aca="false">L59-L70</f>
        <v>721138.829945038</v>
      </c>
      <c r="M71" s="37" t="n">
        <f aca="false">M59-M70</f>
        <v>748787.335614711</v>
      </c>
      <c r="N71" s="37" t="n">
        <f aca="false">N59-N70</f>
        <v>741834.227051843</v>
      </c>
      <c r="O71" s="31" t="n">
        <f aca="false">SUM(C71:N71)</f>
        <v>5871295.82659707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0.733588428666263</v>
      </c>
      <c r="D72" s="7" t="n">
        <f aca="false">IFERROR(D71/D59,0)</f>
        <v>0.738981255207088</v>
      </c>
      <c r="E72" s="7" t="n">
        <f aca="false">IFERROR(E71/E59,0)</f>
        <v>0.75769952829718</v>
      </c>
      <c r="F72" s="7" t="n">
        <f aca="false">IFERROR(F71/F59,0)</f>
        <v>0.753705100968387</v>
      </c>
      <c r="G72" s="7" t="n">
        <f aca="false">IFERROR(G71/G59,0)</f>
        <v>0.740375908574668</v>
      </c>
      <c r="H72" s="7" t="n">
        <f aca="false">IFERROR(H71/H59,0)</f>
        <v>0.751274383112461</v>
      </c>
      <c r="I72" s="7" t="n">
        <f aca="false">IFERROR(I71/I59,0)</f>
        <v>0.862785937662671</v>
      </c>
      <c r="J72" s="7" t="n">
        <f aca="false">IFERROR(J71/J59,0)</f>
        <v>0.859907392257957</v>
      </c>
      <c r="K72" s="7" t="n">
        <f aca="false">IFERROR(K71/K59,0)</f>
        <v>0.826239056298025</v>
      </c>
      <c r="L72" s="7" t="n">
        <f aca="false">IFERROR(L71/L59,0)</f>
        <v>0.830937455390598</v>
      </c>
      <c r="M72" s="7" t="n">
        <f aca="false">IFERROR(M71/M59,0)</f>
        <v>0.831580154768396</v>
      </c>
      <c r="N72" s="7" t="n">
        <f aca="false">IFERROR(N71/N59,0)</f>
        <v>0.831671009378738</v>
      </c>
      <c r="O72" s="13" t="n">
        <f aca="false">IFERROR(O71/O59,0)</f>
        <v>0.81739831632769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19500</v>
      </c>
      <c r="D89" s="8" t="n">
        <f aca="false">D17</f>
        <v>52000</v>
      </c>
      <c r="E89" s="8" t="n">
        <f aca="false">E17</f>
        <v>65000</v>
      </c>
      <c r="F89" s="8" t="n">
        <f aca="false">F17</f>
        <v>78000</v>
      </c>
      <c r="G89" s="8" t="n">
        <f aca="false">G17</f>
        <v>104000</v>
      </c>
      <c r="H89" s="8" t="n">
        <f aca="false">H17</f>
        <v>117000</v>
      </c>
      <c r="I89" s="8" t="n">
        <f aca="false">I17</f>
        <v>130000</v>
      </c>
      <c r="J89" s="8" t="n">
        <f aca="false">J17</f>
        <v>130000</v>
      </c>
      <c r="K89" s="8" t="n">
        <f aca="false">K17</f>
        <v>130000</v>
      </c>
      <c r="L89" s="8" t="n">
        <f aca="false">L17</f>
        <v>130000</v>
      </c>
      <c r="M89" s="8" t="n">
        <f aca="false">M17</f>
        <v>130000</v>
      </c>
      <c r="N89" s="8" t="n">
        <f aca="false">N17</f>
        <v>130000</v>
      </c>
      <c r="O89" s="37" t="n">
        <f aca="false">SUM(C89:N89)</f>
        <v>1215500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296333</v>
      </c>
      <c r="D93" s="37" t="n">
        <f aca="false">D84+SUM(D86:D92)</f>
        <v>323833</v>
      </c>
      <c r="E93" s="37" t="n">
        <f aca="false">E84+SUM(E86:E92)</f>
        <v>501833</v>
      </c>
      <c r="F93" s="37" t="n">
        <f aca="false">F84+SUM(F86:F92)</f>
        <v>364833</v>
      </c>
      <c r="G93" s="37" t="n">
        <f aca="false">G84+SUM(G86:G92)</f>
        <v>390833</v>
      </c>
      <c r="H93" s="37" t="n">
        <f aca="false">H84+SUM(H86:H92)</f>
        <v>416333</v>
      </c>
      <c r="I93" s="37" t="n">
        <f aca="false">I84+SUM(I86:I92)</f>
        <v>539933</v>
      </c>
      <c r="J93" s="37" t="n">
        <f aca="false">J84+SUM(J86:J92)</f>
        <v>539933</v>
      </c>
      <c r="K93" s="37" t="n">
        <f aca="false">K84+SUM(K86:K92)</f>
        <v>544933</v>
      </c>
      <c r="L93" s="37" t="n">
        <f aca="false">L84+SUM(L86:L92)</f>
        <v>544933</v>
      </c>
      <c r="M93" s="37" t="n">
        <f aca="false">M84+SUM(M86:M92)</f>
        <v>544933</v>
      </c>
      <c r="N93" s="37" t="n">
        <f aca="false">N84+SUM(N86:N92)</f>
        <v>544933</v>
      </c>
      <c r="O93" s="31" t="n">
        <f aca="false">SUM(C93:N93)</f>
        <v>5553596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-208931.846949089</v>
      </c>
      <c r="D94" s="37" t="n">
        <f aca="false">D71-D93</f>
        <v>-192295.945499012</v>
      </c>
      <c r="E94" s="37" t="n">
        <f aca="false">E71-E93</f>
        <v>-297776.401771139</v>
      </c>
      <c r="F94" s="37" t="n">
        <f aca="false">F71-F93</f>
        <v>-82086.1106493325</v>
      </c>
      <c r="G94" s="37" t="n">
        <f aca="false">G71-G93</f>
        <v>-48837.549215548</v>
      </c>
      <c r="H94" s="37" t="n">
        <f aca="false">H71-H93</f>
        <v>-82300.9091869309</v>
      </c>
      <c r="I94" s="37" t="n">
        <f aca="false">I71-I93</f>
        <v>274206.086462996</v>
      </c>
      <c r="J94" s="37" t="n">
        <f aca="false">J71-J93</f>
        <v>315971.2739035</v>
      </c>
      <c r="K94" s="37" t="n">
        <f aca="false">K71-K93</f>
        <v>62789.8368900374</v>
      </c>
      <c r="L94" s="37" t="n">
        <f aca="false">L71-L93</f>
        <v>176205.829945038</v>
      </c>
      <c r="M94" s="37" t="n">
        <f aca="false">M71-M93</f>
        <v>203854.335614711</v>
      </c>
      <c r="N94" s="37" t="n">
        <f aca="false">N71-N93</f>
        <v>196901.227051843</v>
      </c>
      <c r="O94" s="31" t="n">
        <f aca="false">SUM(C94:N94)</f>
        <v>317699.826597075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-1.75363802365906</v>
      </c>
      <c r="D95" s="7" t="n">
        <f aca="false">IFERROR(D94/D59,0)</f>
        <v>-1.08032751467022</v>
      </c>
      <c r="E95" s="7" t="n">
        <f aca="false">IFERROR(E94/E59,0)</f>
        <v>-1.10569832643673</v>
      </c>
      <c r="F95" s="7" t="n">
        <f aca="false">IFERROR(F94/F59,0)</f>
        <v>-0.218813089180715</v>
      </c>
      <c r="G95" s="7" t="n">
        <f aca="false">IFERROR(G94/G59,0)</f>
        <v>-0.105726976163232</v>
      </c>
      <c r="H95" s="7" t="n">
        <f aca="false">IFERROR(H94/H59,0)</f>
        <v>-0.185103666622282</v>
      </c>
      <c r="I95" s="7" t="n">
        <f aca="false">IFERROR(I94/I59,0)</f>
        <v>0.290590587475179</v>
      </c>
      <c r="J95" s="7" t="n">
        <f aca="false">IFERROR(J94/J59,0)</f>
        <v>0.317449091510691</v>
      </c>
      <c r="K95" s="7" t="n">
        <f aca="false">IFERROR(K94/K59,0)</f>
        <v>0.0853669015346195</v>
      </c>
      <c r="L95" s="7" t="n">
        <f aca="false">IFERROR(L94/L59,0)</f>
        <v>0.203034447570487</v>
      </c>
      <c r="M95" s="7" t="n">
        <f aca="false">IFERROR(M94/M59,0)</f>
        <v>0.226394347096593</v>
      </c>
      <c r="N95" s="7" t="n">
        <f aca="false">IFERROR(N94/N59,0)</f>
        <v>0.220746140146314</v>
      </c>
      <c r="O95" s="7" t="n">
        <f aca="false">IFERROR(O94/O59,0)</f>
        <v>0.0442299810855484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-283931.846949089</v>
      </c>
      <c r="D96" s="8" t="n">
        <f aca="false">D94-INDEX(Assumptions!$C$163:$E$163,$B$3)</f>
        <v>-267295.945499012</v>
      </c>
      <c r="E96" s="8" t="n">
        <f aca="false">E94-INDEX(Assumptions!$C$163:$E$163,$B$3)</f>
        <v>-372776.401771139</v>
      </c>
      <c r="F96" s="8" t="n">
        <f aca="false">F94-INDEX(Assumptions!$C$163:$E$163,$B$3)</f>
        <v>-157086.110649333</v>
      </c>
      <c r="G96" s="8" t="n">
        <f aca="false">G94-INDEX(Assumptions!$C$163:$E$163,$B$3)</f>
        <v>-123837.549215548</v>
      </c>
      <c r="H96" s="8" t="n">
        <f aca="false">H94-INDEX(Assumptions!$C$163:$E$163,$B$3)</f>
        <v>-157300.909186931</v>
      </c>
      <c r="I96" s="8" t="n">
        <f aca="false">I94-INDEX(Assumptions!$C$163:$E$163,$B$3)</f>
        <v>199206.086462996</v>
      </c>
      <c r="J96" s="8" t="n">
        <f aca="false">J94-INDEX(Assumptions!$C$163:$E$163,$B$3)</f>
        <v>240971.2739035</v>
      </c>
      <c r="K96" s="8" t="n">
        <f aca="false">K94-INDEX(Assumptions!$C$163:$E$163,$B$3)</f>
        <v>-12210.1631099626</v>
      </c>
      <c r="L96" s="8" t="n">
        <f aca="false">L94-INDEX(Assumptions!$C$163:$E$163,$B$3)</f>
        <v>101205.829945038</v>
      </c>
      <c r="M96" s="8" t="n">
        <f aca="false">M94-INDEX(Assumptions!$C$163:$E$163,$B$3)</f>
        <v>128854.335614711</v>
      </c>
      <c r="N96" s="8" t="n">
        <f aca="false">N94-INDEX(Assumptions!$C$163:$E$163,$B$3)</f>
        <v>121901.227051843</v>
      </c>
      <c r="O96" s="37" t="n">
        <f aca="false">SUM(C96:N96)</f>
        <v>-582300.173402925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-44033.8983050847</v>
      </c>
      <c r="D104" s="8" t="n">
        <f aca="false">((D60+IF(INDEX(Assumptions!$C$87:$E$87,$B$3)&gt;=2,C60,0)+IF(INDEX(Assumptions!$C$87:$E$87,$B$3)&gt;=3,0,0))/INDEX(Assumptions!$C$87:$E$87,$B$3))-D60</f>
        <v>-18570.5402542373</v>
      </c>
      <c r="E104" s="8" t="n">
        <f aca="false">((E60+IF(INDEX(Assumptions!$C$87:$E$87,$B$3)&gt;=2,D60,0)+IF(INDEX(Assumptions!$C$87:$E$87,$B$3)&gt;=3,C60,0))/INDEX(Assumptions!$C$87:$E$87,$B$3))-E60</f>
        <v>-17266.1154661017</v>
      </c>
      <c r="F104" s="8" t="n">
        <f aca="false">((F60+IF(INDEX(Assumptions!$C$87:$E$87,$B$3)&gt;=2,E60,0)+IF(INDEX(Assumptions!$C$87:$E$87,$B$3)&gt;=3,D60,0))/INDEX(Assumptions!$C$87:$E$87,$B$3))-F60</f>
        <v>-33791.3103813559</v>
      </c>
      <c r="G104" s="8" t="n">
        <f aca="false">((G60+IF(INDEX(Assumptions!$C$87:$E$87,$B$3)&gt;=2,F60,0)+IF(INDEX(Assumptions!$C$87:$E$87,$B$3)&gt;=3,E60,0))/INDEX(Assumptions!$C$87:$E$87,$B$3))-G60</f>
        <v>-40062.7118644068</v>
      </c>
      <c r="H104" s="8" t="n">
        <f aca="false">((H60+IF(INDEX(Assumptions!$C$87:$E$87,$B$3)&gt;=2,G60,0)+IF(INDEX(Assumptions!$C$87:$E$87,$B$3)&gt;=3,F60,0))/INDEX(Assumptions!$C$87:$E$87,$B$3))-H60</f>
        <v>21597.7222360116</v>
      </c>
      <c r="I104" s="8" t="n">
        <f aca="false">((I60+IF(INDEX(Assumptions!$C$87:$E$87,$B$3)&gt;=2,H60,0)+IF(INDEX(Assumptions!$C$87:$E$87,$B$3)&gt;=3,G60,0))/INDEX(Assumptions!$C$87:$E$87,$B$3))-I60</f>
        <v>-232008.377951918</v>
      </c>
      <c r="J104" s="8" t="n">
        <f aca="false">((J60+IF(INDEX(Assumptions!$C$87:$E$87,$B$3)&gt;=2,I60,0)+IF(INDEX(Assumptions!$C$87:$E$87,$B$3)&gt;=3,H60,0))/INDEX(Assumptions!$C$87:$E$87,$B$3))-J60</f>
        <v>-13451.4561373681</v>
      </c>
      <c r="K104" s="8" t="n">
        <f aca="false">((K60+IF(INDEX(Assumptions!$C$87:$E$87,$B$3)&gt;=2,J60,0)+IF(INDEX(Assumptions!$C$87:$E$87,$B$3)&gt;=3,I60,0))/INDEX(Assumptions!$C$87:$E$87,$B$3))-K60</f>
        <v>138332.440644268</v>
      </c>
      <c r="L104" s="8" t="n">
        <f aca="false">((L60+IF(INDEX(Assumptions!$C$87:$E$87,$B$3)&gt;=2,K60,0)+IF(INDEX(Assumptions!$C$87:$E$87,$B$3)&gt;=3,J60,0))/INDEX(Assumptions!$C$87:$E$87,$B$3))-L60</f>
        <v>-59693.5780307893</v>
      </c>
      <c r="M104" s="8" t="n">
        <f aca="false">((M60+IF(INDEX(Assumptions!$C$87:$E$87,$B$3)&gt;=2,L60,0)+IF(INDEX(Assumptions!$C$87:$E$87,$B$3)&gt;=3,K60,0))/INDEX(Assumptions!$C$87:$E$87,$B$3))-M60</f>
        <v>-6918.44140521821</v>
      </c>
      <c r="N104" s="8" t="n">
        <f aca="false">((N60+IF(INDEX(Assumptions!$C$87:$E$87,$B$3)&gt;=2,M60,0)+IF(INDEX(Assumptions!$C$87:$E$87,$B$3)&gt;=3,L60,0))/INDEX(Assumptions!$C$87:$E$87,$B$3))-N60</f>
        <v>13439.9957297602</v>
      </c>
      <c r="O104" s="37" t="n">
        <f aca="false">SUM(C104:N104)</f>
        <v>-292426.271186441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-402965.745254174</v>
      </c>
      <c r="D105" s="37" t="n">
        <f aca="false">D94+D104-D103</f>
        <v>-210866.485753249</v>
      </c>
      <c r="E105" s="37" t="n">
        <f aca="false">E94+E104-E103</f>
        <v>-315042.51723724</v>
      </c>
      <c r="F105" s="37" t="n">
        <f aca="false">F94+F104-F103</f>
        <v>-115877.421030688</v>
      </c>
      <c r="G105" s="37" t="n">
        <f aca="false">G94+G104-G103</f>
        <v>-88900.2610799548</v>
      </c>
      <c r="H105" s="37" t="n">
        <f aca="false">H94+H104-H103</f>
        <v>-1532703.18695092</v>
      </c>
      <c r="I105" s="37" t="n">
        <f aca="false">I94+I104-I103</f>
        <v>42197.7085110777</v>
      </c>
      <c r="J105" s="37" t="n">
        <f aca="false">J94+J104-J103</f>
        <v>-47480.1822338678</v>
      </c>
      <c r="K105" s="37" t="n">
        <f aca="false">K94+K104-K103</f>
        <v>201122.277534305</v>
      </c>
      <c r="L105" s="37" t="n">
        <f aca="false">L94+L104-L103</f>
        <v>116512.251914249</v>
      </c>
      <c r="M105" s="37" t="n">
        <f aca="false">M94+M104-M103</f>
        <v>196935.894209493</v>
      </c>
      <c r="N105" s="37" t="n">
        <f aca="false">N94+N104-N103</f>
        <v>210341.222781604</v>
      </c>
      <c r="O105" s="31" t="n">
        <f aca="false">SUM(C105:N105)</f>
        <v>-1946726.44458937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-402965.745254174</v>
      </c>
      <c r="D106" s="37" t="n">
        <f aca="false">C106+D105</f>
        <v>-613832.231007423</v>
      </c>
      <c r="E106" s="37" t="n">
        <f aca="false">D106+E105</f>
        <v>-928874.748244664</v>
      </c>
      <c r="F106" s="37" t="n">
        <f aca="false">E106+F105</f>
        <v>-1044752.16927535</v>
      </c>
      <c r="G106" s="37" t="n">
        <f aca="false">F106+G105</f>
        <v>-1133652.43035531</v>
      </c>
      <c r="H106" s="37" t="n">
        <f aca="false">G106+H105</f>
        <v>-2666355.61730623</v>
      </c>
      <c r="I106" s="37" t="n">
        <f aca="false">H106+I105</f>
        <v>-2624157.90879515</v>
      </c>
      <c r="J106" s="37" t="n">
        <f aca="false">I106+J105</f>
        <v>-2671638.09102902</v>
      </c>
      <c r="K106" s="37" t="n">
        <f aca="false">J106+K105</f>
        <v>-2470515.81349471</v>
      </c>
      <c r="L106" s="37" t="n">
        <f aca="false">K106+L105</f>
        <v>-2354003.56158046</v>
      </c>
      <c r="M106" s="37" t="n">
        <f aca="false">L106+M105</f>
        <v>-2157067.66737097</v>
      </c>
      <c r="N106" s="37" t="n">
        <f aca="false">M106+N105</f>
        <v>-1946726.44458937</v>
      </c>
      <c r="O106" s="31" t="n">
        <f aca="false">N106</f>
        <v>-1946726.44458937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402965.745254174</v>
      </c>
      <c r="D107" s="37" t="n">
        <f aca="false">-MIN(0,MIN($C$106:D106))</f>
        <v>613832.231007423</v>
      </c>
      <c r="E107" s="37" t="n">
        <f aca="false">-MIN(0,MIN($C$106:E106))</f>
        <v>928874.748244664</v>
      </c>
      <c r="F107" s="37" t="n">
        <f aca="false">-MIN(0,MIN($C$106:F106))</f>
        <v>1044752.16927535</v>
      </c>
      <c r="G107" s="37" t="n">
        <f aca="false">-MIN(0,MIN($C$106:G106))</f>
        <v>1133652.43035531</v>
      </c>
      <c r="H107" s="37" t="n">
        <f aca="false">-MIN(0,MIN($C$106:H106))</f>
        <v>2666355.61730623</v>
      </c>
      <c r="I107" s="37" t="n">
        <f aca="false">-MIN(0,MIN($C$106:I106))</f>
        <v>2666355.61730623</v>
      </c>
      <c r="J107" s="37" t="n">
        <f aca="false">-MIN(0,MIN($C$106:J106))</f>
        <v>2671638.09102902</v>
      </c>
      <c r="K107" s="37" t="n">
        <f aca="false">-MIN(0,MIN($C$106:K106))</f>
        <v>2671638.09102902</v>
      </c>
      <c r="L107" s="37" t="n">
        <f aca="false">-MIN(0,MIN($C$106:L106))</f>
        <v>2671638.09102902</v>
      </c>
      <c r="M107" s="37" t="n">
        <f aca="false">-MIN(0,MIN($C$106:M106))</f>
        <v>2671638.09102902</v>
      </c>
      <c r="N107" s="37" t="n">
        <f aca="false">-MIN(0,MIN($C$106:N106))</f>
        <v>2671638.09102902</v>
      </c>
      <c r="O107" s="31" t="n">
        <f aca="false">MAX(C107:N107)</f>
        <v>2671638.09102902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0</v>
      </c>
      <c r="G108" s="8" t="n">
        <f aca="false">IF(G94&gt;=0,1,0)</f>
        <v>0</v>
      </c>
      <c r="H108" s="8" t="n">
        <f aca="false">IF(H94&gt;=0,1,0)</f>
        <v>0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7182906.680032</v>
      </c>
    </row>
    <row r="112" customFormat="false" ht="15" hidden="false" customHeight="false" outlineLevel="0" collapsed="false">
      <c r="A112" s="3" t="s">
        <v>28</v>
      </c>
      <c r="B112" s="31" t="n">
        <f aca="false">O94</f>
        <v>317699.826597075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0.0442299810855484</v>
      </c>
    </row>
    <row r="114" customFormat="false" ht="15" hidden="false" customHeight="false" outlineLevel="0" collapsed="false">
      <c r="A114" s="3" t="s">
        <v>30</v>
      </c>
      <c r="B114" s="31" t="n">
        <f aca="false">O96</f>
        <v>-582300.173402925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2671638.09102902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328361.908970984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50195.5817372881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544933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239878.409678962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6.07731955209966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72.9278346251959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13973.2384897908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0.206105267724414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0.470334286043158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19.5946827101138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576961.392611592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7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-1946726.44458937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1230</v>
      </c>
    </row>
    <row r="2" customFormat="false" ht="15" hidden="false" customHeight="false" outlineLevel="0" collapsed="false">
      <c r="A2" s="2" t="s">
        <v>1086</v>
      </c>
    </row>
    <row r="3" customFormat="false" ht="15" hidden="false" customHeight="false" outlineLevel="0" collapsed="false">
      <c r="A3" s="0" t="s">
        <v>1087</v>
      </c>
      <c r="B3" s="34" t="n">
        <v>2</v>
      </c>
      <c r="C3" s="13" t="s">
        <v>1088</v>
      </c>
      <c r="D3" s="34" t="n">
        <v>2</v>
      </c>
      <c r="E3" s="2" t="s">
        <v>1089</v>
      </c>
      <c r="F3" s="21" t="n">
        <v>1</v>
      </c>
      <c r="G3" s="2" t="s">
        <v>1090</v>
      </c>
      <c r="H3" s="21" t="n">
        <v>1</v>
      </c>
      <c r="I3" s="2" t="s">
        <v>1091</v>
      </c>
      <c r="J3" s="21" t="n">
        <v>1</v>
      </c>
      <c r="K3" s="2" t="s">
        <v>1092</v>
      </c>
      <c r="L3" s="21" t="n">
        <v>1</v>
      </c>
      <c r="M3" s="2" t="s">
        <v>1093</v>
      </c>
      <c r="N3" s="21" t="n">
        <v>1</v>
      </c>
    </row>
    <row r="4" customFormat="false" ht="15" hidden="false" customHeight="false" outlineLevel="0" collapsed="false">
      <c r="E4" s="2" t="s">
        <v>1094</v>
      </c>
      <c r="F4" s="21" t="n">
        <v>1</v>
      </c>
      <c r="G4" s="2" t="s">
        <v>1095</v>
      </c>
      <c r="H4" s="21" t="n">
        <v>0</v>
      </c>
      <c r="I4" s="2" t="s">
        <v>1096</v>
      </c>
      <c r="J4" s="21" t="n">
        <v>1</v>
      </c>
    </row>
    <row r="5" customFormat="false" ht="15" hidden="false" customHeight="false" outlineLevel="0" collapsed="false">
      <c r="A5" s="5" t="s">
        <v>1097</v>
      </c>
      <c r="B5" s="5" t="s">
        <v>26</v>
      </c>
      <c r="C5" s="5" t="s">
        <v>1098</v>
      </c>
      <c r="D5" s="5" t="s">
        <v>1099</v>
      </c>
      <c r="E5" s="5" t="s">
        <v>1100</v>
      </c>
      <c r="F5" s="5" t="s">
        <v>1101</v>
      </c>
      <c r="G5" s="5" t="s">
        <v>1102</v>
      </c>
      <c r="H5" s="5" t="s">
        <v>1103</v>
      </c>
      <c r="I5" s="5" t="s">
        <v>1104</v>
      </c>
      <c r="J5" s="5" t="s">
        <v>1105</v>
      </c>
      <c r="K5" s="5" t="s">
        <v>1106</v>
      </c>
      <c r="L5" s="5" t="s">
        <v>1107</v>
      </c>
      <c r="M5" s="5" t="s">
        <v>1108</v>
      </c>
      <c r="N5" s="5" t="s">
        <v>1109</v>
      </c>
      <c r="O5" s="5" t="s">
        <v>1110</v>
      </c>
      <c r="P5" s="5" t="s">
        <v>1111</v>
      </c>
    </row>
    <row r="6" customFormat="false" ht="15" hidden="false" customHeight="false" outlineLevel="0" collapsed="false">
      <c r="A6" s="10" t="s">
        <v>1112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customFormat="false" ht="15" hidden="false" customHeight="false" outlineLevel="0" collapsed="false">
      <c r="A7" s="28" t="s">
        <v>1113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1114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1115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1116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1117</v>
      </c>
      <c r="C11" s="7" t="n">
        <f aca="false">IF(1&lt;=6,1-(1-INDEX(Assumptions!$C$157:$E$157,$D$3))*1/6,INDEX(Assumptions!$C$157:$E$157,$D$3)-(INDEX(Assumptions!$C$157:$E$157,$D$3)-INDEX(Assumptions!$C$158:$E$158,$D$3))*(1-6)/6)</f>
        <v>0.916666666666667</v>
      </c>
      <c r="D11" s="7" t="n">
        <f aca="false">IF(2&lt;=6,1-(1-INDEX(Assumptions!$C$157:$E$157,$D$3))*2/6,INDEX(Assumptions!$C$157:$E$157,$D$3)-(INDEX(Assumptions!$C$157:$E$157,$D$3)-INDEX(Assumptions!$C$158:$E$158,$D$3))*(2-6)/6)</f>
        <v>0.833333333333333</v>
      </c>
      <c r="E11" s="7" t="n">
        <f aca="false">IF(3&lt;=6,1-(1-INDEX(Assumptions!$C$157:$E$157,$D$3))*3/6,INDEX(Assumptions!$C$157:$E$157,$D$3)-(INDEX(Assumptions!$C$157:$E$157,$D$3)-INDEX(Assumptions!$C$158:$E$158,$D$3))*(3-6)/6)</f>
        <v>0.75</v>
      </c>
      <c r="F11" s="7" t="n">
        <f aca="false">IF(4&lt;=6,1-(1-INDEX(Assumptions!$C$157:$E$157,$D$3))*4/6,INDEX(Assumptions!$C$157:$E$157,$D$3)-(INDEX(Assumptions!$C$157:$E$157,$D$3)-INDEX(Assumptions!$C$158:$E$158,$D$3))*(4-6)/6)</f>
        <v>0.666666666666667</v>
      </c>
      <c r="G11" s="7" t="n">
        <f aca="false">IF(5&lt;=6,1-(1-INDEX(Assumptions!$C$157:$E$157,$D$3))*5/6,INDEX(Assumptions!$C$157:$E$157,$D$3)-(INDEX(Assumptions!$C$157:$E$157,$D$3)-INDEX(Assumptions!$C$158:$E$158,$D$3))*(5-6)/6)</f>
        <v>0.583333333333333</v>
      </c>
      <c r="H11" s="7" t="n">
        <f aca="false">IF(6&lt;=6,1-(1-INDEX(Assumptions!$C$157:$E$157,$D$3))*6/6,INDEX(Assumptions!$C$157:$E$157,$D$3)-(INDEX(Assumptions!$C$157:$E$157,$D$3)-INDEX(Assumptions!$C$158:$E$158,$D$3))*(6-6)/6)</f>
        <v>0.5</v>
      </c>
      <c r="I11" s="7" t="n">
        <f aca="false">IF(7&lt;=6,1-(1-INDEX(Assumptions!$C$157:$E$157,$D$3))*7/6,INDEX(Assumptions!$C$157:$E$157,$D$3)-(INDEX(Assumptions!$C$157:$E$157,$D$3)-INDEX(Assumptions!$C$158:$E$158,$D$3))*(7-6)/6)</f>
        <v>0.466666666666667</v>
      </c>
      <c r="J11" s="7" t="n">
        <f aca="false">IF(8&lt;=6,1-(1-INDEX(Assumptions!$C$157:$E$157,$D$3))*8/6,INDEX(Assumptions!$C$157:$E$157,$D$3)-(INDEX(Assumptions!$C$157:$E$157,$D$3)-INDEX(Assumptions!$C$158:$E$158,$D$3))*(8-6)/6)</f>
        <v>0.433333333333333</v>
      </c>
      <c r="K11" s="7" t="n">
        <f aca="false">IF(9&lt;=6,1-(1-INDEX(Assumptions!$C$157:$E$157,$D$3))*9/6,INDEX(Assumptions!$C$157:$E$157,$D$3)-(INDEX(Assumptions!$C$157:$E$157,$D$3)-INDEX(Assumptions!$C$158:$E$158,$D$3))*(9-6)/6)</f>
        <v>0.4</v>
      </c>
      <c r="L11" s="7" t="n">
        <f aca="false">IF(10&lt;=6,1-(1-INDEX(Assumptions!$C$157:$E$157,$D$3))*10/6,INDEX(Assumptions!$C$157:$E$157,$D$3)-(INDEX(Assumptions!$C$157:$E$157,$D$3)-INDEX(Assumptions!$C$158:$E$158,$D$3))*(10-6)/6)</f>
        <v>0.366666666666667</v>
      </c>
      <c r="M11" s="7" t="n">
        <f aca="false">IF(11&lt;=6,1-(1-INDEX(Assumptions!$C$157:$E$157,$D$3))*11/6,INDEX(Assumptions!$C$157:$E$157,$D$3)-(INDEX(Assumptions!$C$157:$E$157,$D$3)-INDEX(Assumptions!$C$158:$E$158,$D$3))*(11-6)/6)</f>
        <v>0.333333333333333</v>
      </c>
      <c r="N11" s="7" t="n">
        <f aca="false">IF(12&lt;=6,1-(1-INDEX(Assumptions!$C$157:$E$157,$D$3))*12/6,INDEX(Assumptions!$C$157:$E$157,$D$3)-(INDEX(Assumptions!$C$157:$E$157,$D$3)-INDEX(Assumptions!$C$158:$E$158,$D$3))*(12-6)/6)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0" t="s">
        <v>1118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customFormat="false" ht="15" hidden="false" customHeight="false" outlineLevel="0" collapsed="false">
      <c r="A13" s="28" t="s">
        <v>1119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1120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1121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1122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1123</v>
      </c>
      <c r="C17" s="8" t="n">
        <f aca="false">INDEX(Assumptions!$C$121:$E$121,$D$3)*$J$4</f>
        <v>15000</v>
      </c>
      <c r="D17" s="8" t="n">
        <f aca="false">INDEX(Assumptions!$C$122:$E$122,$D$3)*$J$4</f>
        <v>40000</v>
      </c>
      <c r="E17" s="8" t="n">
        <f aca="false">INDEX(Assumptions!$C$123:$E$123,$D$3)*$J$4</f>
        <v>50000</v>
      </c>
      <c r="F17" s="8" t="n">
        <f aca="false">INDEX(Assumptions!$C$124:$E$124,$D$3)*$J$4</f>
        <v>60000</v>
      </c>
      <c r="G17" s="8" t="n">
        <f aca="false">INDEX(Assumptions!$C$125:$E$125,$D$3)*$J$4</f>
        <v>80000</v>
      </c>
      <c r="H17" s="8" t="n">
        <f aca="false">INDEX(Assumptions!$C$126:$E$126,$D$3)*$J$4</f>
        <v>90000</v>
      </c>
      <c r="I17" s="8" t="n">
        <f aca="false">INDEX(Assumptions!$C$127:$E$127,$D$3)*$J$4</f>
        <v>100000</v>
      </c>
      <c r="J17" s="8" t="n">
        <f aca="false">INDEX(Assumptions!$C$128:$E$128,$D$3)*$J$4</f>
        <v>100000</v>
      </c>
      <c r="K17" s="8" t="n">
        <f aca="false">INDEX(Assumptions!$C$129:$E$129,$D$3)*$J$4</f>
        <v>100000</v>
      </c>
      <c r="L17" s="8" t="n">
        <f aca="false">INDEX(Assumptions!$C$130:$E$130,$D$3)*$J$4</f>
        <v>100000</v>
      </c>
      <c r="M17" s="8" t="n">
        <f aca="false">INDEX(Assumptions!$C$131:$E$131,$D$3)*$J$4</f>
        <v>100000</v>
      </c>
      <c r="N17" s="8" t="n">
        <f aca="false">INDEX(Assumptions!$C$132:$E$132,$D$3)*$J$4</f>
        <v>100000</v>
      </c>
      <c r="O17" s="37" t="n">
        <f aca="false">SUM(C17:N17)</f>
        <v>935000</v>
      </c>
      <c r="P17" s="2" t="s">
        <v>1124</v>
      </c>
    </row>
    <row r="18" customFormat="false" ht="15" hidden="false" customHeight="false" outlineLevel="0" collapsed="false">
      <c r="A18" s="28" t="s">
        <v>1125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1126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1127</v>
      </c>
      <c r="C20" s="27" t="n">
        <f aca="false">C17*INDEX(Assumptions!$C$119:$E$119,$B$3)/C18</f>
        <v>0.9</v>
      </c>
      <c r="D20" s="27" t="n">
        <f aca="false">D17*INDEX(Assumptions!$C$119:$E$119,$B$3)/D18</f>
        <v>2.4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4.8</v>
      </c>
      <c r="H20" s="27" t="n">
        <f aca="false">H17*INDEX(Assumptions!$C$119:$E$119,$B$3)/H18</f>
        <v>5.4</v>
      </c>
      <c r="I20" s="27" t="n">
        <f aca="false">I17*INDEX(Assumptions!$C$119:$E$119,$B$3)/I18</f>
        <v>6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56.1</v>
      </c>
      <c r="P20" s="2"/>
    </row>
    <row r="21" customFormat="false" ht="15" hidden="false" customHeight="false" outlineLevel="0" collapsed="false">
      <c r="A21" s="3" t="s">
        <v>1128</v>
      </c>
      <c r="C21" s="35" t="n">
        <f aca="false">C9*(C13*$F$3+(C14-C13)*$F$3*C19+MIN(C15,C20*C19))</f>
        <v>2</v>
      </c>
      <c r="D21" s="35" t="n">
        <f aca="false">D9*(D13*$F$3+(D14-D13)*$F$3*D19+MIN(D15,D20*D19))</f>
        <v>2.750625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99.250625</v>
      </c>
      <c r="P21" s="2"/>
    </row>
    <row r="22" customFormat="false" ht="15" hidden="false" customHeight="false" outlineLevel="0" collapsed="false">
      <c r="A22" s="28" t="s">
        <v>1129</v>
      </c>
      <c r="C22" s="8" t="n">
        <f aca="false">IF(1&gt;=INDEX(Assumptions!$C$173:$E$173,$D$3),INDEX(Assumptions!$C$176:$E$176,$D$3),INDEX(Assumptions!$C$171:$E$171,$B$3))</f>
        <v>8</v>
      </c>
      <c r="D22" s="8" t="n">
        <f aca="false">IF(2&gt;=INDEX(Assumptions!$C$173:$E$173,$D$3),INDEX(Assumptions!$C$176:$E$176,$D$3),INDEX(Assumptions!$C$171:$E$171,$B$3))</f>
        <v>8</v>
      </c>
      <c r="E22" s="8" t="n">
        <f aca="false">IF(3&gt;=INDEX(Assumptions!$C$173:$E$173,$D$3),INDEX(Assumptions!$C$176:$E$176,$D$3),INDEX(Assumptions!$C$171:$E$171,$B$3))</f>
        <v>8</v>
      </c>
      <c r="F22" s="8" t="n">
        <f aca="false">IF(4&gt;=INDEX(Assumptions!$C$173:$E$173,$D$3),INDEX(Assumptions!$C$176:$E$176,$D$3),INDEX(Assumptions!$C$171:$E$171,$B$3))</f>
        <v>8</v>
      </c>
      <c r="G22" s="8" t="n">
        <f aca="false">IF(5&gt;=INDEX(Assumptions!$C$173:$E$173,$D$3),INDEX(Assumptions!$C$176:$E$176,$D$3),INDEX(Assumptions!$C$171:$E$171,$B$3))</f>
        <v>8</v>
      </c>
      <c r="H22" s="8" t="n">
        <f aca="false">IF(6&gt;=INDEX(Assumptions!$C$173:$E$173,$D$3),INDEX(Assumptions!$C$176:$E$176,$D$3),INDEX(Assumptions!$C$171:$E$171,$B$3))</f>
        <v>8</v>
      </c>
      <c r="I22" s="8" t="n">
        <f aca="false">IF(7&gt;=INDEX(Assumptions!$C$173:$E$173,$D$3),INDEX(Assumptions!$C$176:$E$176,$D$3),INDEX(Assumptions!$C$171:$E$171,$B$3))</f>
        <v>12</v>
      </c>
      <c r="J22" s="8" t="n">
        <f aca="false">IF(8&gt;=INDEX(Assumptions!$C$173:$E$173,$D$3),INDEX(Assumptions!$C$176:$E$176,$D$3),INDEX(Assumptions!$C$171:$E$171,$B$3))</f>
        <v>12</v>
      </c>
      <c r="K22" s="8" t="n">
        <f aca="false">IF(9&gt;=INDEX(Assumptions!$C$173:$E$173,$D$3),INDEX(Assumptions!$C$176:$E$176,$D$3),INDEX(Assumptions!$C$171:$E$171,$B$3))</f>
        <v>12</v>
      </c>
      <c r="L22" s="8" t="n">
        <f aca="false">IF(10&gt;=INDEX(Assumptions!$C$173:$E$173,$D$3),INDEX(Assumptions!$C$176:$E$176,$D$3),INDEX(Assumptions!$C$171:$E$171,$B$3))</f>
        <v>12</v>
      </c>
      <c r="M22" s="8" t="n">
        <f aca="false">IF(11&gt;=INDEX(Assumptions!$C$173:$E$173,$D$3),INDEX(Assumptions!$C$176:$E$176,$D$3),INDEX(Assumptions!$C$171:$E$171,$B$3))</f>
        <v>12</v>
      </c>
      <c r="N22" s="8" t="n">
        <f aca="false">IF(12&gt;=INDEX(Assumptions!$C$173:$E$173,$D$3),INDEX(Assumptions!$C$176:$E$176,$D$3),INDEX(Assumptions!$C$171:$E$171,$B$3))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800</v>
      </c>
      <c r="C23" s="6" t="n">
        <f aca="false">IF(1&gt;=INDEX(Assumptions!$C$173:$E$173,$D$3),INDEX(Assumptions!$C$177:$E$177,$D$3),INDEX(Assumptions!$C$172:$E$172,$D$3))</f>
        <v>2</v>
      </c>
      <c r="D23" s="6" t="n">
        <f aca="false">IF(2&gt;=INDEX(Assumptions!$C$173:$E$173,$D$3),INDEX(Assumptions!$C$177:$E$177,$D$3),INDEX(Assumptions!$C$172:$E$172,$D$3))</f>
        <v>2</v>
      </c>
      <c r="E23" s="6" t="n">
        <f aca="false">IF(3&gt;=INDEX(Assumptions!$C$173:$E$173,$D$3),INDEX(Assumptions!$C$177:$E$177,$D$3),INDEX(Assumptions!$C$172:$E$172,$D$3))</f>
        <v>2</v>
      </c>
      <c r="F23" s="6" t="n">
        <f aca="false">IF(4&gt;=INDEX(Assumptions!$C$173:$E$173,$D$3),INDEX(Assumptions!$C$177:$E$177,$D$3),INDEX(Assumptions!$C$172:$E$172,$D$3))</f>
        <v>2</v>
      </c>
      <c r="G23" s="6" t="n">
        <f aca="false">IF(5&gt;=INDEX(Assumptions!$C$173:$E$173,$D$3),INDEX(Assumptions!$C$177:$E$177,$D$3),INDEX(Assumptions!$C$172:$E$172,$D$3))</f>
        <v>2</v>
      </c>
      <c r="H23" s="6" t="n">
        <f aca="false">IF(6&gt;=INDEX(Assumptions!$C$173:$E$173,$D$3),INDEX(Assumptions!$C$177:$E$177,$D$3),INDEX(Assumptions!$C$172:$E$172,$D$3))</f>
        <v>2</v>
      </c>
      <c r="I23" s="6" t="n">
        <f aca="false">IF(7&gt;=INDEX(Assumptions!$C$173:$E$173,$D$3),INDEX(Assumptions!$C$177:$E$177,$D$3),INDEX(Assumptions!$C$172:$E$172,$D$3))</f>
        <v>2.5</v>
      </c>
      <c r="J23" s="6" t="n">
        <f aca="false">IF(8&gt;=INDEX(Assumptions!$C$173:$E$173,$D$3),INDEX(Assumptions!$C$177:$E$177,$D$3),INDEX(Assumptions!$C$172:$E$172,$D$3))</f>
        <v>2.5</v>
      </c>
      <c r="K23" s="6" t="n">
        <f aca="false">IF(9&gt;=INDEX(Assumptions!$C$173:$E$173,$D$3),INDEX(Assumptions!$C$177:$E$177,$D$3),INDEX(Assumptions!$C$172:$E$172,$D$3))</f>
        <v>2.5</v>
      </c>
      <c r="L23" s="6" t="n">
        <f aca="false">IF(10&gt;=INDEX(Assumptions!$C$173:$E$173,$D$3),INDEX(Assumptions!$C$177:$E$177,$D$3),INDEX(Assumptions!$C$172:$E$172,$D$3))</f>
        <v>2.5</v>
      </c>
      <c r="M23" s="6" t="n">
        <f aca="false">IF(11&gt;=INDEX(Assumptions!$C$173:$E$173,$D$3),INDEX(Assumptions!$C$177:$E$177,$D$3),INDEX(Assumptions!$C$172:$E$172,$D$3))</f>
        <v>2.5</v>
      </c>
      <c r="N23" s="6" t="n">
        <f aca="false">IF(12&gt;=INDEX(Assumptions!$C$173:$E$173,$D$3),INDEX(Assumptions!$C$177:$E$177,$D$3),INDEX(Assumptions!$C$172:$E$172,$D$3))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1130</v>
      </c>
      <c r="C24" s="6" t="n">
        <f aca="false">C22*C23*INDEX(Assumptions!$C$178:$E$178,$B$3)</f>
        <v>14.4</v>
      </c>
      <c r="D24" s="6" t="n">
        <f aca="false">D22*D23*INDEX(Assumptions!$C$178:$E$178,$B$3)</f>
        <v>14.4</v>
      </c>
      <c r="E24" s="6" t="n">
        <f aca="false">E22*E23*INDEX(Assumptions!$C$178:$E$178,$B$3)</f>
        <v>14.4</v>
      </c>
      <c r="F24" s="6" t="n">
        <f aca="false">F22*F23*INDEX(Assumptions!$C$178:$E$178,$B$3)</f>
        <v>14.4</v>
      </c>
      <c r="G24" s="6" t="n">
        <f aca="false">G22*G23*INDEX(Assumptions!$C$178:$E$178,$B$3)</f>
        <v>14.4</v>
      </c>
      <c r="H24" s="6" t="n">
        <f aca="false">H22*H23*INDEX(Assumptions!$C$178:$E$178,$B$3)</f>
        <v>14.4</v>
      </c>
      <c r="I24" s="6" t="n">
        <f aca="false">I22*I23*INDEX(Assumptions!$C$178:$E$178,$B$3)</f>
        <v>27</v>
      </c>
      <c r="J24" s="6" t="n">
        <f aca="false">J22*J23*INDEX(Assumptions!$C$178:$E$178,$B$3)</f>
        <v>27</v>
      </c>
      <c r="K24" s="6" t="n">
        <f aca="false">K22*K23*INDEX(Assumptions!$C$178:$E$178,$B$3)</f>
        <v>27</v>
      </c>
      <c r="L24" s="6" t="n">
        <f aca="false">L22*L23*INDEX(Assumptions!$C$178:$E$178,$B$3)</f>
        <v>27</v>
      </c>
      <c r="M24" s="6" t="n">
        <f aca="false">M22*M23*INDEX(Assumptions!$C$178:$E$178,$B$3)</f>
        <v>27</v>
      </c>
      <c r="N24" s="6" t="n">
        <f aca="false">N22*N23*INDEX(Assumptions!$C$178:$E$178,$B$3)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1131</v>
      </c>
      <c r="C25" s="7" t="n">
        <f aca="false">IF(1&gt;=INDEX(Assumptions!$C$189:$E$189,$D$3),INDEX(Assumptions!$C$74:$E$74,$B$3),0)</f>
        <v>0</v>
      </c>
      <c r="D25" s="7" t="n">
        <f aca="false">IF(2&gt;=INDEX(Assumptions!$C$189:$E$189,$D$3),INDEX(Assumptions!$C$74:$E$74,$B$3),0)</f>
        <v>0</v>
      </c>
      <c r="E25" s="7" t="n">
        <f aca="false">IF(3&gt;=INDEX(Assumptions!$C$189:$E$189,$D$3),INDEX(Assumptions!$C$74:$E$74,$B$3),0)</f>
        <v>0</v>
      </c>
      <c r="F25" s="7" t="n">
        <f aca="false">IF(4&gt;=INDEX(Assumptions!$C$189:$E$189,$D$3),INDEX(Assumptions!$C$74:$E$74,$B$3),0)</f>
        <v>0</v>
      </c>
      <c r="G25" s="7" t="n">
        <f aca="false">IF(5&gt;=INDEX(Assumptions!$C$189:$E$189,$D$3),INDEX(Assumptions!$C$74:$E$74,$B$3),0)</f>
        <v>0</v>
      </c>
      <c r="H25" s="7" t="n">
        <f aca="false">IF(6&gt;=INDEX(Assumptions!$C$189:$E$189,$D$3),INDEX(Assumptions!$C$74:$E$74,$B$3),0)</f>
        <v>0</v>
      </c>
      <c r="I25" s="7" t="n">
        <f aca="false">IF(7&gt;=INDEX(Assumptions!$C$189:$E$189,$D$3),INDEX(Assumptions!$C$74:$E$74,$B$3),0)</f>
        <v>0</v>
      </c>
      <c r="J25" s="7" t="n">
        <f aca="false">IF(8&gt;=INDEX(Assumptions!$C$189:$E$189,$D$3),INDEX(Assumptions!$C$74:$E$74,$B$3),0)</f>
        <v>0</v>
      </c>
      <c r="K25" s="7" t="n">
        <f aca="false">IF(9&gt;=INDEX(Assumptions!$C$189:$E$189,$D$3),INDEX(Assumptions!$C$74:$E$74,$B$3),0)</f>
        <v>0</v>
      </c>
      <c r="L25" s="7" t="n">
        <f aca="false">IF(10&gt;=INDEX(Assumptions!$C$189:$E$189,$D$3),INDEX(Assumptions!$C$74:$E$74,$B$3),0)</f>
        <v>0.25</v>
      </c>
      <c r="M25" s="7" t="n">
        <f aca="false">IF(11&gt;=INDEX(Assumptions!$C$189:$E$189,$D$3),INDEX(Assumptions!$C$74:$E$74,$B$3),0)</f>
        <v>0.25</v>
      </c>
      <c r="N25" s="7" t="n">
        <f aca="false">IF(12&gt;=INDEX(Assumptions!$C$189:$E$189,$D$3),INDEX(Assumptions!$C$74:$E$74,$B$3),0)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1132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3.090375</v>
      </c>
      <c r="F26" s="6" t="n">
        <f aca="false">E29+D29+E32+D32+1.25*E30</f>
        <v>4.32045</v>
      </c>
      <c r="G26" s="6" t="n">
        <f aca="false">F29+E29+F32+E32+1.25*F30</f>
        <v>5.850075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1133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2.990625</v>
      </c>
      <c r="E27" s="6" t="n">
        <f aca="false">E21*(INDEX(Assumptions!$C$26:$E$26,$B$3)*(1-E25)+INDEX(Assumptions!$C$26:$E$26,$B$3)*E25*1.25+(1-INDEX(Assumptions!$C$26:$E$26,$B$3)))+D31*INDEX(Assumptions!$C$89:$E$89,$B$3)</f>
        <v>3.830075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1134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1135</v>
      </c>
      <c r="C29" s="35" t="n">
        <f aca="false">C21*INDEX(Assumptions!$C$26:$E$26,$B$3)*(1-C25)*C28</f>
        <v>1.2</v>
      </c>
      <c r="D29" s="35" t="n">
        <f aca="false">D21*INDEX(Assumptions!$C$26:$E$26,$B$3)*(1-D25)*D28</f>
        <v>1.650375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49.909425555595</v>
      </c>
      <c r="P29" s="2"/>
    </row>
    <row r="30" customFormat="false" ht="15" hidden="false" customHeight="false" outlineLevel="0" collapsed="false">
      <c r="A30" s="28" t="s">
        <v>1136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1137</v>
      </c>
      <c r="C31" s="27" t="n">
        <f aca="false">C21*(1-INDEX(Assumptions!$C$26:$E$26,$B$3))*C28</f>
        <v>0.8</v>
      </c>
      <c r="D31" s="27" t="n">
        <f aca="false">D21*(1-INDEX(Assumptions!$C$26:$E$26,$B$3))*D28</f>
        <v>1.10025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36.3675137519892</v>
      </c>
      <c r="P31" s="2"/>
    </row>
    <row r="32" customFormat="false" ht="15" hidden="false" customHeight="false" outlineLevel="0" collapsed="false">
      <c r="A32" s="28" t="s">
        <v>1138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0.330075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8.79046260198706</v>
      </c>
      <c r="P32" s="2"/>
    </row>
    <row r="33" customFormat="false" ht="15" hidden="false" customHeight="false" outlineLevel="0" collapsed="false">
      <c r="A33" s="3" t="s">
        <v>1139</v>
      </c>
      <c r="C33" s="35" t="n">
        <f aca="false">C29+C30+C31</f>
        <v>2</v>
      </c>
      <c r="D33" s="35" t="n">
        <f aca="false">D29+D30+D31</f>
        <v>2.750625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90.918784379973</v>
      </c>
      <c r="P33" s="2"/>
    </row>
    <row r="34" customFormat="false" ht="15" hidden="false" customHeight="false" outlineLevel="0" collapsed="false">
      <c r="A34" s="28" t="s">
        <v>1140</v>
      </c>
      <c r="C34" s="27" t="n">
        <f aca="false">C33*INDEX(Assumptions!$C$74:$E$74,$B$3)</f>
        <v>0.5</v>
      </c>
      <c r="D34" s="27" t="n">
        <f aca="false">D33*INDEX(Assumptions!$C$74:$E$74,$B$3)</f>
        <v>0.68765625</v>
      </c>
      <c r="E34" s="27" t="n">
        <f aca="false">E33*INDEX(Assumptions!$C$74:$E$74,$B$3)</f>
        <v>0.875</v>
      </c>
      <c r="F34" s="27" t="n">
        <f aca="false">F33*INDEX(Assumptions!$C$74:$E$74,$B$3)</f>
        <v>1.25</v>
      </c>
      <c r="G34" s="27" t="n">
        <f aca="false">G33*INDEX(Assumptions!$C$74:$E$74,$B$3)</f>
        <v>1.6875</v>
      </c>
      <c r="H34" s="27" t="n">
        <f aca="false">H33*INDEX(Assumptions!$C$74:$E$74,$B$3)</f>
        <v>1.44841788702929</v>
      </c>
      <c r="I34" s="27" t="n">
        <f aca="false">I33*INDEX(Assumptions!$C$74:$E$74,$B$3)</f>
        <v>3.25</v>
      </c>
      <c r="J34" s="27" t="n">
        <f aca="false">J33*INDEX(Assumptions!$C$74:$E$74,$B$3)</f>
        <v>3.24776026646552</v>
      </c>
      <c r="K34" s="27" t="n">
        <f aca="false">K33*INDEX(Assumptions!$C$74:$E$74,$B$3)</f>
        <v>2.04695323751705</v>
      </c>
      <c r="L34" s="27" t="n">
        <f aca="false">L33*INDEX(Assumptions!$C$74:$E$74,$B$3)</f>
        <v>2.61140845398138</v>
      </c>
      <c r="M34" s="27" t="n">
        <f aca="false">M33*INDEX(Assumptions!$C$74:$E$74,$B$3)</f>
        <v>2.625</v>
      </c>
      <c r="N34" s="27" t="n">
        <f aca="false">N33*INDEX(Assumptions!$C$74:$E$74,$B$3)</f>
        <v>2.5</v>
      </c>
      <c r="O34" s="35" t="n">
        <f aca="false">SUM(C34:N34)</f>
        <v>22.7296960949932</v>
      </c>
      <c r="P34" s="2"/>
    </row>
    <row r="35" customFormat="false" ht="15" hidden="false" customHeight="false" outlineLevel="0" collapsed="false">
      <c r="A35" s="28" t="s">
        <v>1141</v>
      </c>
      <c r="C35" s="6" t="n">
        <f aca="false">C26+C29+C32+C31+1.25*C30</f>
        <v>2</v>
      </c>
      <c r="D35" s="6" t="n">
        <f aca="false">D26+D29+D32+D31+1.25*D30</f>
        <v>4.190625</v>
      </c>
      <c r="E35" s="6" t="n">
        <f aca="false">E26+E29+E32+E31+1.25*E30</f>
        <v>6.92045</v>
      </c>
      <c r="F35" s="6" t="n">
        <f aca="false">F26+F29+F32+F31+1.25*F30</f>
        <v>9.74045</v>
      </c>
      <c r="G35" s="6" t="n">
        <f aca="false">G26+G29+G32+G31+1.25*G30</f>
        <v>13.200075</v>
      </c>
      <c r="H35" s="6" t="n">
        <f aca="false">H26+H29+H32+H31+1.25*H30</f>
        <v>14.4</v>
      </c>
      <c r="I35" s="6" t="n">
        <f aca="false">I26+I29+I32+I31+1.25*I30</f>
        <v>22.3577719665272</v>
      </c>
      <c r="J35" s="6" t="n">
        <f aca="false">J26+J29+J32+J31+1.25*J30</f>
        <v>27</v>
      </c>
      <c r="K35" s="6" t="n">
        <f aca="false">K26+K29+K32+K31+1.25*K30</f>
        <v>27</v>
      </c>
      <c r="L35" s="6" t="n">
        <f aca="false">L26+L29+L32+L31+1.25*L30</f>
        <v>27</v>
      </c>
      <c r="M35" s="6" t="n">
        <f aca="false">M26+M29+M32+M31+1.25*M30</f>
        <v>25.6731609244129</v>
      </c>
      <c r="N35" s="6" t="n">
        <f aca="false">N26+N29+N32+N31+1.25*N30</f>
        <v>25.2157819568562</v>
      </c>
      <c r="O35" s="39" t="n">
        <f aca="false">AVERAGE(C35:N35)</f>
        <v>17.058192903983</v>
      </c>
      <c r="P35" s="2"/>
    </row>
    <row r="36" customFormat="false" ht="15" hidden="false" customHeight="false" outlineLevel="0" collapsed="false">
      <c r="A36" s="3" t="s">
        <v>1142</v>
      </c>
      <c r="C36" s="36" t="n">
        <f aca="false">C35/(C22*C23)</f>
        <v>0.125</v>
      </c>
      <c r="D36" s="36" t="n">
        <f aca="false">D35/(D22*D23)</f>
        <v>0.2619140625</v>
      </c>
      <c r="E36" s="36" t="n">
        <f aca="false">E35/(E22*E23)</f>
        <v>0.432528125</v>
      </c>
      <c r="F36" s="36" t="n">
        <f aca="false">F35/(F22*F23)</f>
        <v>0.608778125</v>
      </c>
      <c r="G36" s="36" t="n">
        <f aca="false">G35/(G22*G23)</f>
        <v>0.8250046875</v>
      </c>
      <c r="H36" s="36" t="n">
        <f aca="false">H35/(H22*H23)</f>
        <v>0.9</v>
      </c>
      <c r="I36" s="36" t="n">
        <f aca="false">I35/(I22*I23)</f>
        <v>0.745259065550907</v>
      </c>
      <c r="J36" s="36" t="n">
        <f aca="false">J35/(J22*J23)</f>
        <v>0.9</v>
      </c>
      <c r="K36" s="36" t="n">
        <f aca="false">K35/(K22*K23)</f>
        <v>0.9</v>
      </c>
      <c r="L36" s="36" t="n">
        <f aca="false">L35/(L22*L23)</f>
        <v>0.9</v>
      </c>
      <c r="M36" s="36" t="n">
        <f aca="false">M35/(M22*M23)</f>
        <v>0.855772030813762</v>
      </c>
      <c r="N36" s="36" t="n">
        <f aca="false">N35/(N22*N23)</f>
        <v>0.840526065228539</v>
      </c>
      <c r="O36" s="30" t="n">
        <f aca="false">N36</f>
        <v>0.840526065228539</v>
      </c>
      <c r="P36" s="2"/>
    </row>
    <row r="37" customFormat="false" ht="15" hidden="false" customHeight="false" outlineLevel="0" collapsed="false">
      <c r="A37" s="28" t="s">
        <v>1143</v>
      </c>
      <c r="C37" s="8" t="n">
        <f aca="false">IF(C28&lt;0.999,1,0)</f>
        <v>0</v>
      </c>
      <c r="D37" s="8" t="n">
        <f aca="false">IF(D28&lt;0.999,1,0)</f>
        <v>0</v>
      </c>
      <c r="E37" s="8" t="n">
        <f aca="false">IF(E28&lt;0.999,1,0)</f>
        <v>0</v>
      </c>
      <c r="F37" s="8" t="n">
        <f aca="false">IF(F28&lt;0.999,1,0)</f>
        <v>0</v>
      </c>
      <c r="G37" s="8" t="n">
        <f aca="false">IF(G28&lt;0.999,1,0)</f>
        <v>0</v>
      </c>
      <c r="H37" s="8" t="n">
        <f aca="false">IF(H28&lt;0.999,1,0)</f>
        <v>1</v>
      </c>
      <c r="I37" s="8" t="n">
        <f aca="false">IF(I28&lt;0.999,1,0)</f>
        <v>0</v>
      </c>
      <c r="J37" s="8" t="n">
        <f aca="false">IF(J28&lt;0.999,1,0)</f>
        <v>1</v>
      </c>
      <c r="K37" s="8" t="n">
        <f aca="false">IF(K28&lt;0.999,1,0)</f>
        <v>1</v>
      </c>
      <c r="L37" s="8" t="n">
        <f aca="false">IF(L28&lt;0.999,1,0)</f>
        <v>1</v>
      </c>
      <c r="M37" s="8" t="n">
        <f aca="false">IF(M28&lt;0.999,1,0)</f>
        <v>0</v>
      </c>
      <c r="N37" s="8" t="n">
        <f aca="false">IF(N28&lt;0.999,1,0)</f>
        <v>0</v>
      </c>
      <c r="O37" s="37" t="n">
        <f aca="false">SUM(C37:N37)</f>
        <v>4</v>
      </c>
      <c r="P37" s="2"/>
    </row>
    <row r="38" customFormat="false" ht="15" hidden="false" customHeight="false" outlineLevel="0" collapsed="false">
      <c r="A38" s="10" t="s">
        <v>1144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customFormat="false" ht="15" hidden="false" customHeight="false" outlineLevel="0" collapsed="false">
      <c r="A39" s="28" t="s">
        <v>1145</v>
      </c>
      <c r="C39" s="6" t="n">
        <f aca="false">IF(1&gt;=3,INDEX(Assumptions!$C$192:$E$192,$D$3)*INDEX(Assumptions!$C$193:$E$193,$B$3)*MIN(1,(1-2)/6),0)*$F$3</f>
        <v>0</v>
      </c>
      <c r="D39" s="6" t="n">
        <f aca="false">IF(2&gt;=3,INDEX(Assumptions!$C$192:$E$192,$D$3)*INDEX(Assumptions!$C$193:$E$193,$B$3)*MIN(1,(2-2)/6),0)*$F$3</f>
        <v>0</v>
      </c>
      <c r="E39" s="6" t="n">
        <f aca="false">IF(3&gt;=3,INDEX(Assumptions!$C$192:$E$192,$D$3)*INDEX(Assumptions!$C$193:$E$193,$B$3)*MIN(1,(3-2)/6),0)*$F$3</f>
        <v>3.4</v>
      </c>
      <c r="F39" s="6" t="n">
        <f aca="false">IF(4&gt;=3,INDEX(Assumptions!$C$192:$E$192,$D$3)*INDEX(Assumptions!$C$193:$E$193,$B$3)*MIN(1,(4-2)/6),0)*$F$3</f>
        <v>6.8</v>
      </c>
      <c r="G39" s="6" t="n">
        <f aca="false">IF(5&gt;=3,INDEX(Assumptions!$C$192:$E$192,$D$3)*INDEX(Assumptions!$C$193:$E$193,$B$3)*MIN(1,(5-2)/6),0)*$F$3</f>
        <v>10.2</v>
      </c>
      <c r="H39" s="6" t="n">
        <f aca="false">IF(6&gt;=3,INDEX(Assumptions!$C$192:$E$192,$D$3)*INDEX(Assumptions!$C$193:$E$193,$B$3)*MIN(1,(6-2)/6),0)*$F$3</f>
        <v>13.6</v>
      </c>
      <c r="I39" s="6" t="n">
        <f aca="false">IF(7&gt;=3,INDEX(Assumptions!$C$192:$E$192,$D$3)*INDEX(Assumptions!$C$193:$E$193,$B$3)*MIN(1,(7-2)/6),0)*$F$3</f>
        <v>17</v>
      </c>
      <c r="J39" s="6" t="n">
        <f aca="false">IF(8&gt;=3,INDEX(Assumptions!$C$192:$E$192,$D$3)*INDEX(Assumptions!$C$193:$E$193,$B$3)*MIN(1,(8-2)/6),0)*$F$3</f>
        <v>20.4</v>
      </c>
      <c r="K39" s="6" t="n">
        <f aca="false">IF(9&gt;=3,INDEX(Assumptions!$C$192:$E$192,$D$3)*INDEX(Assumptions!$C$193:$E$193,$B$3)*MIN(1,(9-2)/6),0)*$F$3</f>
        <v>20.4</v>
      </c>
      <c r="L39" s="6" t="n">
        <f aca="false">IF(10&gt;=3,INDEX(Assumptions!$C$192:$E$192,$D$3)*INDEX(Assumptions!$C$193:$E$193,$B$3)*MIN(1,(10-2)/6),0)*$F$3</f>
        <v>20.4</v>
      </c>
      <c r="M39" s="6" t="n">
        <f aca="false">IF(11&gt;=3,INDEX(Assumptions!$C$192:$E$192,$D$3)*INDEX(Assumptions!$C$193:$E$193,$B$3)*MIN(1,(11-2)/6),0)*$F$3</f>
        <v>20.4</v>
      </c>
      <c r="N39" s="6" t="n">
        <f aca="false">IF(12&gt;=3,INDEX(Assumptions!$C$192:$E$192,$D$3)*INDEX(Assumptions!$C$193:$E$193,$B$3)*MIN(1,(12-2)/6),0)*$F$3</f>
        <v>20.4</v>
      </c>
      <c r="O39" s="39" t="n">
        <f aca="false">SUM(C39:N39)</f>
        <v>153</v>
      </c>
      <c r="P39" s="2"/>
    </row>
    <row r="40" customFormat="false" ht="15" hidden="false" customHeight="false" outlineLevel="0" collapsed="false">
      <c r="A40" s="28" t="s">
        <v>1146</v>
      </c>
      <c r="C40" s="6" t="n">
        <f aca="false">INDEX(Assumptions!$C$194:$E$194,$D$3)*C10*MIN(1,1/3)*$F$3</f>
        <v>7</v>
      </c>
      <c r="D40" s="6" t="n">
        <f aca="false">INDEX(Assumptions!$C$194:$E$194,$D$3)*D10*MIN(1,2/3)*$F$3</f>
        <v>12</v>
      </c>
      <c r="E40" s="6" t="n">
        <f aca="false">INDEX(Assumptions!$C$194:$E$194,$D$3)*E10*MIN(1,3/3)*$F$3</f>
        <v>18</v>
      </c>
      <c r="F40" s="6" t="n">
        <f aca="false">INDEX(Assumptions!$C$194:$E$194,$D$3)*F10*MIN(1,4/3)*$F$3</f>
        <v>19.5</v>
      </c>
      <c r="G40" s="6" t="n">
        <f aca="false">INDEX(Assumptions!$C$194:$E$194,$D$3)*G10*MIN(1,5/3)*$F$3</f>
        <v>13.5</v>
      </c>
      <c r="H40" s="6" t="n">
        <f aca="false">INDEX(Assumptions!$C$194:$E$194,$D$3)*H10*MIN(1,6/3)*$F$3</f>
        <v>12</v>
      </c>
      <c r="I40" s="6" t="n">
        <f aca="false">INDEX(Assumptions!$C$194:$E$194,$D$3)*I10*MIN(1,7/3)*$F$3</f>
        <v>10.5</v>
      </c>
      <c r="J40" s="6" t="n">
        <f aca="false">INDEX(Assumptions!$C$194:$E$194,$D$3)*J10*MIN(1,8/3)*$F$3</f>
        <v>9</v>
      </c>
      <c r="K40" s="6" t="n">
        <f aca="false">INDEX(Assumptions!$C$194:$E$194,$D$3)*K10*MIN(1,9/3)*$F$3</f>
        <v>9</v>
      </c>
      <c r="L40" s="6" t="n">
        <f aca="false">INDEX(Assumptions!$C$194:$E$194,$D$3)*L10*MIN(1,10/3)*$F$3</f>
        <v>12</v>
      </c>
      <c r="M40" s="6" t="n">
        <f aca="false">INDEX(Assumptions!$C$194:$E$194,$D$3)*M10*MIN(1,11/3)*$F$3</f>
        <v>16.5</v>
      </c>
      <c r="N40" s="6" t="n">
        <f aca="false">INDEX(Assumptions!$C$194:$E$194,$D$3)*N10*MIN(1,12/3)*$F$3</f>
        <v>21</v>
      </c>
      <c r="O40" s="39" t="n">
        <f aca="false">SUM(C40:N40)</f>
        <v>160</v>
      </c>
      <c r="P40" s="2"/>
    </row>
    <row r="41" customFormat="false" ht="15" hidden="false" customHeight="false" outlineLevel="0" collapsed="false">
      <c r="A41" s="28" t="s">
        <v>1147</v>
      </c>
      <c r="C41" s="6" t="n">
        <f aca="false">C21*INDEX(Assumptions!$C$31:$E$31,$B$3)/(INDEX(Assumptions!$C$56:$E$56,$B$3)*INDEX(Assumptions!$C$57:$E$57,$B$3)*INDEX(Assumptions!$C$58:$E$58,$B$3))</f>
        <v>1.87617260787992</v>
      </c>
      <c r="D41" s="6" t="n">
        <f aca="false">D21*INDEX(Assumptions!$C$31:$E$31,$B$3)/(INDEX(Assumptions!$C$56:$E$56,$B$3)*INDEX(Assumptions!$C$57:$E$57,$B$3)*INDEX(Assumptions!$C$58:$E$58,$B$3))</f>
        <v>2.58032363977486</v>
      </c>
      <c r="E41" s="6" t="n">
        <f aca="false">E21*INDEX(Assumptions!$C$31:$E$31,$B$3)/(INDEX(Assumptions!$C$56:$E$56,$B$3)*INDEX(Assumptions!$C$57:$E$57,$B$3)*INDEX(Assumptions!$C$58:$E$58,$B$3))</f>
        <v>3.28330206378987</v>
      </c>
      <c r="F41" s="6" t="n">
        <f aca="false">F21*INDEX(Assumptions!$C$31:$E$31,$B$3)/(INDEX(Assumptions!$C$56:$E$56,$B$3)*INDEX(Assumptions!$C$57:$E$57,$B$3)*INDEX(Assumptions!$C$58:$E$58,$B$3))</f>
        <v>4.69043151969981</v>
      </c>
      <c r="G41" s="6" t="n">
        <f aca="false">G21*INDEX(Assumptions!$C$31:$E$31,$B$3)/(INDEX(Assumptions!$C$56:$E$56,$B$3)*INDEX(Assumptions!$C$57:$E$57,$B$3)*INDEX(Assumptions!$C$58:$E$58,$B$3))</f>
        <v>6.33208255159475</v>
      </c>
      <c r="H41" s="6" t="n">
        <f aca="false">H21*INDEX(Assumptions!$C$31:$E$31,$B$3)/(INDEX(Assumptions!$C$56:$E$56,$B$3)*INDEX(Assumptions!$C$57:$E$57,$B$3)*INDEX(Assumptions!$C$58:$E$58,$B$3))</f>
        <v>8.20825515947467</v>
      </c>
      <c r="I41" s="6" t="n">
        <f aca="false">I21*INDEX(Assumptions!$C$31:$E$31,$B$3)/(INDEX(Assumptions!$C$56:$E$56,$B$3)*INDEX(Assumptions!$C$57:$E$57,$B$3)*INDEX(Assumptions!$C$58:$E$58,$B$3))</f>
        <v>12.1951219512195</v>
      </c>
      <c r="J41" s="6" t="n">
        <f aca="false">J21*INDEX(Assumptions!$C$31:$E$31,$B$3)/(INDEX(Assumptions!$C$56:$E$56,$B$3)*INDEX(Assumptions!$C$57:$E$57,$B$3)*INDEX(Assumptions!$C$58:$E$58,$B$3))</f>
        <v>12.6641651031895</v>
      </c>
      <c r="K41" s="6" t="n">
        <f aca="false">K21*INDEX(Assumptions!$C$31:$E$31,$B$3)/(INDEX(Assumptions!$C$56:$E$56,$B$3)*INDEX(Assumptions!$C$57:$E$57,$B$3)*INDEX(Assumptions!$C$58:$E$58,$B$3))</f>
        <v>11.7260787992495</v>
      </c>
      <c r="L41" s="6" t="n">
        <f aca="false">L21*INDEX(Assumptions!$C$31:$E$31,$B$3)/(INDEX(Assumptions!$C$56:$E$56,$B$3)*INDEX(Assumptions!$C$57:$E$57,$B$3)*INDEX(Assumptions!$C$58:$E$58,$B$3))</f>
        <v>10.3189493433396</v>
      </c>
      <c r="M41" s="6" t="n">
        <f aca="false">M21*INDEX(Assumptions!$C$31:$E$31,$B$3)/(INDEX(Assumptions!$C$56:$E$56,$B$3)*INDEX(Assumptions!$C$57:$E$57,$B$3)*INDEX(Assumptions!$C$58:$E$58,$B$3))</f>
        <v>9.84990619136961</v>
      </c>
      <c r="N41" s="6" t="n">
        <f aca="false">N21*INDEX(Assumptions!$C$31:$E$31,$B$3)/(INDEX(Assumptions!$C$56:$E$56,$B$3)*INDEX(Assumptions!$C$57:$E$57,$B$3)*INDEX(Assumptions!$C$58:$E$58,$B$3))</f>
        <v>9.38086303939962</v>
      </c>
      <c r="O41" s="39" t="n">
        <f aca="false">SUM(C41:N41)</f>
        <v>93.1056519699812</v>
      </c>
      <c r="P41" s="2"/>
    </row>
    <row r="42" customFormat="false" ht="15" hidden="false" customHeight="false" outlineLevel="0" collapsed="false">
      <c r="A42" s="28" t="s">
        <v>1148</v>
      </c>
      <c r="C42" s="27" t="n">
        <f aca="false">IF(1&gt;=INDEX(Assumptions!$C$191:$E$191,$D$3),MAX(INDEX(Assumptions!$C$86:$E$86,$D$3),0.5),0)</f>
        <v>0</v>
      </c>
      <c r="D42" s="27" t="n">
        <f aca="false">IF(2&gt;=INDEX(Assumptions!$C$191:$E$191,$D$3),MAX(INDEX(Assumptions!$C$86:$E$86,$D$3),0.5),0)</f>
        <v>0</v>
      </c>
      <c r="E42" s="27" t="n">
        <f aca="false">IF(3&gt;=INDEX(Assumptions!$C$191:$E$191,$D$3),MAX(INDEX(Assumptions!$C$86:$E$86,$D$3),0.5),0)</f>
        <v>0</v>
      </c>
      <c r="F42" s="27" t="n">
        <f aca="false">IF(4&gt;=INDEX(Assumptions!$C$191:$E$191,$D$3),MAX(INDEX(Assumptions!$C$86:$E$86,$D$3),0.5),0)</f>
        <v>0</v>
      </c>
      <c r="G42" s="27" t="n">
        <f aca="false">IF(5&gt;=INDEX(Assumptions!$C$191:$E$191,$D$3),MAX(INDEX(Assumptions!$C$86:$E$86,$D$3),0.5),0)</f>
        <v>0</v>
      </c>
      <c r="H42" s="27" t="n">
        <f aca="false">IF(6&gt;=INDEX(Assumptions!$C$191:$E$191,$D$3),MAX(INDEX(Assumptions!$C$86:$E$86,$D$3),0.5),0)</f>
        <v>0</v>
      </c>
      <c r="I42" s="27" t="n">
        <f aca="false">IF(7&gt;=INDEX(Assumptions!$C$191:$E$191,$D$3),MAX(INDEX(Assumptions!$C$86:$E$86,$D$3),0.5),0)</f>
        <v>0</v>
      </c>
      <c r="J42" s="27" t="n">
        <f aca="false">IF(8&gt;=INDEX(Assumptions!$C$191:$E$191,$D$3),MAX(INDEX(Assumptions!$C$86:$E$86,$D$3),0.5),0)</f>
        <v>0</v>
      </c>
      <c r="K42" s="27" t="n">
        <f aca="false">IF(9&gt;=INDEX(Assumptions!$C$191:$E$191,$D$3),MAX(INDEX(Assumptions!$C$86:$E$86,$D$3),0.5),0)</f>
        <v>0.5</v>
      </c>
      <c r="L42" s="27" t="n">
        <f aca="false">IF(10&gt;=INDEX(Assumptions!$C$191:$E$191,$D$3),MAX(INDEX(Assumptions!$C$86:$E$86,$D$3),0.5),0)</f>
        <v>0.5</v>
      </c>
      <c r="M42" s="27" t="n">
        <f aca="false">IF(11&gt;=INDEX(Assumptions!$C$191:$E$191,$D$3),MAX(INDEX(Assumptions!$C$86:$E$86,$D$3),0.5),0)</f>
        <v>0.5</v>
      </c>
      <c r="N42" s="27" t="n">
        <f aca="false">IF(12&gt;=INDEX(Assumptions!$C$191:$E$191,$D$3),MAX(INDEX(Assumptions!$C$86:$E$86,$D$3),0.5),0)</f>
        <v>0.5</v>
      </c>
      <c r="O42" s="35" t="n">
        <f aca="false">SUM(C42:N42)</f>
        <v>2</v>
      </c>
      <c r="P42" s="2"/>
    </row>
    <row r="43" customFormat="false" ht="15" hidden="false" customHeight="false" outlineLevel="0" collapsed="false">
      <c r="A43" s="28" t="s">
        <v>1149</v>
      </c>
      <c r="C43" s="6" t="n">
        <f aca="false">C42*INDEX(Assumptions!$C$82:$E$82,$B$3)*$F$3</f>
        <v>0</v>
      </c>
      <c r="D43" s="6" t="n">
        <f aca="false">D42*INDEX(Assumptions!$C$82:$E$82,$B$3)*$F$3</f>
        <v>0</v>
      </c>
      <c r="E43" s="6" t="n">
        <f aca="false">E42*INDEX(Assumptions!$C$82:$E$82,$B$3)*$F$3</f>
        <v>0</v>
      </c>
      <c r="F43" s="6" t="n">
        <f aca="false">F42*INDEX(Assumptions!$C$82:$E$82,$B$3)*$F$3</f>
        <v>0</v>
      </c>
      <c r="G43" s="6" t="n">
        <f aca="false">G42*INDEX(Assumptions!$C$82:$E$82,$B$3)*$F$3</f>
        <v>0</v>
      </c>
      <c r="H43" s="6" t="n">
        <f aca="false">H42*INDEX(Assumptions!$C$82:$E$82,$B$3)*$F$3</f>
        <v>0</v>
      </c>
      <c r="I43" s="6" t="n">
        <f aca="false">I42*INDEX(Assumptions!$C$82:$E$82,$B$3)*$F$3</f>
        <v>0</v>
      </c>
      <c r="J43" s="6" t="n">
        <f aca="false">J42*INDEX(Assumptions!$C$82:$E$82,$B$3)*$F$3</f>
        <v>0</v>
      </c>
      <c r="K43" s="6" t="n">
        <f aca="false">K42*INDEX(Assumptions!$C$82:$E$82,$B$3)*$F$3</f>
        <v>16</v>
      </c>
      <c r="L43" s="6" t="n">
        <f aca="false">L42*INDEX(Assumptions!$C$82:$E$82,$B$3)*$F$3</f>
        <v>16</v>
      </c>
      <c r="M43" s="6" t="n">
        <f aca="false">M42*INDEX(Assumptions!$C$82:$E$82,$B$3)*$F$3</f>
        <v>16</v>
      </c>
      <c r="N43" s="6" t="n">
        <f aca="false">N42*INDEX(Assumptions!$C$82:$E$82,$B$3)*$F$3</f>
        <v>16</v>
      </c>
      <c r="O43" s="39" t="n">
        <f aca="false">SUM(C43:N43)</f>
        <v>64</v>
      </c>
      <c r="P43" s="2"/>
    </row>
    <row r="44" customFormat="false" ht="15" hidden="false" customHeight="false" outlineLevel="0" collapsed="false">
      <c r="A44" s="28" t="s">
        <v>1150</v>
      </c>
      <c r="C44" s="27" t="n">
        <f aca="false">C39*0.7*INDEX(Assumptions!$C$73:$E$73,$B$3)</f>
        <v>0</v>
      </c>
      <c r="D44" s="27" t="n">
        <f aca="false">D39*0.7*INDEX(Assumptions!$C$73:$E$73,$B$3)</f>
        <v>0</v>
      </c>
      <c r="E44" s="27" t="n">
        <f aca="false">E39*0.7*INDEX(Assumptions!$C$73:$E$73,$B$3)</f>
        <v>0.238</v>
      </c>
      <c r="F44" s="27" t="n">
        <f aca="false">F39*0.7*INDEX(Assumptions!$C$73:$E$73,$B$3)</f>
        <v>0.476</v>
      </c>
      <c r="G44" s="27" t="n">
        <f aca="false">G39*0.7*INDEX(Assumptions!$C$73:$E$73,$B$3)</f>
        <v>0.714</v>
      </c>
      <c r="H44" s="27" t="n">
        <f aca="false">H39*0.7*INDEX(Assumptions!$C$73:$E$73,$B$3)</f>
        <v>0.952</v>
      </c>
      <c r="I44" s="27" t="n">
        <f aca="false">I39*0.7*INDEX(Assumptions!$C$73:$E$73,$B$3)</f>
        <v>1.19</v>
      </c>
      <c r="J44" s="27" t="n">
        <f aca="false">J39*0.7*INDEX(Assumptions!$C$73:$E$73,$B$3)</f>
        <v>1.428</v>
      </c>
      <c r="K44" s="27" t="n">
        <f aca="false">K39*0.7*INDEX(Assumptions!$C$73:$E$73,$B$3)</f>
        <v>1.428</v>
      </c>
      <c r="L44" s="27" t="n">
        <f aca="false">L39*0.7*INDEX(Assumptions!$C$73:$E$73,$B$3)</f>
        <v>1.428</v>
      </c>
      <c r="M44" s="27" t="n">
        <f aca="false">M39*0.7*INDEX(Assumptions!$C$73:$E$73,$B$3)</f>
        <v>1.428</v>
      </c>
      <c r="N44" s="27" t="n">
        <f aca="false">N39*0.7*INDEX(Assumptions!$C$73:$E$73,$B$3)</f>
        <v>1.428</v>
      </c>
      <c r="O44" s="35" t="n">
        <f aca="false">SUM(C44:N44)</f>
        <v>10.71</v>
      </c>
      <c r="P44" s="2"/>
    </row>
    <row r="45" customFormat="false" ht="15" hidden="false" customHeight="false" outlineLevel="0" collapsed="false">
      <c r="A45" s="10" t="s">
        <v>1151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false" outlineLevel="0" collapsed="false">
      <c r="A46" s="28" t="s">
        <v>1152</v>
      </c>
      <c r="C46" s="8" t="n">
        <f aca="false">IF(1&gt;=INDEX(Assumptions!$C$105:$E$105,$B$3),INDEX(Assumptions!$C$20:$E$20,$B$3),INDEX(Assumptions!$C$10:$E$10,$B$3))*$H$3</f>
        <v>60000</v>
      </c>
      <c r="D46" s="8" t="n">
        <f aca="false">IF(2&gt;=INDEX(Assumptions!$C$105:$E$105,$B$3),INDEX(Assumptions!$C$20:$E$20,$B$3),INDEX(Assumptions!$C$10:$E$10,$B$3))*$H$3</f>
        <v>60000</v>
      </c>
      <c r="E46" s="8" t="n">
        <f aca="false">IF(3&gt;=INDEX(Assumptions!$C$105:$E$105,$B$3),INDEX(Assumptions!$C$20:$E$20,$B$3),INDEX(Assumptions!$C$10:$E$10,$B$3))*$H$3</f>
        <v>60000</v>
      </c>
      <c r="F46" s="8" t="n">
        <f aca="false">IF(4&gt;=INDEX(Assumptions!$C$105:$E$105,$B$3),INDEX(Assumptions!$C$20:$E$20,$B$3),INDEX(Assumptions!$C$10:$E$10,$B$3))*$H$3</f>
        <v>60000</v>
      </c>
      <c r="G46" s="8" t="n">
        <f aca="false">IF(5&gt;=INDEX(Assumptions!$C$105:$E$105,$B$3),INDEX(Assumptions!$C$20:$E$20,$B$3),INDEX(Assumptions!$C$10:$E$10,$B$3))*$H$3</f>
        <v>60000</v>
      </c>
      <c r="H46" s="8" t="n">
        <f aca="false">IF(6&gt;=INDEX(Assumptions!$C$105:$E$105,$B$3),INDEX(Assumptions!$C$20:$E$20,$B$3),INDEX(Assumptions!$C$10:$E$10,$B$3))*$H$3</f>
        <v>60000</v>
      </c>
      <c r="I46" s="8" t="n">
        <f aca="false">IF(7&gt;=INDEX(Assumptions!$C$105:$E$105,$B$3),INDEX(Assumptions!$C$20:$E$20,$B$3),INDEX(Assumptions!$C$10:$E$10,$B$3))*$H$3</f>
        <v>80000</v>
      </c>
      <c r="J46" s="8" t="n">
        <f aca="false">IF(8&gt;=INDEX(Assumptions!$C$105:$E$105,$B$3),INDEX(Assumptions!$C$20:$E$20,$B$3),INDEX(Assumptions!$C$10:$E$10,$B$3))*$H$3</f>
        <v>80000</v>
      </c>
      <c r="K46" s="8" t="n">
        <f aca="false">IF(9&gt;=INDEX(Assumptions!$C$105:$E$105,$B$3),INDEX(Assumptions!$C$20:$E$20,$B$3),INDEX(Assumptions!$C$10:$E$10,$B$3))*$H$3</f>
        <v>80000</v>
      </c>
      <c r="L46" s="8" t="n">
        <f aca="false">IF(10&gt;=INDEX(Assumptions!$C$105:$E$105,$B$3),INDEX(Assumptions!$C$20:$E$20,$B$3),INDEX(Assumptions!$C$10:$E$10,$B$3))*$H$3</f>
        <v>80000</v>
      </c>
      <c r="M46" s="8" t="n">
        <f aca="false">IF(11&gt;=INDEX(Assumptions!$C$105:$E$105,$B$3),INDEX(Assumptions!$C$20:$E$20,$B$3),INDEX(Assumptions!$C$10:$E$10,$B$3))*$H$3</f>
        <v>80000</v>
      </c>
      <c r="N46" s="8" t="n">
        <f aca="false">IF(12&gt;=INDEX(Assumptions!$C$105:$E$105,$B$3),INDEX(Assumptions!$C$20:$E$20,$B$3),INDEX(Assumptions!$C$10:$E$10,$B$3))*$H$3</f>
        <v>80000</v>
      </c>
      <c r="O46" s="37" t="n">
        <f aca="false">AVERAGE(C46:N46)</f>
        <v>70000</v>
      </c>
      <c r="P46" s="2"/>
    </row>
    <row r="47" customFormat="false" ht="15" hidden="false" customHeight="false" outlineLevel="0" collapsed="false">
      <c r="A47" s="28" t="s">
        <v>1153</v>
      </c>
      <c r="C47" s="8" t="n">
        <f aca="false">IF(1&gt;=INDEX(Assumptions!$C$105:$E$105,$B$3),0,1)</f>
        <v>1</v>
      </c>
      <c r="D47" s="8" t="n">
        <f aca="false">IF(2&gt;=INDEX(Assumptions!$C$105:$E$105,$B$3),0,1)</f>
        <v>1</v>
      </c>
      <c r="E47" s="8" t="n">
        <f aca="false">IF(3&gt;=INDEX(Assumptions!$C$105:$E$105,$B$3),0,1)</f>
        <v>1</v>
      </c>
      <c r="F47" s="8" t="n">
        <f aca="false">IF(4&gt;=INDEX(Assumptions!$C$105:$E$105,$B$3),0,1)</f>
        <v>1</v>
      </c>
      <c r="G47" s="8" t="n">
        <f aca="false">IF(5&gt;=INDEX(Assumptions!$C$105:$E$105,$B$3),0,1)</f>
        <v>1</v>
      </c>
      <c r="H47" s="8" t="n">
        <f aca="false">IF(6&gt;=INDEX(Assumptions!$C$105:$E$105,$B$3),0,1)</f>
        <v>1</v>
      </c>
      <c r="I47" s="8" t="n">
        <f aca="false">IF(7&gt;=INDEX(Assumptions!$C$105:$E$105,$B$3),0,1)</f>
        <v>0</v>
      </c>
      <c r="J47" s="8" t="n">
        <f aca="false">IF(8&gt;=INDEX(Assumptions!$C$105:$E$105,$B$3),0,1)</f>
        <v>0</v>
      </c>
      <c r="K47" s="8" t="n">
        <f aca="false">IF(9&gt;=INDEX(Assumptions!$C$105:$E$105,$B$3),0,1)</f>
        <v>0</v>
      </c>
      <c r="L47" s="8" t="n">
        <f aca="false">IF(10&gt;=INDEX(Assumptions!$C$105:$E$105,$B$3),0,1)</f>
        <v>0</v>
      </c>
      <c r="M47" s="8" t="n">
        <f aca="false">IF(11&gt;=INDEX(Assumptions!$C$105:$E$105,$B$3),0,1)</f>
        <v>0</v>
      </c>
      <c r="N47" s="8" t="n">
        <f aca="false">IF(12&gt;=INDEX(Assumptions!$C$105:$E$105,$B$3),0,1)</f>
        <v>0</v>
      </c>
      <c r="O47" s="37" t="n">
        <f aca="false">N47</f>
        <v>0</v>
      </c>
      <c r="P47" s="2"/>
    </row>
    <row r="48" customFormat="false" ht="15" hidden="false" customHeight="false" outlineLevel="0" collapsed="false">
      <c r="A48" s="10" t="s">
        <v>1154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false" outlineLevel="0" collapsed="false">
      <c r="A49" s="28" t="s">
        <v>1155</v>
      </c>
      <c r="C49" s="8" t="n">
        <f aca="false">C29*C46/(1+INDEX(Assumptions!$C$15:$E$15,$B$3)*$H$4)</f>
        <v>72000</v>
      </c>
      <c r="D49" s="8" t="n">
        <f aca="false">D29*D46/(1+INDEX(Assumptions!$C$15:$E$15,$B$3)*$H$4)</f>
        <v>99022.5</v>
      </c>
      <c r="E49" s="8" t="n">
        <f aca="false">E29*E46/(1+INDEX(Assumptions!$C$15:$E$15,$B$3)*$H$4)</f>
        <v>126000</v>
      </c>
      <c r="F49" s="8" t="n">
        <f aca="false">F29*F46/(1+INDEX(Assumptions!$C$15:$E$15,$B$3)*$H$4)</f>
        <v>180000</v>
      </c>
      <c r="G49" s="8" t="n">
        <f aca="false">G29*G46/(1+INDEX(Assumptions!$C$15:$E$15,$B$3)*$H$4)</f>
        <v>243000</v>
      </c>
      <c r="H49" s="8" t="n">
        <f aca="false">H29*H46/(1+INDEX(Assumptions!$C$15:$E$15,$B$3)*$H$4)</f>
        <v>208572.175732218</v>
      </c>
      <c r="I49" s="8" t="n">
        <f aca="false">I29*I46/(1+INDEX(Assumptions!$C$15:$E$15,$B$3)*$H$4)</f>
        <v>624000</v>
      </c>
      <c r="J49" s="8" t="n">
        <f aca="false">J29*J46/(1+INDEX(Assumptions!$C$15:$E$15,$B$3)*$H$4)</f>
        <v>623569.97116138</v>
      </c>
      <c r="K49" s="8" t="n">
        <f aca="false">K29*K46/(1+INDEX(Assumptions!$C$15:$E$15,$B$3)*$H$4)</f>
        <v>393015.021603274</v>
      </c>
      <c r="L49" s="8" t="n">
        <f aca="false">L29*L46/(1+INDEX(Assumptions!$C$15:$E$15,$B$3)*$H$4)</f>
        <v>376042.817373319</v>
      </c>
      <c r="M49" s="8" t="n">
        <f aca="false">M29*M46/(1+INDEX(Assumptions!$C$15:$E$15,$B$3)*$H$4)</f>
        <v>378000</v>
      </c>
      <c r="N49" s="8" t="n">
        <f aca="false">N29*N46/(1+INDEX(Assumptions!$C$15:$E$15,$B$3)*$H$4)</f>
        <v>360000</v>
      </c>
      <c r="O49" s="37" t="n">
        <f aca="false">SUM(C49:N49)</f>
        <v>3683222.48587019</v>
      </c>
      <c r="P49" s="2"/>
    </row>
    <row r="50" customFormat="false" ht="15" hidden="false" customHeight="false" outlineLevel="0" collapsed="false">
      <c r="A50" s="28" t="s">
        <v>1156</v>
      </c>
      <c r="C50" s="8" t="n">
        <f aca="false">C30*C46/(1+INDEX(Assumptions!$C$15:$E$15,$B$3)*$H$4)</f>
        <v>0</v>
      </c>
      <c r="D50" s="8" t="n">
        <f aca="false">D30*D46/(1+INDEX(Assumptions!$C$15:$E$15,$B$3)*$H$4)</f>
        <v>0</v>
      </c>
      <c r="E50" s="8" t="n">
        <f aca="false">E30*E46/(1+INDEX(Assumptions!$C$15:$E$15,$B$3)*$H$4)</f>
        <v>0</v>
      </c>
      <c r="F50" s="8" t="n">
        <f aca="false">F30*F46/(1+INDEX(Assumptions!$C$15:$E$15,$B$3)*$H$4)</f>
        <v>0</v>
      </c>
      <c r="G50" s="8" t="n">
        <f aca="false">G30*G46/(1+INDEX(Assumptions!$C$15:$E$15,$B$3)*$H$4)</f>
        <v>0</v>
      </c>
      <c r="H50" s="8" t="n">
        <f aca="false">H30*H46/(1+INDEX(Assumptions!$C$15:$E$15,$B$3)*$H$4)</f>
        <v>0</v>
      </c>
      <c r="I50" s="8" t="n">
        <f aca="false">I30*I46/(1+INDEX(Assumptions!$C$15:$E$15,$B$3)*$H$4)</f>
        <v>0</v>
      </c>
      <c r="J50" s="8" t="n">
        <f aca="false">J30*J46/(1+INDEX(Assumptions!$C$15:$E$15,$B$3)*$H$4)</f>
        <v>0</v>
      </c>
      <c r="K50" s="8" t="n">
        <f aca="false">K30*K46/(1+INDEX(Assumptions!$C$15:$E$15,$B$3)*$H$4)</f>
        <v>0</v>
      </c>
      <c r="L50" s="8" t="n">
        <f aca="false">L30*L46/(1+INDEX(Assumptions!$C$15:$E$15,$B$3)*$H$4)</f>
        <v>125347.605791106</v>
      </c>
      <c r="M50" s="8" t="n">
        <f aca="false">M30*M46/(1+INDEX(Assumptions!$C$15:$E$15,$B$3)*$H$4)</f>
        <v>126000</v>
      </c>
      <c r="N50" s="8" t="n">
        <f aca="false">N30*N46/(1+INDEX(Assumptions!$C$15:$E$15,$B$3)*$H$4)</f>
        <v>120000</v>
      </c>
      <c r="O50" s="37" t="n">
        <f aca="false">SUM(C50:N50)</f>
        <v>371347.605791106</v>
      </c>
      <c r="P50" s="2"/>
    </row>
    <row r="51" customFormat="false" ht="15" hidden="false" customHeight="false" outlineLevel="0" collapsed="false">
      <c r="A51" s="28" t="s">
        <v>1157</v>
      </c>
      <c r="C51" s="8" t="n">
        <f aca="false">C32*MAX(0,C46-INDEX(Assumptions!$C$18:$E$18,$B$3)*$H$3)/(1+INDEX(Assumptions!$C$15:$E$15,$B$3)*$H$4)</f>
        <v>0</v>
      </c>
      <c r="D51" s="8" t="n">
        <f aca="false">D32*MAX(0,D46-INDEX(Assumptions!$C$18:$E$18,$B$3)*$H$3)/(1+INDEX(Assumptions!$C$15:$E$15,$B$3)*$H$4)</f>
        <v>4824</v>
      </c>
      <c r="E51" s="8" t="n">
        <f aca="false">E32*MAX(0,E46-INDEX(Assumptions!$C$18:$E$18,$B$3)*$H$3)/(1+INDEX(Assumptions!$C$15:$E$15,$B$3)*$H$4)</f>
        <v>6634.5075</v>
      </c>
      <c r="F51" s="8" t="n">
        <f aca="false">F32*MAX(0,F46-INDEX(Assumptions!$C$18:$E$18,$B$3)*$H$3)/(1+INDEX(Assumptions!$C$15:$E$15,$B$3)*$H$4)</f>
        <v>8442</v>
      </c>
      <c r="G51" s="8" t="n">
        <f aca="false">G32*MAX(0,G46-INDEX(Assumptions!$C$18:$E$18,$B$3)*$H$3)/(1+INDEX(Assumptions!$C$15:$E$15,$B$3)*$H$4)</f>
        <v>12060</v>
      </c>
      <c r="H51" s="8" t="n">
        <f aca="false">H32*MAX(0,H46-INDEX(Assumptions!$C$18:$E$18,$B$3)*$H$3)/(1+INDEX(Assumptions!$C$15:$E$15,$B$3)*$H$4)</f>
        <v>10780.2018828452</v>
      </c>
      <c r="I51" s="8" t="n">
        <f aca="false">I32*MAX(0,I46-INDEX(Assumptions!$C$18:$E$18,$B$3)*$H$3)/(1+INDEX(Assumptions!$C$15:$E$15,$B$3)*$H$4)</f>
        <v>27879.1474895397</v>
      </c>
      <c r="J51" s="8" t="n">
        <f aca="false">J32*MAX(0,J46-INDEX(Assumptions!$C$18:$E$18,$B$3)*$H$3)/(1+INDEX(Assumptions!$C$15:$E$15,$B$3)*$H$4)</f>
        <v>60197.5974011902</v>
      </c>
      <c r="K51" s="8" t="n">
        <f aca="false">K32*MAX(0,K46-INDEX(Assumptions!$C$18:$E$18,$B$3)*$H$3)/(1+INDEX(Assumptions!$C$15:$E$15,$B$3)*$H$4)</f>
        <v>40947.5077668934</v>
      </c>
      <c r="L51" s="8" t="n">
        <f aca="false">L32*MAX(0,L46-INDEX(Assumptions!$C$18:$E$18,$B$3)*$H$3)/(1+INDEX(Assumptions!$C$15:$E$15,$B$3)*$H$4)</f>
        <v>37414.129339322</v>
      </c>
      <c r="M51" s="8" t="n">
        <f aca="false">M32*MAX(0,M46-INDEX(Assumptions!$C$18:$E$18,$B$3)*$H$3)/(1+INDEX(Assumptions!$C$15:$E$15,$B$3)*$H$4)</f>
        <v>50264.3899222336</v>
      </c>
      <c r="N51" s="8" t="n">
        <f aca="false">N32*MAX(0,N46-INDEX(Assumptions!$C$18:$E$18,$B$3)*$H$3)/(1+INDEX(Assumptions!$C$15:$E$15,$B$3)*$H$4)</f>
        <v>50526</v>
      </c>
      <c r="O51" s="37" t="n">
        <f aca="false">SUM(C51:N51)</f>
        <v>309969.481302024</v>
      </c>
      <c r="P51" s="2"/>
    </row>
    <row r="52" customFormat="false" ht="15" hidden="false" customHeight="false" outlineLevel="0" collapsed="false">
      <c r="A52" s="28" t="s">
        <v>740</v>
      </c>
      <c r="C52" s="8" t="n">
        <f aca="false">C31*INDEX(Assumptions!$C$18:$E$18,$B$3)*$H$3/(1+INDEX(Assumptions!$C$15:$E$15,$B$3)*$H$4)</f>
        <v>31920</v>
      </c>
      <c r="D52" s="8" t="n">
        <f aca="false">D31*INDEX(Assumptions!$C$18:$E$18,$B$3)*$H$3/(1+INDEX(Assumptions!$C$15:$E$15,$B$3)*$H$4)</f>
        <v>43899.975</v>
      </c>
      <c r="E52" s="8" t="n">
        <f aca="false">E31*INDEX(Assumptions!$C$18:$E$18,$B$3)*$H$3/(1+INDEX(Assumptions!$C$15:$E$15,$B$3)*$H$4)</f>
        <v>55860</v>
      </c>
      <c r="F52" s="8" t="n">
        <f aca="false">F31*INDEX(Assumptions!$C$18:$E$18,$B$3)*$H$3/(1+INDEX(Assumptions!$C$15:$E$15,$B$3)*$H$4)</f>
        <v>79800</v>
      </c>
      <c r="G52" s="8" t="n">
        <f aca="false">G31*INDEX(Assumptions!$C$18:$E$18,$B$3)*$H$3/(1+INDEX(Assumptions!$C$15:$E$15,$B$3)*$H$4)</f>
        <v>107730</v>
      </c>
      <c r="H52" s="8" t="n">
        <f aca="false">H31*INDEX(Assumptions!$C$18:$E$18,$B$3)*$H$3/(1+INDEX(Assumptions!$C$15:$E$15,$B$3)*$H$4)</f>
        <v>92466.9979079498</v>
      </c>
      <c r="I52" s="8" t="n">
        <f aca="false">I31*INDEX(Assumptions!$C$18:$E$18,$B$3)*$H$3/(1+INDEX(Assumptions!$C$15:$E$15,$B$3)*$H$4)</f>
        <v>207480</v>
      </c>
      <c r="J52" s="8" t="n">
        <f aca="false">J31*INDEX(Assumptions!$C$18:$E$18,$B$3)*$H$3/(1+INDEX(Assumptions!$C$15:$E$15,$B$3)*$H$4)</f>
        <v>207337.015411159</v>
      </c>
      <c r="K52" s="8" t="n">
        <f aca="false">K31*INDEX(Assumptions!$C$18:$E$18,$B$3)*$H$3/(1+INDEX(Assumptions!$C$15:$E$15,$B$3)*$H$4)</f>
        <v>130677.494683089</v>
      </c>
      <c r="L52" s="8" t="n">
        <f aca="false">L31*INDEX(Assumptions!$C$18:$E$18,$B$3)*$H$3/(1+INDEX(Assumptions!$C$15:$E$15,$B$3)*$H$4)</f>
        <v>166712.315702171</v>
      </c>
      <c r="M52" s="8" t="n">
        <f aca="false">M31*INDEX(Assumptions!$C$18:$E$18,$B$3)*$H$3/(1+INDEX(Assumptions!$C$15:$E$15,$B$3)*$H$4)</f>
        <v>167580</v>
      </c>
      <c r="N52" s="8" t="n">
        <f aca="false">N31*INDEX(Assumptions!$C$18:$E$18,$B$3)*$H$3/(1+INDEX(Assumptions!$C$15:$E$15,$B$3)*$H$4)</f>
        <v>159600</v>
      </c>
      <c r="O52" s="37" t="n">
        <f aca="false">SUM(C52:N52)</f>
        <v>1451063.79870437</v>
      </c>
      <c r="P52" s="2"/>
    </row>
    <row r="53" customFormat="false" ht="15" hidden="false" customHeight="false" outlineLevel="0" collapsed="false">
      <c r="A53" s="28" t="s">
        <v>1158</v>
      </c>
      <c r="C53" s="8" t="n">
        <f aca="false">C41*(1-INDEX(Assumptions!$C$56:$E$56,$B$3)*INDEX(Assumptions!$C$57:$E$57,$B$3)*INDEX(Assumptions!$C$58:$E$58,$B$3))*INDEX(Assumptions!$C$17:$E$17,$B$3)/(1+INDEX(Assumptions!$C$15:$E$15,$B$3)*$H$4)</f>
        <v>1674.49643527205</v>
      </c>
      <c r="D53" s="8" t="n">
        <f aca="false">D41*(1-INDEX(Assumptions!$C$56:$E$56,$B$3)*INDEX(Assumptions!$C$57:$E$57,$B$3)*INDEX(Assumptions!$C$58:$E$58,$B$3))*INDEX(Assumptions!$C$17:$E$17,$B$3)/(1+INDEX(Assumptions!$C$15:$E$15,$B$3)*$H$4)</f>
        <v>2302.95587863508</v>
      </c>
      <c r="E53" s="8" t="n">
        <f aca="false">E41*(1-INDEX(Assumptions!$C$56:$E$56,$B$3)*INDEX(Assumptions!$C$57:$E$57,$B$3)*INDEX(Assumptions!$C$58:$E$58,$B$3))*INDEX(Assumptions!$C$17:$E$17,$B$3)/(1+INDEX(Assumptions!$C$15:$E$15,$B$3)*$H$4)</f>
        <v>2930.36876172608</v>
      </c>
      <c r="F53" s="8" t="n">
        <f aca="false">F41*(1-INDEX(Assumptions!$C$56:$E$56,$B$3)*INDEX(Assumptions!$C$57:$E$57,$B$3)*INDEX(Assumptions!$C$58:$E$58,$B$3))*INDEX(Assumptions!$C$17:$E$17,$B$3)/(1+INDEX(Assumptions!$C$15:$E$15,$B$3)*$H$4)</f>
        <v>4186.24108818011</v>
      </c>
      <c r="G53" s="8" t="n">
        <f aca="false">G41*(1-INDEX(Assumptions!$C$56:$E$56,$B$3)*INDEX(Assumptions!$C$57:$E$57,$B$3)*INDEX(Assumptions!$C$58:$E$58,$B$3))*INDEX(Assumptions!$C$17:$E$17,$B$3)/(1+INDEX(Assumptions!$C$15:$E$15,$B$3)*$H$4)</f>
        <v>5651.42546904315</v>
      </c>
      <c r="H53" s="8" t="n">
        <f aca="false">H41*(1-INDEX(Assumptions!$C$56:$E$56,$B$3)*INDEX(Assumptions!$C$57:$E$57,$B$3)*INDEX(Assumptions!$C$58:$E$58,$B$3))*INDEX(Assumptions!$C$17:$E$17,$B$3)/(1+INDEX(Assumptions!$C$15:$E$15,$B$3)*$H$4)</f>
        <v>7325.9219043152</v>
      </c>
      <c r="I53" s="8" t="n">
        <f aca="false">I41*(1-INDEX(Assumptions!$C$56:$E$56,$B$3)*INDEX(Assumptions!$C$57:$E$57,$B$3)*INDEX(Assumptions!$C$58:$E$58,$B$3))*INDEX(Assumptions!$C$17:$E$17,$B$3)/(1+INDEX(Assumptions!$C$15:$E$15,$B$3)*$H$4)</f>
        <v>10884.2268292683</v>
      </c>
      <c r="J53" s="8" t="n">
        <f aca="false">J41*(1-INDEX(Assumptions!$C$56:$E$56,$B$3)*INDEX(Assumptions!$C$57:$E$57,$B$3)*INDEX(Assumptions!$C$58:$E$58,$B$3))*INDEX(Assumptions!$C$17:$E$17,$B$3)/(1+INDEX(Assumptions!$C$15:$E$15,$B$3)*$H$4)</f>
        <v>11302.8509380863</v>
      </c>
      <c r="K53" s="8" t="n">
        <f aca="false">K41*(1-INDEX(Assumptions!$C$56:$E$56,$B$3)*INDEX(Assumptions!$C$57:$E$57,$B$3)*INDEX(Assumptions!$C$58:$E$58,$B$3))*INDEX(Assumptions!$C$17:$E$17,$B$3)/(1+INDEX(Assumptions!$C$15:$E$15,$B$3)*$H$4)</f>
        <v>10465.6027204503</v>
      </c>
      <c r="L53" s="8" t="n">
        <f aca="false">L41*(1-INDEX(Assumptions!$C$56:$E$56,$B$3)*INDEX(Assumptions!$C$57:$E$57,$B$3)*INDEX(Assumptions!$C$58:$E$58,$B$3))*INDEX(Assumptions!$C$17:$E$17,$B$3)/(1+INDEX(Assumptions!$C$15:$E$15,$B$3)*$H$4)</f>
        <v>9209.73039399625</v>
      </c>
      <c r="M53" s="8" t="n">
        <f aca="false">M41*(1-INDEX(Assumptions!$C$56:$E$56,$B$3)*INDEX(Assumptions!$C$57:$E$57,$B$3)*INDEX(Assumptions!$C$58:$E$58,$B$3))*INDEX(Assumptions!$C$17:$E$17,$B$3)/(1+INDEX(Assumptions!$C$15:$E$15,$B$3)*$H$4)</f>
        <v>8791.10628517824</v>
      </c>
      <c r="N53" s="8" t="n">
        <f aca="false">N41*(1-INDEX(Assumptions!$C$56:$E$56,$B$3)*INDEX(Assumptions!$C$57:$E$57,$B$3)*INDEX(Assumptions!$C$58:$E$58,$B$3))*INDEX(Assumptions!$C$17:$E$17,$B$3)/(1+INDEX(Assumptions!$C$15:$E$15,$B$3)*$H$4)</f>
        <v>8372.48217636022</v>
      </c>
      <c r="O53" s="37" t="n">
        <f aca="false">SUM(C53:N53)</f>
        <v>83097.4088805112</v>
      </c>
      <c r="P53" s="2"/>
    </row>
    <row r="54" customFormat="false" ht="15" hidden="false" customHeight="false" outlineLevel="0" collapsed="false">
      <c r="A54" s="28" t="s">
        <v>1159</v>
      </c>
      <c r="C54" s="8" t="n">
        <f aca="false">C39*INDEX(Assumptions!$C$21:$E$21,$B$3)*$H$3/(1+INDEX(Assumptions!$C$15:$E$15,$B$3)*$H$4)</f>
        <v>0</v>
      </c>
      <c r="D54" s="8" t="n">
        <f aca="false">D39*INDEX(Assumptions!$C$21:$E$21,$B$3)*$H$3/(1+INDEX(Assumptions!$C$15:$E$15,$B$3)*$H$4)</f>
        <v>0</v>
      </c>
      <c r="E54" s="8" t="n">
        <f aca="false">E39*INDEX(Assumptions!$C$21:$E$21,$B$3)*$H$3/(1+INDEX(Assumptions!$C$15:$E$15,$B$3)*$H$4)</f>
        <v>34000</v>
      </c>
      <c r="F54" s="8" t="n">
        <f aca="false">F39*INDEX(Assumptions!$C$21:$E$21,$B$3)*$H$3/(1+INDEX(Assumptions!$C$15:$E$15,$B$3)*$H$4)</f>
        <v>68000</v>
      </c>
      <c r="G54" s="8" t="n">
        <f aca="false">G39*INDEX(Assumptions!$C$21:$E$21,$B$3)*$H$3/(1+INDEX(Assumptions!$C$15:$E$15,$B$3)*$H$4)</f>
        <v>102000</v>
      </c>
      <c r="H54" s="8" t="n">
        <f aca="false">H39*INDEX(Assumptions!$C$21:$E$21,$B$3)*$H$3/(1+INDEX(Assumptions!$C$15:$E$15,$B$3)*$H$4)</f>
        <v>136000</v>
      </c>
      <c r="I54" s="8" t="n">
        <f aca="false">I39*INDEX(Assumptions!$C$21:$E$21,$B$3)*$H$3/(1+INDEX(Assumptions!$C$15:$E$15,$B$3)*$H$4)</f>
        <v>170000</v>
      </c>
      <c r="J54" s="8" t="n">
        <f aca="false">J39*INDEX(Assumptions!$C$21:$E$21,$B$3)*$H$3/(1+INDEX(Assumptions!$C$15:$E$15,$B$3)*$H$4)</f>
        <v>204000</v>
      </c>
      <c r="K54" s="8" t="n">
        <f aca="false">K39*INDEX(Assumptions!$C$21:$E$21,$B$3)*$H$3/(1+INDEX(Assumptions!$C$15:$E$15,$B$3)*$H$4)</f>
        <v>204000</v>
      </c>
      <c r="L54" s="8" t="n">
        <f aca="false">L39*INDEX(Assumptions!$C$21:$E$21,$B$3)*$H$3/(1+INDEX(Assumptions!$C$15:$E$15,$B$3)*$H$4)</f>
        <v>204000</v>
      </c>
      <c r="M54" s="8" t="n">
        <f aca="false">M39*INDEX(Assumptions!$C$21:$E$21,$B$3)*$H$3/(1+INDEX(Assumptions!$C$15:$E$15,$B$3)*$H$4)</f>
        <v>204000</v>
      </c>
      <c r="N54" s="8" t="n">
        <f aca="false">N39*INDEX(Assumptions!$C$21:$E$21,$B$3)*$H$3/(1+INDEX(Assumptions!$C$15:$E$15,$B$3)*$H$4)</f>
        <v>204000</v>
      </c>
      <c r="O54" s="37" t="n">
        <f aca="false">SUM(C54:N54)</f>
        <v>1530000</v>
      </c>
      <c r="P54" s="2"/>
    </row>
    <row r="55" customFormat="false" ht="15" hidden="false" customHeight="false" outlineLevel="0" collapsed="false">
      <c r="A55" s="28" t="s">
        <v>1160</v>
      </c>
      <c r="C55" s="8" t="n">
        <f aca="false">C40*INDEX(Assumptions!$C$22:$E$22,$B$3)*$H$3/(1+INDEX(Assumptions!$C$15:$E$15,$B$3)*$H$4)</f>
        <v>34993</v>
      </c>
      <c r="D55" s="8" t="n">
        <f aca="false">D40*INDEX(Assumptions!$C$22:$E$22,$B$3)*$H$3/(1+INDEX(Assumptions!$C$15:$E$15,$B$3)*$H$4)</f>
        <v>59988</v>
      </c>
      <c r="E55" s="8" t="n">
        <f aca="false">E40*INDEX(Assumptions!$C$22:$E$22,$B$3)*$H$3/(1+INDEX(Assumptions!$C$15:$E$15,$B$3)*$H$4)</f>
        <v>89982</v>
      </c>
      <c r="F55" s="8" t="n">
        <f aca="false">F40*INDEX(Assumptions!$C$22:$E$22,$B$3)*$H$3/(1+INDEX(Assumptions!$C$15:$E$15,$B$3)*$H$4)</f>
        <v>97480.5</v>
      </c>
      <c r="G55" s="8" t="n">
        <f aca="false">G40*INDEX(Assumptions!$C$22:$E$22,$B$3)*$H$3/(1+INDEX(Assumptions!$C$15:$E$15,$B$3)*$H$4)</f>
        <v>67486.5</v>
      </c>
      <c r="H55" s="8" t="n">
        <f aca="false">H40*INDEX(Assumptions!$C$22:$E$22,$B$3)*$H$3/(1+INDEX(Assumptions!$C$15:$E$15,$B$3)*$H$4)</f>
        <v>59988</v>
      </c>
      <c r="I55" s="8" t="n">
        <f aca="false">I40*INDEX(Assumptions!$C$22:$E$22,$B$3)*$H$3/(1+INDEX(Assumptions!$C$15:$E$15,$B$3)*$H$4)</f>
        <v>52489.5</v>
      </c>
      <c r="J55" s="8" t="n">
        <f aca="false">J40*INDEX(Assumptions!$C$22:$E$22,$B$3)*$H$3/(1+INDEX(Assumptions!$C$15:$E$15,$B$3)*$H$4)</f>
        <v>44991</v>
      </c>
      <c r="K55" s="8" t="n">
        <f aca="false">K40*INDEX(Assumptions!$C$22:$E$22,$B$3)*$H$3/(1+INDEX(Assumptions!$C$15:$E$15,$B$3)*$H$4)</f>
        <v>44991</v>
      </c>
      <c r="L55" s="8" t="n">
        <f aca="false">L40*INDEX(Assumptions!$C$22:$E$22,$B$3)*$H$3/(1+INDEX(Assumptions!$C$15:$E$15,$B$3)*$H$4)</f>
        <v>59988</v>
      </c>
      <c r="M55" s="8" t="n">
        <f aca="false">M40*INDEX(Assumptions!$C$22:$E$22,$B$3)*$H$3/(1+INDEX(Assumptions!$C$15:$E$15,$B$3)*$H$4)</f>
        <v>82483.5</v>
      </c>
      <c r="N55" s="8" t="n">
        <f aca="false">N40*INDEX(Assumptions!$C$22:$E$22,$B$3)*$H$3/(1+INDEX(Assumptions!$C$15:$E$15,$B$3)*$H$4)</f>
        <v>104979</v>
      </c>
      <c r="O55" s="37" t="n">
        <f aca="false">SUM(C55:N55)</f>
        <v>799840</v>
      </c>
      <c r="P55" s="2"/>
    </row>
    <row r="56" customFormat="false" ht="15" hidden="false" customHeight="false" outlineLevel="0" collapsed="false">
      <c r="A56" s="28" t="s">
        <v>1161</v>
      </c>
      <c r="C56" s="8" t="n">
        <f aca="false">C43*INDEX(Assumptions!$C$83:$E$83,$B$3)/(1+INDEX(Assumptions!$C$15:$E$15,$B$3)*$H$4)</f>
        <v>0</v>
      </c>
      <c r="D56" s="8" t="n">
        <f aca="false">D43*INDEX(Assumptions!$C$83:$E$83,$B$3)/(1+INDEX(Assumptions!$C$15:$E$15,$B$3)*$H$4)</f>
        <v>0</v>
      </c>
      <c r="E56" s="8" t="n">
        <f aca="false">E43*INDEX(Assumptions!$C$83:$E$83,$B$3)/(1+INDEX(Assumptions!$C$15:$E$15,$B$3)*$H$4)</f>
        <v>0</v>
      </c>
      <c r="F56" s="8" t="n">
        <f aca="false">F43*INDEX(Assumptions!$C$83:$E$83,$B$3)/(1+INDEX(Assumptions!$C$15:$E$15,$B$3)*$H$4)</f>
        <v>0</v>
      </c>
      <c r="G56" s="8" t="n">
        <f aca="false">G43*INDEX(Assumptions!$C$83:$E$83,$B$3)/(1+INDEX(Assumptions!$C$15:$E$15,$B$3)*$H$4)</f>
        <v>0</v>
      </c>
      <c r="H56" s="8" t="n">
        <f aca="false">H43*INDEX(Assumptions!$C$83:$E$83,$B$3)/(1+INDEX(Assumptions!$C$15:$E$15,$B$3)*$H$4)</f>
        <v>0</v>
      </c>
      <c r="I56" s="8" t="n">
        <f aca="false">I43*INDEX(Assumptions!$C$83:$E$83,$B$3)/(1+INDEX(Assumptions!$C$15:$E$15,$B$3)*$H$4)</f>
        <v>0</v>
      </c>
      <c r="J56" s="8" t="n">
        <f aca="false">J43*INDEX(Assumptions!$C$83:$E$83,$B$3)/(1+INDEX(Assumptions!$C$15:$E$15,$B$3)*$H$4)</f>
        <v>0</v>
      </c>
      <c r="K56" s="8" t="n">
        <f aca="false">K43*INDEX(Assumptions!$C$83:$E$83,$B$3)/(1+INDEX(Assumptions!$C$15:$E$15,$B$3)*$H$4)</f>
        <v>23984</v>
      </c>
      <c r="L56" s="8" t="n">
        <f aca="false">L43*INDEX(Assumptions!$C$83:$E$83,$B$3)/(1+INDEX(Assumptions!$C$15:$E$15,$B$3)*$H$4)</f>
        <v>23984</v>
      </c>
      <c r="M56" s="8" t="n">
        <f aca="false">M43*INDEX(Assumptions!$C$83:$E$83,$B$3)/(1+INDEX(Assumptions!$C$15:$E$15,$B$3)*$H$4)</f>
        <v>23984</v>
      </c>
      <c r="N56" s="8" t="n">
        <f aca="false">N43*INDEX(Assumptions!$C$83:$E$83,$B$3)/(1+INDEX(Assumptions!$C$15:$E$15,$B$3)*$H$4)</f>
        <v>23984</v>
      </c>
      <c r="O56" s="37" t="n">
        <f aca="false">SUM(C56:N56)</f>
        <v>95936</v>
      </c>
      <c r="P56" s="2"/>
    </row>
    <row r="57" customFormat="false" ht="15" hidden="false" customHeight="false" outlineLevel="0" collapsed="false">
      <c r="A57" s="28" t="s">
        <v>1162</v>
      </c>
      <c r="C57" s="8" t="n">
        <f aca="false">C44*INDEX(Assumptions!$C$23:$E$23,$B$3)/(1+INDEX(Assumptions!$C$15:$E$15,$B$3)*$H$4)</f>
        <v>0</v>
      </c>
      <c r="D57" s="8" t="n">
        <f aca="false">D44*INDEX(Assumptions!$C$23:$E$23,$B$3)/(1+INDEX(Assumptions!$C$15:$E$15,$B$3)*$H$4)</f>
        <v>0</v>
      </c>
      <c r="E57" s="8" t="n">
        <f aca="false">E44*INDEX(Assumptions!$C$23:$E$23,$B$3)/(1+INDEX(Assumptions!$C$15:$E$15,$B$3)*$H$4)</f>
        <v>2379.762</v>
      </c>
      <c r="F57" s="8" t="n">
        <f aca="false">F44*INDEX(Assumptions!$C$23:$E$23,$B$3)/(1+INDEX(Assumptions!$C$15:$E$15,$B$3)*$H$4)</f>
        <v>4759.524</v>
      </c>
      <c r="G57" s="8" t="n">
        <f aca="false">G44*INDEX(Assumptions!$C$23:$E$23,$B$3)/(1+INDEX(Assumptions!$C$15:$E$15,$B$3)*$H$4)</f>
        <v>7139.286</v>
      </c>
      <c r="H57" s="8" t="n">
        <f aca="false">H44*INDEX(Assumptions!$C$23:$E$23,$B$3)/(1+INDEX(Assumptions!$C$15:$E$15,$B$3)*$H$4)</f>
        <v>9519.048</v>
      </c>
      <c r="I57" s="8" t="n">
        <f aca="false">I44*INDEX(Assumptions!$C$23:$E$23,$B$3)/(1+INDEX(Assumptions!$C$15:$E$15,$B$3)*$H$4)</f>
        <v>11898.81</v>
      </c>
      <c r="J57" s="8" t="n">
        <f aca="false">J44*INDEX(Assumptions!$C$23:$E$23,$B$3)/(1+INDEX(Assumptions!$C$15:$E$15,$B$3)*$H$4)</f>
        <v>14278.572</v>
      </c>
      <c r="K57" s="8" t="n">
        <f aca="false">K44*INDEX(Assumptions!$C$23:$E$23,$B$3)/(1+INDEX(Assumptions!$C$15:$E$15,$B$3)*$H$4)</f>
        <v>14278.572</v>
      </c>
      <c r="L57" s="8" t="n">
        <f aca="false">L44*INDEX(Assumptions!$C$23:$E$23,$B$3)/(1+INDEX(Assumptions!$C$15:$E$15,$B$3)*$H$4)</f>
        <v>14278.572</v>
      </c>
      <c r="M57" s="8" t="n">
        <f aca="false">M44*INDEX(Assumptions!$C$23:$E$23,$B$3)/(1+INDEX(Assumptions!$C$15:$E$15,$B$3)*$H$4)</f>
        <v>14278.572</v>
      </c>
      <c r="N57" s="8" t="n">
        <f aca="false">N44*INDEX(Assumptions!$C$23:$E$23,$B$3)/(1+INDEX(Assumptions!$C$15:$E$15,$B$3)*$H$4)</f>
        <v>14278.572</v>
      </c>
      <c r="O57" s="37" t="n">
        <f aca="false">SUM(C57:N57)</f>
        <v>107089.29</v>
      </c>
      <c r="P57" s="2"/>
    </row>
    <row r="58" customFormat="false" ht="15" hidden="false" customHeight="false" outlineLevel="0" collapsed="false">
      <c r="A58" s="28" t="s">
        <v>1163</v>
      </c>
      <c r="C58" s="8" t="n">
        <f aca="false">(C29+C30)*(1-C47)*INDEX(Assumptions!$C$90:$E$90,$B$3)</f>
        <v>0</v>
      </c>
      <c r="D58" s="8" t="n">
        <f aca="false">(D29+D30)*(1-D47)*INDEX(Assumptions!$C$90:$E$90,$B$3)</f>
        <v>0</v>
      </c>
      <c r="E58" s="8" t="n">
        <f aca="false">(E29+E30)*(1-E47)*INDEX(Assumptions!$C$90:$E$90,$B$3)</f>
        <v>0</v>
      </c>
      <c r="F58" s="8" t="n">
        <f aca="false">(F29+F30)*(1-F47)*INDEX(Assumptions!$C$90:$E$90,$B$3)</f>
        <v>0</v>
      </c>
      <c r="G58" s="8" t="n">
        <f aca="false">(G29+G30)*(1-G47)*INDEX(Assumptions!$C$90:$E$90,$B$3)</f>
        <v>0</v>
      </c>
      <c r="H58" s="8" t="n">
        <f aca="false">(H29+H30)*(1-H47)*INDEX(Assumptions!$C$90:$E$90,$B$3)</f>
        <v>0</v>
      </c>
      <c r="I58" s="8" t="n">
        <f aca="false">(I29+I30)*(1-I47)*INDEX(Assumptions!$C$90:$E$90,$B$3)</f>
        <v>7488</v>
      </c>
      <c r="J58" s="8" t="n">
        <f aca="false">(J29+J30)*(1-J47)*INDEX(Assumptions!$C$90:$E$90,$B$3)</f>
        <v>7482.83965393656</v>
      </c>
      <c r="K58" s="8" t="n">
        <f aca="false">(K29+K30)*(1-K47)*INDEX(Assumptions!$C$90:$E$90,$B$3)</f>
        <v>4716.18025923929</v>
      </c>
      <c r="L58" s="8" t="n">
        <f aca="false">(L29+L30)*(1-L47)*INDEX(Assumptions!$C$90:$E$90,$B$3)</f>
        <v>6016.6850779731</v>
      </c>
      <c r="M58" s="8" t="n">
        <f aca="false">(M29+M30)*(1-M47)*INDEX(Assumptions!$C$90:$E$90,$B$3)</f>
        <v>6048</v>
      </c>
      <c r="N58" s="8" t="n">
        <f aca="false">(N29+N30)*(1-N47)*INDEX(Assumptions!$C$90:$E$90,$B$3)</f>
        <v>5760</v>
      </c>
      <c r="O58" s="37" t="n">
        <f aca="false">SUM(C58:N58)</f>
        <v>37511.7049911489</v>
      </c>
      <c r="P58" s="2"/>
    </row>
    <row r="59" customFormat="false" ht="15" hidden="false" customHeight="false" outlineLevel="0" collapsed="false">
      <c r="A59" s="3" t="s">
        <v>63</v>
      </c>
      <c r="C59" s="37" t="n">
        <f aca="false">SUM(C49:C58)</f>
        <v>140587.496435272</v>
      </c>
      <c r="D59" s="37" t="n">
        <f aca="false">SUM(D49:D58)</f>
        <v>210037.430878635</v>
      </c>
      <c r="E59" s="37" t="n">
        <f aca="false">SUM(E49:E58)</f>
        <v>317786.638261726</v>
      </c>
      <c r="F59" s="37" t="n">
        <f aca="false">SUM(F49:F58)</f>
        <v>442668.26508818</v>
      </c>
      <c r="G59" s="37" t="n">
        <f aca="false">SUM(G49:G58)</f>
        <v>545067.211469043</v>
      </c>
      <c r="H59" s="37" t="n">
        <f aca="false">SUM(H49:H58)</f>
        <v>524652.345427328</v>
      </c>
      <c r="I59" s="37" t="n">
        <f aca="false">SUM(I49:I58)</f>
        <v>1112119.68431881</v>
      </c>
      <c r="J59" s="37" t="n">
        <f aca="false">SUM(J49:J58)</f>
        <v>1173159.84656575</v>
      </c>
      <c r="K59" s="37" t="n">
        <f aca="false">SUM(K49:K58)</f>
        <v>867075.379032946</v>
      </c>
      <c r="L59" s="37" t="n">
        <f aca="false">SUM(L49:L58)</f>
        <v>1022993.85567789</v>
      </c>
      <c r="M59" s="37" t="n">
        <f aca="false">SUM(M49:M58)</f>
        <v>1061429.56820741</v>
      </c>
      <c r="N59" s="37" t="n">
        <f aca="false">SUM(N49:N58)</f>
        <v>1051500.05417636</v>
      </c>
      <c r="O59" s="31" t="n">
        <f aca="false">SUM(C59:N59)</f>
        <v>8469077.77553935</v>
      </c>
      <c r="P59" s="2"/>
    </row>
    <row r="60" customFormat="false" ht="15" hidden="false" customHeight="false" outlineLevel="0" collapsed="false">
      <c r="A60" s="28" t="s">
        <v>1164</v>
      </c>
      <c r="C60" s="8" t="n">
        <f aca="false">C49+C50+C51+C52</f>
        <v>103920</v>
      </c>
      <c r="D60" s="8" t="n">
        <f aca="false">D49+D50+D51+D52</f>
        <v>147746.475</v>
      </c>
      <c r="E60" s="8" t="n">
        <f aca="false">E49+E50+E51+E52</f>
        <v>188494.5075</v>
      </c>
      <c r="F60" s="8" t="n">
        <f aca="false">F49+F50+F51+F52</f>
        <v>268242</v>
      </c>
      <c r="G60" s="8" t="n">
        <f aca="false">G49+G50+G51+G52</f>
        <v>362790</v>
      </c>
      <c r="H60" s="8" t="n">
        <f aca="false">H49+H50+H51+H52</f>
        <v>311819.375523013</v>
      </c>
      <c r="I60" s="8" t="n">
        <f aca="false">I49+I50+I51+I52</f>
        <v>859359.14748954</v>
      </c>
      <c r="J60" s="8" t="n">
        <f aca="false">J49+J50+J51+J52</f>
        <v>891104.583973729</v>
      </c>
      <c r="K60" s="8" t="n">
        <f aca="false">K49+K50+K51+K52</f>
        <v>564640.024053256</v>
      </c>
      <c r="L60" s="8" t="n">
        <f aca="false">L49+L50+L51+L52</f>
        <v>705516.868205919</v>
      </c>
      <c r="M60" s="8" t="n">
        <f aca="false">M49+M50+M51+M52</f>
        <v>721844.389922234</v>
      </c>
      <c r="N60" s="8" t="n">
        <f aca="false">N49+N50+N51+N52</f>
        <v>690126</v>
      </c>
      <c r="O60" s="37" t="n">
        <f aca="false">SUM(C60:N60)</f>
        <v>5815603.37166769</v>
      </c>
      <c r="P60" s="2"/>
    </row>
    <row r="61" customFormat="false" ht="15" hidden="false" customHeight="false" outlineLevel="0" collapsed="false">
      <c r="A61" s="10" t="s">
        <v>1165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</row>
    <row r="62" customFormat="false" ht="15" hidden="false" customHeight="false" outlineLevel="0" collapsed="false">
      <c r="A62" s="28" t="s">
        <v>1166</v>
      </c>
      <c r="C62" s="8" t="n">
        <f aca="false">((C29+C32)*INDEX(Assumptions!$C$91:$E$91,$B$3)+C30*INDEX(Assumptions!$C$93:$E$93,$B$3))*$N$3</f>
        <v>7200</v>
      </c>
      <c r="D62" s="8" t="n">
        <f aca="false">((D29+D32)*INDEX(Assumptions!$C$91:$E$91,$B$3)+D30*INDEX(Assumptions!$C$93:$E$93,$B$3))*$N$3</f>
        <v>11342.25</v>
      </c>
      <c r="E62" s="8" t="n">
        <f aca="false">((E29+E32)*INDEX(Assumptions!$C$91:$E$91,$B$3)+E30*INDEX(Assumptions!$C$93:$E$93,$B$3))*$N$3</f>
        <v>14580.45</v>
      </c>
      <c r="F62" s="8" t="n">
        <f aca="false">((F29+F32)*INDEX(Assumptions!$C$91:$E$91,$B$3)+F30*INDEX(Assumptions!$C$93:$E$93,$B$3))*$N$3</f>
        <v>20520</v>
      </c>
      <c r="G62" s="8" t="n">
        <f aca="false">((G29+G32)*INDEX(Assumptions!$C$91:$E$91,$B$3)+G30*INDEX(Assumptions!$C$93:$E$93,$B$3))*$N$3</f>
        <v>27900</v>
      </c>
      <c r="H62" s="8" t="n">
        <f aca="false">((H29+H32)*INDEX(Assumptions!$C$91:$E$91,$B$3)+H30*INDEX(Assumptions!$C$93:$E$93,$B$3))*$N$3</f>
        <v>24075.1882845188</v>
      </c>
      <c r="I62" s="8" t="n">
        <f aca="false">((I29+I32)*INDEX(Assumptions!$C$91:$E$91,$B$3)+I30*INDEX(Assumptions!$C$93:$E$93,$B$3))*$N$3</f>
        <v>50971.4435146443</v>
      </c>
      <c r="J62" s="8" t="n">
        <f aca="false">((J29+J32)*INDEX(Assumptions!$C$91:$E$91,$B$3)+J30*INDEX(Assumptions!$C$93:$E$93,$B$3))*$N$3</f>
        <v>55774.8696427678</v>
      </c>
      <c r="K62" s="8" t="n">
        <f aca="false">((K29+K32)*INDEX(Assumptions!$C$91:$E$91,$B$3)+K30*INDEX(Assumptions!$C$93:$E$93,$B$3))*$N$3</f>
        <v>35602.9357624241</v>
      </c>
      <c r="L62" s="8" t="n">
        <f aca="false">((L29+L32)*INDEX(Assumptions!$C$91:$E$91,$B$3)+L30*INDEX(Assumptions!$C$93:$E$93,$B$3))*$N$3</f>
        <v>45552.6734365868</v>
      </c>
      <c r="M62" s="8" t="n">
        <f aca="false">((M29+M32)*INDEX(Assumptions!$C$91:$E$91,$B$3)+M30*INDEX(Assumptions!$C$93:$E$93,$B$3))*$N$3</f>
        <v>47683.3563474664</v>
      </c>
      <c r="N62" s="8" t="n">
        <f aca="false">((N29+N32)*INDEX(Assumptions!$C$91:$E$91,$B$3)+N30*INDEX(Assumptions!$C$93:$E$93,$B$3))*$N$3</f>
        <v>45810</v>
      </c>
      <c r="O62" s="37" t="n">
        <f aca="false">SUM(C62:N62)</f>
        <v>387013.166988408</v>
      </c>
      <c r="P62" s="2"/>
    </row>
    <row r="63" customFormat="false" ht="15" hidden="false" customHeight="false" outlineLevel="0" collapsed="false">
      <c r="A63" s="28" t="s">
        <v>1167</v>
      </c>
      <c r="C63" s="8" t="n">
        <f aca="false">(C29+C30)*C47*INDEX(Assumptions!$C$14:$E$14,$B$3)*$N$3</f>
        <v>14400</v>
      </c>
      <c r="D63" s="8" t="n">
        <f aca="false">(D29+D30)*D47*INDEX(Assumptions!$C$14:$E$14,$B$3)*$N$3</f>
        <v>19804.5</v>
      </c>
      <c r="E63" s="8" t="n">
        <f aca="false">(E29+E30)*E47*INDEX(Assumptions!$C$14:$E$14,$B$3)*$N$3</f>
        <v>25200</v>
      </c>
      <c r="F63" s="8" t="n">
        <f aca="false">(F29+F30)*F47*INDEX(Assumptions!$C$14:$E$14,$B$3)*$N$3</f>
        <v>36000</v>
      </c>
      <c r="G63" s="8" t="n">
        <f aca="false">(G29+G30)*G47*INDEX(Assumptions!$C$14:$E$14,$B$3)*$N$3</f>
        <v>48600</v>
      </c>
      <c r="H63" s="8" t="n">
        <f aca="false">(H29+H30)*H47*INDEX(Assumptions!$C$14:$E$14,$B$3)*$N$3</f>
        <v>41714.4351464435</v>
      </c>
      <c r="I63" s="8" t="n">
        <f aca="false">(I29+I30)*I47*INDEX(Assumptions!$C$14:$E$14,$B$3)*$N$3</f>
        <v>0</v>
      </c>
      <c r="J63" s="8" t="n">
        <f aca="false">(J29+J30)*J47*INDEX(Assumptions!$C$14:$E$14,$B$3)*$N$3</f>
        <v>0</v>
      </c>
      <c r="K63" s="8" t="n">
        <f aca="false">(K29+K30)*K47*INDEX(Assumptions!$C$14:$E$14,$B$3)*$N$3</f>
        <v>0</v>
      </c>
      <c r="L63" s="8" t="n">
        <f aca="false">(L29+L30)*L47*INDEX(Assumptions!$C$14:$E$14,$B$3)*$N$3</f>
        <v>0</v>
      </c>
      <c r="M63" s="8" t="n">
        <f aca="false">(M29+M30)*M47*INDEX(Assumptions!$C$14:$E$14,$B$3)*$N$3</f>
        <v>0</v>
      </c>
      <c r="N63" s="8" t="n">
        <f aca="false">(N29+N30)*N47*INDEX(Assumptions!$C$14:$E$14,$B$3)*$N$3</f>
        <v>0</v>
      </c>
      <c r="O63" s="37" t="n">
        <f aca="false">SUM(C63:N63)</f>
        <v>185718.935146444</v>
      </c>
      <c r="P63" s="2"/>
    </row>
    <row r="64" customFormat="false" ht="15" hidden="false" customHeight="false" outlineLevel="0" collapsed="false">
      <c r="A64" s="28" t="s">
        <v>1168</v>
      </c>
      <c r="C64" s="8" t="n">
        <f aca="false">C31*INDEX(Assumptions!$C$92:$E$92,$B$3)*$N$3</f>
        <v>1600</v>
      </c>
      <c r="D64" s="8" t="n">
        <f aca="false">D31*INDEX(Assumptions!$C$92:$E$92,$B$3)*$N$3</f>
        <v>2200.5</v>
      </c>
      <c r="E64" s="8" t="n">
        <f aca="false">E31*INDEX(Assumptions!$C$92:$E$92,$B$3)*$N$3</f>
        <v>2800</v>
      </c>
      <c r="F64" s="8" t="n">
        <f aca="false">F31*INDEX(Assumptions!$C$92:$E$92,$B$3)*$N$3</f>
        <v>4000</v>
      </c>
      <c r="G64" s="8" t="n">
        <f aca="false">G31*INDEX(Assumptions!$C$92:$E$92,$B$3)*$N$3</f>
        <v>5400</v>
      </c>
      <c r="H64" s="8" t="n">
        <f aca="false">H31*INDEX(Assumptions!$C$92:$E$92,$B$3)*$N$3</f>
        <v>4634.93723849372</v>
      </c>
      <c r="I64" s="8" t="n">
        <f aca="false">I31*INDEX(Assumptions!$C$92:$E$92,$B$3)*$N$3</f>
        <v>10400</v>
      </c>
      <c r="J64" s="8" t="n">
        <f aca="false">J31*INDEX(Assumptions!$C$92:$E$92,$B$3)*$N$3</f>
        <v>10392.8328526897</v>
      </c>
      <c r="K64" s="8" t="n">
        <f aca="false">K31*INDEX(Assumptions!$C$92:$E$92,$B$3)*$N$3</f>
        <v>6550.25036005457</v>
      </c>
      <c r="L64" s="8" t="n">
        <f aca="false">L31*INDEX(Assumptions!$C$92:$E$92,$B$3)*$N$3</f>
        <v>8356.50705274042</v>
      </c>
      <c r="M64" s="8" t="n">
        <f aca="false">M31*INDEX(Assumptions!$C$92:$E$92,$B$3)*$N$3</f>
        <v>8400</v>
      </c>
      <c r="N64" s="8" t="n">
        <f aca="false">N31*INDEX(Assumptions!$C$92:$E$92,$B$3)*$N$3</f>
        <v>8000</v>
      </c>
      <c r="O64" s="37" t="n">
        <f aca="false">SUM(C64:N64)</f>
        <v>72735.0275039784</v>
      </c>
      <c r="P64" s="2"/>
    </row>
    <row r="65" customFormat="false" ht="15" hidden="false" customHeight="false" outlineLevel="0" collapsed="false">
      <c r="A65" s="28" t="s">
        <v>1169</v>
      </c>
      <c r="C65" s="8" t="n">
        <f aca="false">(C39*INDEX(Assumptions!$C$94:$E$94,$B$3)+C40*INDEX(Assumptions!$C$95:$E$95,$B$3)+C41*INDEX(Assumptions!$C$96:$E$96,$B$3))*$N$3</f>
        <v>3269.04315196998</v>
      </c>
      <c r="D65" s="8" t="n">
        <f aca="false">(D39*INDEX(Assumptions!$C$94:$E$94,$B$3)+D40*INDEX(Assumptions!$C$95:$E$95,$B$3)+D41*INDEX(Assumptions!$C$96:$E$96,$B$3))*$N$3</f>
        <v>5445.08090994372</v>
      </c>
      <c r="E65" s="8" t="n">
        <f aca="false">(E39*INDEX(Assumptions!$C$94:$E$94,$B$3)+E40*INDEX(Assumptions!$C$95:$E$95,$B$3)+E41*INDEX(Assumptions!$C$96:$E$96,$B$3))*$N$3</f>
        <v>11420.8255159475</v>
      </c>
      <c r="F65" s="8" t="n">
        <f aca="false">(F39*INDEX(Assumptions!$C$94:$E$94,$B$3)+F40*INDEX(Assumptions!$C$95:$E$95,$B$3)+F41*INDEX(Assumptions!$C$96:$E$96,$B$3))*$N$3</f>
        <v>15772.607879925</v>
      </c>
      <c r="G65" s="8" t="n">
        <f aca="false">(G39*INDEX(Assumptions!$C$94:$E$94,$B$3)+G40*INDEX(Assumptions!$C$95:$E$95,$B$3)+G41*INDEX(Assumptions!$C$96:$E$96,$B$3))*$N$3</f>
        <v>17183.0206378987</v>
      </c>
      <c r="H65" s="8" t="n">
        <f aca="false">(H39*INDEX(Assumptions!$C$94:$E$94,$B$3)+H40*INDEX(Assumptions!$C$95:$E$95,$B$3)+H41*INDEX(Assumptions!$C$96:$E$96,$B$3))*$N$3</f>
        <v>20452.0637898687</v>
      </c>
      <c r="I65" s="8" t="n">
        <f aca="false">(I39*INDEX(Assumptions!$C$94:$E$94,$B$3)+I40*INDEX(Assumptions!$C$95:$E$95,$B$3)+I41*INDEX(Assumptions!$C$96:$E$96,$B$3))*$N$3</f>
        <v>24248.7804878049</v>
      </c>
      <c r="J65" s="8" t="n">
        <f aca="false">(J39*INDEX(Assumptions!$C$94:$E$94,$B$3)+J40*INDEX(Assumptions!$C$95:$E$95,$B$3)+J41*INDEX(Assumptions!$C$96:$E$96,$B$3))*$N$3</f>
        <v>27166.0412757974</v>
      </c>
      <c r="K65" s="8" t="n">
        <f aca="false">(K39*INDEX(Assumptions!$C$94:$E$94,$B$3)+K40*INDEX(Assumptions!$C$95:$E$95,$B$3)+K41*INDEX(Assumptions!$C$96:$E$96,$B$3))*$N$3</f>
        <v>26931.5196998124</v>
      </c>
      <c r="L65" s="8" t="n">
        <f aca="false">(L39*INDEX(Assumptions!$C$94:$E$94,$B$3)+L40*INDEX(Assumptions!$C$95:$E$95,$B$3)+L41*INDEX(Assumptions!$C$96:$E$96,$B$3))*$N$3</f>
        <v>27779.7373358349</v>
      </c>
      <c r="M65" s="8" t="n">
        <f aca="false">(M39*INDEX(Assumptions!$C$94:$E$94,$B$3)+M40*INDEX(Assumptions!$C$95:$E$95,$B$3)+M41*INDEX(Assumptions!$C$96:$E$96,$B$3))*$N$3</f>
        <v>29462.4765478424</v>
      </c>
      <c r="N65" s="8" t="n">
        <f aca="false">(N39*INDEX(Assumptions!$C$94:$E$94,$B$3)+N40*INDEX(Assumptions!$C$95:$E$95,$B$3)+N41*INDEX(Assumptions!$C$96:$E$96,$B$3))*$N$3</f>
        <v>31145.2157598499</v>
      </c>
      <c r="O65" s="37" t="n">
        <f aca="false">SUM(C65:N65)</f>
        <v>240276.412992495</v>
      </c>
      <c r="P65" s="2"/>
    </row>
    <row r="66" customFormat="false" ht="15" hidden="false" customHeight="false" outlineLevel="0" collapsed="false">
      <c r="A66" s="28" t="s">
        <v>1170</v>
      </c>
      <c r="C66" s="8" t="n">
        <f aca="false">C42*INDEX(Assumptions!$C$84:$E$84,$B$3)</f>
        <v>0</v>
      </c>
      <c r="D66" s="8" t="n">
        <f aca="false">D42*INDEX(Assumptions!$C$84:$E$84,$B$3)</f>
        <v>0</v>
      </c>
      <c r="E66" s="8" t="n">
        <f aca="false">E42*INDEX(Assumptions!$C$84:$E$84,$B$3)</f>
        <v>0</v>
      </c>
      <c r="F66" s="8" t="n">
        <f aca="false">F42*INDEX(Assumptions!$C$84:$E$84,$B$3)</f>
        <v>0</v>
      </c>
      <c r="G66" s="8" t="n">
        <f aca="false">G42*INDEX(Assumptions!$C$84:$E$84,$B$3)</f>
        <v>0</v>
      </c>
      <c r="H66" s="8" t="n">
        <f aca="false">H42*INDEX(Assumptions!$C$84:$E$84,$B$3)</f>
        <v>0</v>
      </c>
      <c r="I66" s="8" t="n">
        <f aca="false">I42*INDEX(Assumptions!$C$84:$E$84,$B$3)</f>
        <v>0</v>
      </c>
      <c r="J66" s="8" t="n">
        <f aca="false">J42*INDEX(Assumptions!$C$84:$E$84,$B$3)</f>
        <v>0</v>
      </c>
      <c r="K66" s="8" t="n">
        <f aca="false">K42*INDEX(Assumptions!$C$84:$E$84,$B$3)</f>
        <v>26000</v>
      </c>
      <c r="L66" s="8" t="n">
        <f aca="false">L42*INDEX(Assumptions!$C$84:$E$84,$B$3)</f>
        <v>26000</v>
      </c>
      <c r="M66" s="8" t="n">
        <f aca="false">M42*INDEX(Assumptions!$C$84:$E$84,$B$3)</f>
        <v>26000</v>
      </c>
      <c r="N66" s="8" t="n">
        <f aca="false">N42*INDEX(Assumptions!$C$84:$E$84,$B$3)</f>
        <v>26000</v>
      </c>
      <c r="O66" s="37" t="n">
        <f aca="false">SUM(C66:N66)</f>
        <v>104000</v>
      </c>
      <c r="P66" s="2"/>
    </row>
    <row r="67" customFormat="false" ht="15" hidden="false" customHeight="false" outlineLevel="0" collapsed="false">
      <c r="A67" s="28" t="s">
        <v>1171</v>
      </c>
      <c r="C67" s="8" t="n">
        <f aca="false">C44*INDEX(Assumptions!$C$97:$E$97,$B$3)</f>
        <v>0</v>
      </c>
      <c r="D67" s="8" t="n">
        <f aca="false">D44*INDEX(Assumptions!$C$97:$E$97,$B$3)</f>
        <v>0</v>
      </c>
      <c r="E67" s="8" t="n">
        <f aca="false">E44*INDEX(Assumptions!$C$97:$E$97,$B$3)</f>
        <v>476</v>
      </c>
      <c r="F67" s="8" t="n">
        <f aca="false">F44*INDEX(Assumptions!$C$97:$E$97,$B$3)</f>
        <v>952</v>
      </c>
      <c r="G67" s="8" t="n">
        <f aca="false">G44*INDEX(Assumptions!$C$97:$E$97,$B$3)</f>
        <v>1428</v>
      </c>
      <c r="H67" s="8" t="n">
        <f aca="false">H44*INDEX(Assumptions!$C$97:$E$97,$B$3)</f>
        <v>1904</v>
      </c>
      <c r="I67" s="8" t="n">
        <f aca="false">I44*INDEX(Assumptions!$C$97:$E$97,$B$3)</f>
        <v>2380</v>
      </c>
      <c r="J67" s="8" t="n">
        <f aca="false">J44*INDEX(Assumptions!$C$97:$E$97,$B$3)</f>
        <v>2856</v>
      </c>
      <c r="K67" s="8" t="n">
        <f aca="false">K44*INDEX(Assumptions!$C$97:$E$97,$B$3)</f>
        <v>2856</v>
      </c>
      <c r="L67" s="8" t="n">
        <f aca="false">L44*INDEX(Assumptions!$C$97:$E$97,$B$3)</f>
        <v>2856</v>
      </c>
      <c r="M67" s="8" t="n">
        <f aca="false">M44*INDEX(Assumptions!$C$97:$E$97,$B$3)</f>
        <v>2856</v>
      </c>
      <c r="N67" s="8" t="n">
        <f aca="false">N44*INDEX(Assumptions!$C$97:$E$97,$B$3)</f>
        <v>2856</v>
      </c>
      <c r="O67" s="37" t="n">
        <f aca="false">SUM(C67:N67)</f>
        <v>21420</v>
      </c>
      <c r="P67" s="2"/>
    </row>
    <row r="68" customFormat="false" ht="15" hidden="false" customHeight="false" outlineLevel="0" collapsed="false">
      <c r="A68" s="28" t="s">
        <v>1172</v>
      </c>
      <c r="C68" s="8" t="n">
        <f aca="false">C59*(1+INDEX(Assumptions!$C$15:$E$15,$B$3)*$H$4)*INDEX(Assumptions!$C$76:$E$76,$B$3)+(C49+C50+C51)*(1+INDEX(Assumptions!$C$15:$E$15,$B$3)*$H$4)*INDEX(Assumptions!$C$70:$E$70,$B$3)*INDEX(Assumptions!$C$71:$E$71,$B$3)</f>
        <v>4071.74992870544</v>
      </c>
      <c r="D68" s="8" t="n">
        <f aca="false">D59*(1+INDEX(Assumptions!$C$15:$E$15,$B$3)*$H$4)*INDEX(Assumptions!$C$76:$E$76,$B$3)+(D49+D50+D51)*(1+INDEX(Assumptions!$C$15:$E$15,$B$3)*$H$4)*INDEX(Assumptions!$C$70:$E$70,$B$3)*INDEX(Assumptions!$C$71:$E$71,$B$3)</f>
        <v>6018.0623675727</v>
      </c>
      <c r="E68" s="8" t="n">
        <f aca="false">E59*(1+INDEX(Assumptions!$C$15:$E$15,$B$3)*$H$4)*INDEX(Assumptions!$C$76:$E$76,$B$3)+(E49+E50+E51)*(1+INDEX(Assumptions!$C$15:$E$15,$B$3)*$H$4)*INDEX(Assumptions!$C$70:$E$70,$B$3)*INDEX(Assumptions!$C$71:$E$71,$B$3)</f>
        <v>8676.83664648452</v>
      </c>
      <c r="F68" s="8" t="n">
        <f aca="false">F59*(1+INDEX(Assumptions!$C$15:$E$15,$B$3)*$H$4)*INDEX(Assumptions!$C$76:$E$76,$B$3)+(F49+F50+F51)*(1+INDEX(Assumptions!$C$15:$E$15,$B$3)*$H$4)*INDEX(Assumptions!$C$70:$E$70,$B$3)*INDEX(Assumptions!$C$71:$E$71,$B$3)</f>
        <v>12151.1003017636</v>
      </c>
      <c r="G68" s="8" t="n">
        <f aca="false">G59*(1+INDEX(Assumptions!$C$15:$E$15,$B$3)*$H$4)*INDEX(Assumptions!$C$76:$E$76,$B$3)+(G49+G50+G51)*(1+INDEX(Assumptions!$C$15:$E$15,$B$3)*$H$4)*INDEX(Assumptions!$C$70:$E$70,$B$3)*INDEX(Assumptions!$C$71:$E$71,$B$3)</f>
        <v>15364.8942293809</v>
      </c>
      <c r="H68" s="8" t="n">
        <f aca="false">H59*(1+INDEX(Assumptions!$C$15:$E$15,$B$3)*$H$4)*INDEX(Assumptions!$C$76:$E$76,$B$3)+(H49+H50+H51)*(1+INDEX(Assumptions!$C$15:$E$15,$B$3)*$H$4)*INDEX(Assumptions!$C$70:$E$70,$B$3)*INDEX(Assumptions!$C$71:$E$71,$B$3)</f>
        <v>14331.7135168102</v>
      </c>
      <c r="I68" s="8" t="n">
        <f aca="false">I59*(1+INDEX(Assumptions!$C$15:$E$15,$B$3)*$H$4)*INDEX(Assumptions!$C$76:$E$76,$B$3)+(I49+I50+I51)*(1+INDEX(Assumptions!$C$15:$E$15,$B$3)*$H$4)*INDEX(Assumptions!$C$70:$E$70,$B$3)*INDEX(Assumptions!$C$71:$E$71,$B$3)</f>
        <v>33650.2787674431</v>
      </c>
      <c r="J68" s="8" t="n">
        <f aca="false">J59*(1+INDEX(Assumptions!$C$15:$E$15,$B$3)*$H$4)*INDEX(Assumptions!$C$76:$E$76,$B$3)+(J49+J50+J51)*(1+INDEX(Assumptions!$C$15:$E$15,$B$3)*$H$4)*INDEX(Assumptions!$C$70:$E$70,$B$3)*INDEX(Assumptions!$C$71:$E$71,$B$3)</f>
        <v>35429.12938116</v>
      </c>
      <c r="K68" s="8" t="n">
        <f aca="false">K59*(1+INDEX(Assumptions!$C$15:$E$15,$B$3)*$H$4)*INDEX(Assumptions!$C$76:$E$76,$B$3)+(K49+K50+K51)*(1+INDEX(Assumptions!$C$15:$E$15,$B$3)*$H$4)*INDEX(Assumptions!$C$70:$E$70,$B$3)*INDEX(Assumptions!$C$71:$E$71,$B$3)</f>
        <v>24935.8518446368</v>
      </c>
      <c r="L68" s="8" t="n">
        <f aca="false">L59*(1+INDEX(Assumptions!$C$15:$E$15,$B$3)*$H$4)*INDEX(Assumptions!$C$76:$E$76,$B$3)+(L49+L50+L51)*(1+INDEX(Assumptions!$C$15:$E$15,$B$3)*$H$4)*INDEX(Assumptions!$C$70:$E$70,$B$3)*INDEX(Assumptions!$C$71:$E$71,$B$3)</f>
        <v>29888.9567823733</v>
      </c>
      <c r="M68" s="8" t="n">
        <f aca="false">M59*(1+INDEX(Assumptions!$C$15:$E$15,$B$3)*$H$4)*INDEX(Assumptions!$C$76:$E$76,$B$3)+(M49+M50+M51)*(1+INDEX(Assumptions!$C$15:$E$15,$B$3)*$H$4)*INDEX(Assumptions!$C$70:$E$70,$B$3)*INDEX(Assumptions!$C$71:$E$71,$B$3)</f>
        <v>30928.2181877873</v>
      </c>
      <c r="N68" s="8" t="n">
        <f aca="false">N59*(1+INDEX(Assumptions!$C$15:$E$15,$B$3)*$H$4)*INDEX(Assumptions!$C$76:$E$76,$B$3)+(N49+N50+N51)*(1+INDEX(Assumptions!$C$15:$E$15,$B$3)*$H$4)*INDEX(Assumptions!$C$70:$E$70,$B$3)*INDEX(Assumptions!$C$71:$E$71,$B$3)</f>
        <v>30314.2060835272</v>
      </c>
      <c r="O68" s="37" t="n">
        <f aca="false">SUM(C68:N68)</f>
        <v>245760.998037645</v>
      </c>
      <c r="P68" s="2"/>
    </row>
    <row r="69" customFormat="false" ht="15" hidden="false" customHeight="false" outlineLevel="0" collapsed="false">
      <c r="A69" s="28" t="s">
        <v>1173</v>
      </c>
      <c r="C69" s="8" t="n">
        <f aca="false">C33*INDEX(Assumptions!$C$198:$E$198,$B$3)*INDEX(Assumptions!$C$69:$E$69,$B$3)</f>
        <v>1200</v>
      </c>
      <c r="D69" s="8" t="n">
        <f aca="false">D33*INDEX(Assumptions!$C$198:$E$198,$B$3)*INDEX(Assumptions!$C$69:$E$69,$B$3)</f>
        <v>1650.375</v>
      </c>
      <c r="E69" s="8" t="n">
        <f aca="false">E33*INDEX(Assumptions!$C$198:$E$198,$B$3)*INDEX(Assumptions!$C$69:$E$69,$B$3)</f>
        <v>2100</v>
      </c>
      <c r="F69" s="8" t="n">
        <f aca="false">F33*INDEX(Assumptions!$C$198:$E$198,$B$3)*INDEX(Assumptions!$C$69:$E$69,$B$3)</f>
        <v>3000</v>
      </c>
      <c r="G69" s="8" t="n">
        <f aca="false">G33*INDEX(Assumptions!$C$198:$E$198,$B$3)*INDEX(Assumptions!$C$69:$E$69,$B$3)</f>
        <v>4050</v>
      </c>
      <c r="H69" s="8" t="n">
        <f aca="false">H33*INDEX(Assumptions!$C$198:$E$198,$B$3)*INDEX(Assumptions!$C$69:$E$69,$B$3)</f>
        <v>3476.20292887029</v>
      </c>
      <c r="I69" s="8" t="n">
        <f aca="false">I33*INDEX(Assumptions!$C$198:$E$198,$B$3)*INDEX(Assumptions!$C$69:$E$69,$B$3)</f>
        <v>7800</v>
      </c>
      <c r="J69" s="8" t="n">
        <f aca="false">J33*INDEX(Assumptions!$C$198:$E$198,$B$3)*INDEX(Assumptions!$C$69:$E$69,$B$3)</f>
        <v>7794.62463951725</v>
      </c>
      <c r="K69" s="8" t="n">
        <f aca="false">K33*INDEX(Assumptions!$C$198:$E$198,$B$3)*INDEX(Assumptions!$C$69:$E$69,$B$3)</f>
        <v>4912.68777004092</v>
      </c>
      <c r="L69" s="8" t="n">
        <f aca="false">L33*INDEX(Assumptions!$C$198:$E$198,$B$3)*INDEX(Assumptions!$C$69:$E$69,$B$3)</f>
        <v>6267.38028955532</v>
      </c>
      <c r="M69" s="8" t="n">
        <f aca="false">M33*INDEX(Assumptions!$C$198:$E$198,$B$3)*INDEX(Assumptions!$C$69:$E$69,$B$3)</f>
        <v>6300</v>
      </c>
      <c r="N69" s="8" t="n">
        <f aca="false">N33*INDEX(Assumptions!$C$198:$E$198,$B$3)*INDEX(Assumptions!$C$69:$E$69,$B$3)</f>
        <v>6000</v>
      </c>
      <c r="O69" s="37" t="n">
        <f aca="false">SUM(C69:N69)</f>
        <v>54551.2706279838</v>
      </c>
      <c r="P69" s="2"/>
    </row>
    <row r="70" customFormat="false" ht="15" hidden="false" customHeight="false" outlineLevel="0" collapsed="false">
      <c r="A70" s="3" t="s">
        <v>1174</v>
      </c>
      <c r="C70" s="37" t="n">
        <f aca="false">SUM(C62:C69)</f>
        <v>31740.7930806754</v>
      </c>
      <c r="D70" s="37" t="n">
        <f aca="false">SUM(D62:D69)</f>
        <v>46460.7682775164</v>
      </c>
      <c r="E70" s="37" t="n">
        <f aca="false">SUM(E62:E69)</f>
        <v>65254.112162432</v>
      </c>
      <c r="F70" s="37" t="n">
        <f aca="false">SUM(F62:F69)</f>
        <v>92395.7081816886</v>
      </c>
      <c r="G70" s="37" t="n">
        <f aca="false">SUM(G62:G69)</f>
        <v>119925.91486728</v>
      </c>
      <c r="H70" s="37" t="n">
        <f aca="false">SUM(H62:H69)</f>
        <v>110588.540905005</v>
      </c>
      <c r="I70" s="37" t="n">
        <f aca="false">SUM(I62:I69)</f>
        <v>129450.502769892</v>
      </c>
      <c r="J70" s="37" t="n">
        <f aca="false">SUM(J62:J69)</f>
        <v>139413.497791932</v>
      </c>
      <c r="K70" s="37" t="n">
        <f aca="false">SUM(K62:K69)</f>
        <v>127789.245436969</v>
      </c>
      <c r="L70" s="37" t="n">
        <f aca="false">SUM(L62:L69)</f>
        <v>146701.254897091</v>
      </c>
      <c r="M70" s="37" t="n">
        <f aca="false">SUM(M62:M69)</f>
        <v>151630.051083096</v>
      </c>
      <c r="N70" s="37" t="n">
        <f aca="false">SUM(N62:N69)</f>
        <v>150125.421843377</v>
      </c>
      <c r="O70" s="31" t="n">
        <f aca="false">SUM(C70:N70)</f>
        <v>1311475.81129695</v>
      </c>
      <c r="P70" s="2"/>
    </row>
    <row r="71" customFormat="false" ht="15" hidden="false" customHeight="false" outlineLevel="0" collapsed="false">
      <c r="A71" s="3" t="s">
        <v>1175</v>
      </c>
      <c r="C71" s="37" t="n">
        <f aca="false">C59-C70</f>
        <v>108846.703354597</v>
      </c>
      <c r="D71" s="37" t="n">
        <f aca="false">D59-D70</f>
        <v>163576.662601119</v>
      </c>
      <c r="E71" s="37" t="n">
        <f aca="false">E59-E70</f>
        <v>252532.526099294</v>
      </c>
      <c r="F71" s="37" t="n">
        <f aca="false">F59-F70</f>
        <v>350272.556906492</v>
      </c>
      <c r="G71" s="37" t="n">
        <f aca="false">G59-G70</f>
        <v>425141.296601764</v>
      </c>
      <c r="H71" s="37" t="n">
        <f aca="false">H59-H70</f>
        <v>414063.804522323</v>
      </c>
      <c r="I71" s="37" t="n">
        <f aca="false">I59-I70</f>
        <v>982669.181548916</v>
      </c>
      <c r="J71" s="37" t="n">
        <f aca="false">J59-J70</f>
        <v>1033746.34877382</v>
      </c>
      <c r="K71" s="37" t="n">
        <f aca="false">K59-K70</f>
        <v>739286.133595977</v>
      </c>
      <c r="L71" s="37" t="n">
        <f aca="false">L59-L70</f>
        <v>876292.600780797</v>
      </c>
      <c r="M71" s="37" t="n">
        <f aca="false">M59-M70</f>
        <v>909799.517124316</v>
      </c>
      <c r="N71" s="37" t="n">
        <f aca="false">N59-N70</f>
        <v>901374.632332983</v>
      </c>
      <c r="O71" s="31" t="n">
        <f aca="false">SUM(C71:N71)</f>
        <v>7157601.9642424</v>
      </c>
      <c r="P71" s="2"/>
    </row>
    <row r="72" customFormat="false" ht="15" hidden="false" customHeight="false" outlineLevel="0" collapsed="false">
      <c r="A72" s="28" t="s">
        <v>759</v>
      </c>
      <c r="C72" s="7" t="n">
        <f aca="false">IFERROR(C71/C59,0)</f>
        <v>0.774227481920562</v>
      </c>
      <c r="D72" s="7" t="n">
        <f aca="false">IFERROR(D71/D59,0)</f>
        <v>0.778797673904312</v>
      </c>
      <c r="E72" s="7" t="n">
        <f aca="false">IFERROR(E71/E59,0)</f>
        <v>0.794660617201</v>
      </c>
      <c r="F72" s="7" t="n">
        <f aca="false">IFERROR(F71/F59,0)</f>
        <v>0.791275509295243</v>
      </c>
      <c r="G72" s="7" t="n">
        <f aca="false">IFERROR(G71/G59,0)</f>
        <v>0.779979583537854</v>
      </c>
      <c r="H72" s="7" t="n">
        <f aca="false">IFERROR(H71/H59,0)</f>
        <v>0.789215578908866</v>
      </c>
      <c r="I72" s="7" t="n">
        <f aca="false">IFERROR(I71/I59,0)</f>
        <v>0.883600205449845</v>
      </c>
      <c r="J72" s="7" t="n">
        <f aca="false">IFERROR(J71/J59,0)</f>
        <v>0.881164107175979</v>
      </c>
      <c r="K72" s="7" t="n">
        <f aca="false">IFERROR(K71/K59,0)</f>
        <v>0.852620373583329</v>
      </c>
      <c r="L72" s="7" t="n">
        <f aca="false">IFERROR(L71/L59,0)</f>
        <v>0.856596152476518</v>
      </c>
      <c r="M72" s="7" t="n">
        <f aca="false">IFERROR(M71/M59,0)</f>
        <v>0.857145442688981</v>
      </c>
      <c r="N72" s="7" t="n">
        <f aca="false">IFERROR(N71/N59,0)</f>
        <v>0.857227376026176</v>
      </c>
      <c r="O72" s="13" t="n">
        <f aca="false">IFERROR(O71/O59,0)</f>
        <v>0.845145381108106</v>
      </c>
      <c r="P72" s="2"/>
    </row>
    <row r="73" customFormat="false" ht="15" hidden="false" customHeight="false" outlineLevel="0" collapsed="false">
      <c r="A73" s="10" t="s">
        <v>1176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</row>
    <row r="74" customFormat="false" ht="15" hidden="false" customHeight="false" outlineLevel="0" collapsed="false">
      <c r="A74" s="28" t="s">
        <v>1177</v>
      </c>
      <c r="C74" s="8" t="n">
        <f aca="false">ROUNDUP(C35/(INDEX(Assumptions!$C$102:$E$102,$B$3)*$J$3),0)</f>
        <v>1</v>
      </c>
      <c r="D74" s="8" t="n">
        <f aca="false">ROUNDUP(D35/(INDEX(Assumptions!$C$102:$E$102,$B$3)*$J$3),0)</f>
        <v>1</v>
      </c>
      <c r="E74" s="8" t="n">
        <f aca="false">ROUNDUP(E35/(INDEX(Assumptions!$C$102:$E$102,$B$3)*$J$3),0)</f>
        <v>1</v>
      </c>
      <c r="F74" s="8" t="n">
        <f aca="false">ROUNDUP(F35/(INDEX(Assumptions!$C$102:$E$102,$B$3)*$J$3),0)</f>
        <v>1</v>
      </c>
      <c r="G74" s="8" t="n">
        <f aca="false">ROUNDUP(G35/(INDEX(Assumptions!$C$102:$E$102,$B$3)*$J$3),0)</f>
        <v>2</v>
      </c>
      <c r="H74" s="8" t="n">
        <f aca="false">ROUNDUP(H35/(INDEX(Assumptions!$C$102:$E$102,$B$3)*$J$3),0)</f>
        <v>2</v>
      </c>
      <c r="I74" s="8" t="n">
        <f aca="false">ROUNDUP(I35/(INDEX(Assumptions!$C$102:$E$102,$B$3)*$J$3),0)</f>
        <v>3</v>
      </c>
      <c r="J74" s="8" t="n">
        <f aca="false">ROUNDUP(J35/(INDEX(Assumptions!$C$102:$E$102,$B$3)*$J$3),0)</f>
        <v>3</v>
      </c>
      <c r="K74" s="8" t="n">
        <f aca="false">ROUNDUP(K35/(INDEX(Assumptions!$C$102:$E$102,$B$3)*$J$3),0)</f>
        <v>3</v>
      </c>
      <c r="L74" s="8" t="n">
        <f aca="false">ROUNDUP(L35/(INDEX(Assumptions!$C$102:$E$102,$B$3)*$J$3),0)</f>
        <v>3</v>
      </c>
      <c r="M74" s="8" t="n">
        <f aca="false">ROUNDUP(M35/(INDEX(Assumptions!$C$102:$E$102,$B$3)*$J$3),0)</f>
        <v>3</v>
      </c>
      <c r="N74" s="8" t="n">
        <f aca="false">ROUNDUP(N35/(INDEX(Assumptions!$C$102:$E$102,$B$3)*$J$3),0)</f>
        <v>3</v>
      </c>
      <c r="O74" s="37" t="n">
        <f aca="false">MAX(C74:N74)</f>
        <v>3</v>
      </c>
      <c r="P74" s="2"/>
    </row>
    <row r="75" customFormat="false" ht="15" hidden="false" customHeight="false" outlineLevel="0" collapsed="false">
      <c r="A75" s="28" t="s">
        <v>1178</v>
      </c>
      <c r="C75" s="6" t="n">
        <f aca="false">C74*(1-C11)</f>
        <v>0.0833333333333334</v>
      </c>
      <c r="D75" s="6" t="n">
        <f aca="false">D74*(1-D11)</f>
        <v>0.166666666666667</v>
      </c>
      <c r="E75" s="6" t="n">
        <f aca="false">E74*(1-E11)</f>
        <v>0.25</v>
      </c>
      <c r="F75" s="6" t="n">
        <f aca="false">F74*(1-F11)</f>
        <v>0.333333333333333</v>
      </c>
      <c r="G75" s="6" t="n">
        <f aca="false">G74*(1-G11)</f>
        <v>0.833333333333334</v>
      </c>
      <c r="H75" s="6" t="n">
        <f aca="false">H74*(1-H11)</f>
        <v>1</v>
      </c>
      <c r="I75" s="6" t="n">
        <f aca="false">I74*(1-I11)</f>
        <v>1.6</v>
      </c>
      <c r="J75" s="6" t="n">
        <f aca="false">J74*(1-J11)</f>
        <v>1.7</v>
      </c>
      <c r="K75" s="6" t="n">
        <f aca="false">K74*(1-K11)</f>
        <v>1.8</v>
      </c>
      <c r="L75" s="6" t="n">
        <f aca="false">L74*(1-L11)</f>
        <v>1.9</v>
      </c>
      <c r="M75" s="6" t="n">
        <f aca="false">M74*(1-M11)</f>
        <v>2</v>
      </c>
      <c r="N75" s="6" t="n">
        <f aca="false">N74*(1-N11)</f>
        <v>2.1</v>
      </c>
      <c r="O75" s="39" t="n">
        <f aca="false">MAX(C75:N75)</f>
        <v>2.1</v>
      </c>
      <c r="P75" s="2"/>
    </row>
    <row r="76" customFormat="false" ht="15" hidden="false" customHeight="false" outlineLevel="0" collapsed="false">
      <c r="A76" s="28" t="s">
        <v>1179</v>
      </c>
      <c r="C76" s="6" t="n">
        <f aca="false">IF(1&gt;=INDEX(Assumptions!$C$161:$E$161,$D$3),INDEX(Assumptions!$C$162:$E$162,$D$3),0)</f>
        <v>0</v>
      </c>
      <c r="D76" s="6" t="n">
        <f aca="false">IF(2&gt;=INDEX(Assumptions!$C$161:$E$161,$D$3),INDEX(Assumptions!$C$162:$E$162,$D$3),0)</f>
        <v>1</v>
      </c>
      <c r="E76" s="6" t="n">
        <f aca="false">IF(3&gt;=INDEX(Assumptions!$C$161:$E$161,$D$3),INDEX(Assumptions!$C$162:$E$162,$D$3),0)</f>
        <v>1</v>
      </c>
      <c r="F76" s="6" t="n">
        <f aca="false">IF(4&gt;=INDEX(Assumptions!$C$161:$E$161,$D$3),INDEX(Assumptions!$C$162:$E$162,$D$3),0)</f>
        <v>1</v>
      </c>
      <c r="G76" s="6" t="n">
        <f aca="false">IF(5&gt;=INDEX(Assumptions!$C$161:$E$161,$D$3),INDEX(Assumptions!$C$162:$E$162,$D$3),0)</f>
        <v>1</v>
      </c>
      <c r="H76" s="6" t="n">
        <f aca="false">IF(6&gt;=INDEX(Assumptions!$C$161:$E$161,$D$3),INDEX(Assumptions!$C$162:$E$162,$D$3),0)</f>
        <v>1</v>
      </c>
      <c r="I76" s="6" t="n">
        <f aca="false">IF(7&gt;=INDEX(Assumptions!$C$161:$E$161,$D$3),INDEX(Assumptions!$C$162:$E$162,$D$3),0)</f>
        <v>1</v>
      </c>
      <c r="J76" s="6" t="n">
        <f aca="false">IF(8&gt;=INDEX(Assumptions!$C$161:$E$161,$D$3),INDEX(Assumptions!$C$162:$E$162,$D$3),0)</f>
        <v>1</v>
      </c>
      <c r="K76" s="6" t="n">
        <f aca="false">IF(9&gt;=INDEX(Assumptions!$C$161:$E$161,$D$3),INDEX(Assumptions!$C$162:$E$162,$D$3),0)</f>
        <v>1</v>
      </c>
      <c r="L76" s="6" t="n">
        <f aca="false">IF(10&gt;=INDEX(Assumptions!$C$161:$E$161,$D$3),INDEX(Assumptions!$C$162:$E$162,$D$3),0)</f>
        <v>1</v>
      </c>
      <c r="M76" s="6" t="n">
        <f aca="false">IF(11&gt;=INDEX(Assumptions!$C$161:$E$161,$D$3),INDEX(Assumptions!$C$162:$E$162,$D$3),0)</f>
        <v>1</v>
      </c>
      <c r="N76" s="6" t="n">
        <f aca="false">IF(12&gt;=INDEX(Assumptions!$C$161:$E$161,$D$3),INDEX(Assumptions!$C$162:$E$162,$D$3),0)</f>
        <v>1</v>
      </c>
      <c r="O76" s="39" t="n">
        <f aca="false">N76</f>
        <v>1</v>
      </c>
      <c r="P76" s="2"/>
    </row>
    <row r="77" customFormat="false" ht="15" hidden="false" customHeight="false" outlineLevel="0" collapsed="false">
      <c r="A77" s="28" t="s">
        <v>1180</v>
      </c>
      <c r="C77" s="8" t="n">
        <f aca="false">IF(C76=0,0,MAX(0,ROUNDUP((C75-C76*INDEX(Assumptions!$C$101:$E$101,$B$3))/INDEX(Assumptions!$C$101:$E$101,$B$3)-0.1,0)))</f>
        <v>0</v>
      </c>
      <c r="D77" s="8" t="n">
        <f aca="false">IF(D76=0,0,MAX(0,ROUNDUP((D75-D76*INDEX(Assumptions!$C$101:$E$101,$B$3))/INDEX(Assumptions!$C$101:$E$101,$B$3)-0.1,0)))</f>
        <v>0</v>
      </c>
      <c r="E77" s="8" t="n">
        <f aca="false">IF(E76=0,0,MAX(0,ROUNDUP((E75-E76*INDEX(Assumptions!$C$101:$E$101,$B$3))/INDEX(Assumptions!$C$101:$E$101,$B$3)-0.1,0)))</f>
        <v>0</v>
      </c>
      <c r="F77" s="8" t="n">
        <f aca="false">IF(F76=0,0,MAX(0,ROUNDUP((F75-F76*INDEX(Assumptions!$C$101:$E$101,$B$3))/INDEX(Assumptions!$C$101:$E$101,$B$3)-0.1,0)))</f>
        <v>0</v>
      </c>
      <c r="G77" s="8" t="n">
        <f aca="false">IF(G76=0,0,MAX(0,ROUNDUP((G75-G76*INDEX(Assumptions!$C$101:$E$101,$B$3))/INDEX(Assumptions!$C$101:$E$101,$B$3)-0.1,0)))</f>
        <v>0</v>
      </c>
      <c r="H77" s="8" t="n">
        <f aca="false">IF(H76=0,0,MAX(0,ROUNDUP((H75-H76*INDEX(Assumptions!$C$101:$E$101,$B$3))/INDEX(Assumptions!$C$101:$E$101,$B$3)-0.1,0)))</f>
        <v>0</v>
      </c>
      <c r="I77" s="8" t="n">
        <f aca="false">IF(I76=0,0,MAX(0,ROUNDUP((I75-I76*INDEX(Assumptions!$C$101:$E$101,$B$3))/INDEX(Assumptions!$C$101:$E$101,$B$3)-0.1,0)))</f>
        <v>0</v>
      </c>
      <c r="J77" s="8" t="n">
        <f aca="false">IF(J76=0,0,MAX(0,ROUNDUP((J75-J76*INDEX(Assumptions!$C$101:$E$101,$B$3))/INDEX(Assumptions!$C$101:$E$101,$B$3)-0.1,0)))</f>
        <v>0</v>
      </c>
      <c r="K77" s="8" t="n">
        <f aca="false">IF(K76=0,0,MAX(0,ROUNDUP((K75-K76*INDEX(Assumptions!$C$101:$E$101,$B$3))/INDEX(Assumptions!$C$101:$E$101,$B$3)-0.1,0)))</f>
        <v>0</v>
      </c>
      <c r="L77" s="8" t="n">
        <f aca="false">IF(L76=0,0,MAX(0,ROUNDUP((L75-L76*INDEX(Assumptions!$C$101:$E$101,$B$3))/INDEX(Assumptions!$C$101:$E$101,$B$3)-0.1,0)))</f>
        <v>0</v>
      </c>
      <c r="M77" s="8" t="n">
        <f aca="false">IF(M76=0,0,MAX(0,ROUNDUP((M75-M76*INDEX(Assumptions!$C$101:$E$101,$B$3))/INDEX(Assumptions!$C$101:$E$101,$B$3)-0.1,0)))</f>
        <v>0</v>
      </c>
      <c r="N77" s="8" t="n">
        <f aca="false">IF(N76=0,0,MAX(0,ROUNDUP((N75-N76*INDEX(Assumptions!$C$101:$E$101,$B$3))/INDEX(Assumptions!$C$101:$E$101,$B$3)-0.1,0)))</f>
        <v>0</v>
      </c>
      <c r="O77" s="37" t="n">
        <f aca="false">MAX(C77:N77)</f>
        <v>0</v>
      </c>
      <c r="P77" s="2"/>
    </row>
    <row r="78" customFormat="false" ht="15" hidden="false" customHeight="false" outlineLevel="0" collapsed="false">
      <c r="A78" s="28" t="s">
        <v>1181</v>
      </c>
      <c r="C78" s="8" t="n">
        <f aca="false">ROUNDUP(C74/2,0)</f>
        <v>1</v>
      </c>
      <c r="D78" s="8" t="n">
        <f aca="false">ROUNDUP(D74/2,0)</f>
        <v>1</v>
      </c>
      <c r="E78" s="8" t="n">
        <f aca="false">ROUNDUP(E74/2,0)</f>
        <v>1</v>
      </c>
      <c r="F78" s="8" t="n">
        <f aca="false">ROUNDUP(F74/2,0)</f>
        <v>1</v>
      </c>
      <c r="G78" s="8" t="n">
        <f aca="false">ROUNDUP(G74/2,0)</f>
        <v>1</v>
      </c>
      <c r="H78" s="8" t="n">
        <f aca="false">ROUNDUP(H74/2,0)</f>
        <v>1</v>
      </c>
      <c r="I78" s="8" t="n">
        <f aca="false">ROUNDUP(I74/2,0)</f>
        <v>2</v>
      </c>
      <c r="J78" s="8" t="n">
        <f aca="false">ROUNDUP(J74/2,0)</f>
        <v>2</v>
      </c>
      <c r="K78" s="8" t="n">
        <f aca="false">ROUNDUP(K74/2,0)</f>
        <v>2</v>
      </c>
      <c r="L78" s="8" t="n">
        <f aca="false">ROUNDUP(L74/2,0)</f>
        <v>2</v>
      </c>
      <c r="M78" s="8" t="n">
        <f aca="false">ROUNDUP(M74/2,0)</f>
        <v>2</v>
      </c>
      <c r="N78" s="8" t="n">
        <f aca="false">ROUNDUP(N74/2,0)</f>
        <v>2</v>
      </c>
      <c r="O78" s="37" t="n">
        <f aca="false">MAX(C78:N78)</f>
        <v>2</v>
      </c>
      <c r="P78" s="2"/>
    </row>
    <row r="79" customFormat="false" ht="15" hidden="false" customHeight="false" outlineLevel="0" collapsed="false">
      <c r="A79" s="28" t="s">
        <v>1182</v>
      </c>
      <c r="C79" s="8" t="n">
        <f aca="false">C76*INDEX(Assumptions!$C$98:$E$98,$B$3)+C77*INDEX(Assumptions!$C$99:$E$99,$B$3)+C78*INDEX(Assumptions!$C$100:$E$100,$B$3)</f>
        <v>18000</v>
      </c>
      <c r="D79" s="8" t="n">
        <f aca="false">D76*INDEX(Assumptions!$C$98:$E$98,$B$3)+D77*INDEX(Assumptions!$C$99:$E$99,$B$3)+D78*INDEX(Assumptions!$C$100:$E$100,$B$3)</f>
        <v>78000</v>
      </c>
      <c r="E79" s="8" t="n">
        <f aca="false">E76*INDEX(Assumptions!$C$98:$E$98,$B$3)+E77*INDEX(Assumptions!$C$99:$E$99,$B$3)+E78*INDEX(Assumptions!$C$100:$E$100,$B$3)</f>
        <v>78000</v>
      </c>
      <c r="F79" s="8" t="n">
        <f aca="false">F76*INDEX(Assumptions!$C$98:$E$98,$B$3)+F77*INDEX(Assumptions!$C$99:$E$99,$B$3)+F78*INDEX(Assumptions!$C$100:$E$100,$B$3)</f>
        <v>78000</v>
      </c>
      <c r="G79" s="8" t="n">
        <f aca="false">G76*INDEX(Assumptions!$C$98:$E$98,$B$3)+G77*INDEX(Assumptions!$C$99:$E$99,$B$3)+G78*INDEX(Assumptions!$C$100:$E$100,$B$3)</f>
        <v>78000</v>
      </c>
      <c r="H79" s="8" t="n">
        <f aca="false">H76*INDEX(Assumptions!$C$98:$E$98,$B$3)+H77*INDEX(Assumptions!$C$99:$E$99,$B$3)+H78*INDEX(Assumptions!$C$100:$E$100,$B$3)</f>
        <v>78000</v>
      </c>
      <c r="I79" s="8" t="n">
        <f aca="false">I76*INDEX(Assumptions!$C$98:$E$98,$B$3)+I77*INDEX(Assumptions!$C$99:$E$99,$B$3)+I78*INDEX(Assumptions!$C$100:$E$100,$B$3)</f>
        <v>96000</v>
      </c>
      <c r="J79" s="8" t="n">
        <f aca="false">J76*INDEX(Assumptions!$C$98:$E$98,$B$3)+J77*INDEX(Assumptions!$C$99:$E$99,$B$3)+J78*INDEX(Assumptions!$C$100:$E$100,$B$3)</f>
        <v>96000</v>
      </c>
      <c r="K79" s="8" t="n">
        <f aca="false">K76*INDEX(Assumptions!$C$98:$E$98,$B$3)+K77*INDEX(Assumptions!$C$99:$E$99,$B$3)+K78*INDEX(Assumptions!$C$100:$E$100,$B$3)</f>
        <v>96000</v>
      </c>
      <c r="L79" s="8" t="n">
        <f aca="false">L76*INDEX(Assumptions!$C$98:$E$98,$B$3)+L77*INDEX(Assumptions!$C$99:$E$99,$B$3)+L78*INDEX(Assumptions!$C$100:$E$100,$B$3)</f>
        <v>96000</v>
      </c>
      <c r="M79" s="8" t="n">
        <f aca="false">M76*INDEX(Assumptions!$C$98:$E$98,$B$3)+M77*INDEX(Assumptions!$C$99:$E$99,$B$3)+M78*INDEX(Assumptions!$C$100:$E$100,$B$3)</f>
        <v>96000</v>
      </c>
      <c r="N79" s="8" t="n">
        <f aca="false">N76*INDEX(Assumptions!$C$98:$E$98,$B$3)+N77*INDEX(Assumptions!$C$99:$E$99,$B$3)+N78*INDEX(Assumptions!$C$100:$E$100,$B$3)</f>
        <v>96000</v>
      </c>
      <c r="O79" s="37" t="n">
        <f aca="false">SUM(C79:N79)</f>
        <v>984000</v>
      </c>
      <c r="P79" s="2"/>
    </row>
    <row r="80" customFormat="false" ht="15" hidden="false" customHeight="false" outlineLevel="0" collapsed="false">
      <c r="A80" s="28" t="s">
        <v>1183</v>
      </c>
      <c r="C80" s="8" t="n">
        <f aca="false">(IF(1&gt;=INDEX(Assumptions!$C$164:$E$164,$D$3),1,0)+IF(1&gt;=INDEX(Assumptions!$C$166:$E$166,$D$3),INDEX(Assumptions!$C$165:$E$165,$D$3),0))*INDEX(Assumptions!$C$108:$E$108,$D$3)</f>
        <v>25000</v>
      </c>
      <c r="D80" s="8" t="n">
        <f aca="false">(IF(2&gt;=INDEX(Assumptions!$C$164:$E$164,$D$3),1,0)+IF(2&gt;=INDEX(Assumptions!$C$166:$E$166,$D$3),INDEX(Assumptions!$C$165:$E$165,$D$3),0))*INDEX(Assumptions!$C$108:$E$108,$D$3)</f>
        <v>25000</v>
      </c>
      <c r="E80" s="8" t="n">
        <f aca="false">(IF(3&gt;=INDEX(Assumptions!$C$164:$E$164,$D$3),1,0)+IF(3&gt;=INDEX(Assumptions!$C$166:$E$166,$D$3),INDEX(Assumptions!$C$165:$E$165,$D$3),0))*INDEX(Assumptions!$C$108:$E$108,$D$3)</f>
        <v>25000</v>
      </c>
      <c r="F80" s="8" t="n">
        <f aca="false">(IF(4&gt;=INDEX(Assumptions!$C$164:$E$164,$D$3),1,0)+IF(4&gt;=INDEX(Assumptions!$C$166:$E$166,$D$3),INDEX(Assumptions!$C$165:$E$165,$D$3),0))*INDEX(Assumptions!$C$108:$E$108,$D$3)</f>
        <v>25000</v>
      </c>
      <c r="G80" s="8" t="n">
        <f aca="false">(IF(5&gt;=INDEX(Assumptions!$C$164:$E$164,$D$3),1,0)+IF(5&gt;=INDEX(Assumptions!$C$166:$E$166,$D$3),INDEX(Assumptions!$C$165:$E$165,$D$3),0))*INDEX(Assumptions!$C$108:$E$108,$D$3)</f>
        <v>25000</v>
      </c>
      <c r="H80" s="8" t="n">
        <f aca="false">(IF(6&gt;=INDEX(Assumptions!$C$164:$E$164,$D$3),1,0)+IF(6&gt;=INDEX(Assumptions!$C$166:$E$166,$D$3),INDEX(Assumptions!$C$165:$E$165,$D$3),0))*INDEX(Assumptions!$C$108:$E$108,$D$3)</f>
        <v>37500</v>
      </c>
      <c r="I80" s="8" t="n">
        <f aca="false">(IF(7&gt;=INDEX(Assumptions!$C$164:$E$164,$D$3),1,0)+IF(7&gt;=INDEX(Assumptions!$C$166:$E$166,$D$3),INDEX(Assumptions!$C$165:$E$165,$D$3),0))*INDEX(Assumptions!$C$108:$E$108,$D$3)</f>
        <v>37500</v>
      </c>
      <c r="J80" s="8" t="n">
        <f aca="false">(IF(8&gt;=INDEX(Assumptions!$C$164:$E$164,$D$3),1,0)+IF(8&gt;=INDEX(Assumptions!$C$166:$E$166,$D$3),INDEX(Assumptions!$C$165:$E$165,$D$3),0))*INDEX(Assumptions!$C$108:$E$108,$D$3)</f>
        <v>37500</v>
      </c>
      <c r="K80" s="8" t="n">
        <f aca="false">(IF(9&gt;=INDEX(Assumptions!$C$164:$E$164,$D$3),1,0)+IF(9&gt;=INDEX(Assumptions!$C$166:$E$166,$D$3),INDEX(Assumptions!$C$165:$E$165,$D$3),0))*INDEX(Assumptions!$C$108:$E$108,$D$3)</f>
        <v>37500</v>
      </c>
      <c r="L80" s="8" t="n">
        <f aca="false">(IF(10&gt;=INDEX(Assumptions!$C$164:$E$164,$D$3),1,0)+IF(10&gt;=INDEX(Assumptions!$C$166:$E$166,$D$3),INDEX(Assumptions!$C$165:$E$165,$D$3),0))*INDEX(Assumptions!$C$108:$E$108,$D$3)</f>
        <v>37500</v>
      </c>
      <c r="M80" s="8" t="n">
        <f aca="false">(IF(11&gt;=INDEX(Assumptions!$C$164:$E$164,$D$3),1,0)+IF(11&gt;=INDEX(Assumptions!$C$166:$E$166,$D$3),INDEX(Assumptions!$C$165:$E$165,$D$3),0))*INDEX(Assumptions!$C$108:$E$108,$D$3)</f>
        <v>37500</v>
      </c>
      <c r="N80" s="8" t="n">
        <f aca="false">(IF(12&gt;=INDEX(Assumptions!$C$164:$E$164,$D$3),1,0)+IF(12&gt;=INDEX(Assumptions!$C$166:$E$166,$D$3),INDEX(Assumptions!$C$165:$E$165,$D$3),0))*INDEX(Assumptions!$C$108:$E$108,$D$3)</f>
        <v>37500</v>
      </c>
      <c r="O80" s="37" t="n">
        <f aca="false">SUM(C80:N80)</f>
        <v>387500</v>
      </c>
      <c r="P80" s="2"/>
    </row>
    <row r="81" customFormat="false" ht="15" hidden="false" customHeight="false" outlineLevel="0" collapsed="false">
      <c r="A81" s="28" t="s">
        <v>1184</v>
      </c>
      <c r="C81" s="8" t="n">
        <f aca="false">IF(1&gt;=INDEX(Assumptions!$C$167:$E$167,$D$3),INDEX(Assumptions!$C$109:$E$109,$D$3),0)+INDEX(Assumptions!$C$110:$E$110,$D$3)+IF(1&gt;=INDEX(Assumptions!$C$168:$E$168,$D$3),INDEX(Assumptions!$C$111:$E$111,$D$3),0)+IF(1&gt;=INDEX(Assumptions!$C$169:$E$169,$D$3),INDEX(Assumptions!$C$113:$E$113,$D$3),0)</f>
        <v>20000</v>
      </c>
      <c r="D81" s="8" t="n">
        <f aca="false">IF(2&gt;=INDEX(Assumptions!$C$167:$E$167,$D$3),INDEX(Assumptions!$C$109:$E$109,$D$3),0)+INDEX(Assumptions!$C$110:$E$110,$D$3)+IF(2&gt;=INDEX(Assumptions!$C$168:$E$168,$D$3),INDEX(Assumptions!$C$111:$E$111,$D$3),0)+IF(2&gt;=INDEX(Assumptions!$C$169:$E$169,$D$3),INDEX(Assumptions!$C$113:$E$113,$D$3),0)</f>
        <v>75000</v>
      </c>
      <c r="E81" s="8" t="n">
        <f aca="false">IF(3&gt;=INDEX(Assumptions!$C$167:$E$167,$D$3),INDEX(Assumptions!$C$109:$E$109,$D$3),0)+INDEX(Assumptions!$C$110:$E$110,$D$3)+IF(3&gt;=INDEX(Assumptions!$C$168:$E$168,$D$3),INDEX(Assumptions!$C$111:$E$111,$D$3),0)+IF(3&gt;=INDEX(Assumptions!$C$169:$E$169,$D$3),INDEX(Assumptions!$C$113:$E$113,$D$3),0)</f>
        <v>90000</v>
      </c>
      <c r="F81" s="8" t="n">
        <f aca="false">IF(4&gt;=INDEX(Assumptions!$C$167:$E$167,$D$3),INDEX(Assumptions!$C$109:$E$109,$D$3),0)+INDEX(Assumptions!$C$110:$E$110,$D$3)+IF(4&gt;=INDEX(Assumptions!$C$168:$E$168,$D$3),INDEX(Assumptions!$C$111:$E$111,$D$3),0)+IF(4&gt;=INDEX(Assumptions!$C$169:$E$169,$D$3),INDEX(Assumptions!$C$113:$E$113,$D$3),0)</f>
        <v>90000</v>
      </c>
      <c r="G81" s="8" t="n">
        <f aca="false">IF(5&gt;=INDEX(Assumptions!$C$167:$E$167,$D$3),INDEX(Assumptions!$C$109:$E$109,$D$3),0)+INDEX(Assumptions!$C$110:$E$110,$D$3)+IF(5&gt;=INDEX(Assumptions!$C$168:$E$168,$D$3),INDEX(Assumptions!$C$111:$E$111,$D$3),0)+IF(5&gt;=INDEX(Assumptions!$C$169:$E$169,$D$3),INDEX(Assumptions!$C$113:$E$113,$D$3),0)</f>
        <v>90000</v>
      </c>
      <c r="H81" s="8" t="n">
        <f aca="false">IF(6&gt;=INDEX(Assumptions!$C$167:$E$167,$D$3),INDEX(Assumptions!$C$109:$E$109,$D$3),0)+INDEX(Assumptions!$C$110:$E$110,$D$3)+IF(6&gt;=INDEX(Assumptions!$C$168:$E$168,$D$3),INDEX(Assumptions!$C$111:$E$111,$D$3),0)+IF(6&gt;=INDEX(Assumptions!$C$169:$E$169,$D$3),INDEX(Assumptions!$C$113:$E$113,$D$3),0)</f>
        <v>90000</v>
      </c>
      <c r="I81" s="8" t="n">
        <f aca="false">IF(7&gt;=INDEX(Assumptions!$C$167:$E$167,$D$3),INDEX(Assumptions!$C$109:$E$109,$D$3),0)+INDEX(Assumptions!$C$110:$E$110,$D$3)+IF(7&gt;=INDEX(Assumptions!$C$168:$E$168,$D$3),INDEX(Assumptions!$C$111:$E$111,$D$3),0)+IF(7&gt;=INDEX(Assumptions!$C$169:$E$169,$D$3),INDEX(Assumptions!$C$113:$E$113,$D$3),0)</f>
        <v>90000</v>
      </c>
      <c r="J81" s="8" t="n">
        <f aca="false">IF(8&gt;=INDEX(Assumptions!$C$167:$E$167,$D$3),INDEX(Assumptions!$C$109:$E$109,$D$3),0)+INDEX(Assumptions!$C$110:$E$110,$D$3)+IF(8&gt;=INDEX(Assumptions!$C$168:$E$168,$D$3),INDEX(Assumptions!$C$111:$E$111,$D$3),0)+IF(8&gt;=INDEX(Assumptions!$C$169:$E$169,$D$3),INDEX(Assumptions!$C$113:$E$113,$D$3),0)</f>
        <v>90000</v>
      </c>
      <c r="K81" s="8" t="n">
        <f aca="false">IF(9&gt;=INDEX(Assumptions!$C$167:$E$167,$D$3),INDEX(Assumptions!$C$109:$E$109,$D$3),0)+INDEX(Assumptions!$C$110:$E$110,$D$3)+IF(9&gt;=INDEX(Assumptions!$C$168:$E$168,$D$3),INDEX(Assumptions!$C$111:$E$111,$D$3),0)+IF(9&gt;=INDEX(Assumptions!$C$169:$E$169,$D$3),INDEX(Assumptions!$C$113:$E$113,$D$3),0)</f>
        <v>90000</v>
      </c>
      <c r="L81" s="8" t="n">
        <f aca="false">IF(10&gt;=INDEX(Assumptions!$C$167:$E$167,$D$3),INDEX(Assumptions!$C$109:$E$109,$D$3),0)+INDEX(Assumptions!$C$110:$E$110,$D$3)+IF(10&gt;=INDEX(Assumptions!$C$168:$E$168,$D$3),INDEX(Assumptions!$C$111:$E$111,$D$3),0)+IF(10&gt;=INDEX(Assumptions!$C$169:$E$169,$D$3),INDEX(Assumptions!$C$113:$E$113,$D$3),0)</f>
        <v>90000</v>
      </c>
      <c r="M81" s="8" t="n">
        <f aca="false">IF(11&gt;=INDEX(Assumptions!$C$167:$E$167,$D$3),INDEX(Assumptions!$C$109:$E$109,$D$3),0)+INDEX(Assumptions!$C$110:$E$110,$D$3)+IF(11&gt;=INDEX(Assumptions!$C$168:$E$168,$D$3),INDEX(Assumptions!$C$111:$E$111,$D$3),0)+IF(11&gt;=INDEX(Assumptions!$C$169:$E$169,$D$3),INDEX(Assumptions!$C$113:$E$113,$D$3),0)</f>
        <v>90000</v>
      </c>
      <c r="N81" s="8" t="n">
        <f aca="false">IF(12&gt;=INDEX(Assumptions!$C$167:$E$167,$D$3),INDEX(Assumptions!$C$109:$E$109,$D$3),0)+INDEX(Assumptions!$C$110:$E$110,$D$3)+IF(12&gt;=INDEX(Assumptions!$C$168:$E$168,$D$3),INDEX(Assumptions!$C$111:$E$111,$D$3),0)+IF(12&gt;=INDEX(Assumptions!$C$169:$E$169,$D$3),INDEX(Assumptions!$C$113:$E$113,$D$3),0)</f>
        <v>90000</v>
      </c>
      <c r="O81" s="37" t="n">
        <f aca="false">SUM(C81:N81)</f>
        <v>995000</v>
      </c>
      <c r="P81" s="2"/>
    </row>
    <row r="82" customFormat="false" ht="15" hidden="false" customHeight="false" outlineLevel="0" collapsed="false">
      <c r="A82" s="28" t="s">
        <v>1185</v>
      </c>
      <c r="C82" s="8" t="n">
        <f aca="false">IF(1&gt;=INDEX(Assumptions!$C$173:$E$173,$D$3),INDEX(Assumptions!$C$185:$E$185,$D$3),0)</f>
        <v>0</v>
      </c>
      <c r="D82" s="8" t="n">
        <f aca="false">IF(2&gt;=INDEX(Assumptions!$C$173:$E$173,$D$3),INDEX(Assumptions!$C$185:$E$185,$D$3),0)</f>
        <v>0</v>
      </c>
      <c r="E82" s="8" t="n">
        <f aca="false">IF(3&gt;=INDEX(Assumptions!$C$173:$E$173,$D$3),INDEX(Assumptions!$C$185:$E$185,$D$3),0)</f>
        <v>0</v>
      </c>
      <c r="F82" s="8" t="n">
        <f aca="false">IF(4&gt;=INDEX(Assumptions!$C$173:$E$173,$D$3),INDEX(Assumptions!$C$185:$E$185,$D$3),0)</f>
        <v>0</v>
      </c>
      <c r="G82" s="8" t="n">
        <f aca="false">IF(5&gt;=INDEX(Assumptions!$C$173:$E$173,$D$3),INDEX(Assumptions!$C$185:$E$185,$D$3),0)</f>
        <v>0</v>
      </c>
      <c r="H82" s="8" t="n">
        <f aca="false">IF(6&gt;=INDEX(Assumptions!$C$173:$E$173,$D$3),INDEX(Assumptions!$C$185:$E$185,$D$3),0)</f>
        <v>0</v>
      </c>
      <c r="I82" s="8" t="n">
        <f aca="false">IF(7&gt;=INDEX(Assumptions!$C$173:$E$173,$D$3),INDEX(Assumptions!$C$185:$E$185,$D$3),0)</f>
        <v>18000</v>
      </c>
      <c r="J82" s="8" t="n">
        <f aca="false">IF(8&gt;=INDEX(Assumptions!$C$173:$E$173,$D$3),INDEX(Assumptions!$C$185:$E$185,$D$3),0)</f>
        <v>18000</v>
      </c>
      <c r="K82" s="8" t="n">
        <f aca="false">IF(9&gt;=INDEX(Assumptions!$C$173:$E$173,$D$3),INDEX(Assumptions!$C$185:$E$185,$D$3),0)</f>
        <v>18000</v>
      </c>
      <c r="L82" s="8" t="n">
        <f aca="false">IF(10&gt;=INDEX(Assumptions!$C$173:$E$173,$D$3),INDEX(Assumptions!$C$185:$E$185,$D$3),0)</f>
        <v>18000</v>
      </c>
      <c r="M82" s="8" t="n">
        <f aca="false">IF(11&gt;=INDEX(Assumptions!$C$173:$E$173,$D$3),INDEX(Assumptions!$C$185:$E$185,$D$3),0)</f>
        <v>18000</v>
      </c>
      <c r="N82" s="8" t="n">
        <f aca="false">IF(12&gt;=INDEX(Assumptions!$C$173:$E$173,$D$3),INDEX(Assumptions!$C$185:$E$185,$D$3),0)</f>
        <v>18000</v>
      </c>
      <c r="O82" s="37" t="n">
        <f aca="false">SUM(C82:N82)</f>
        <v>108000</v>
      </c>
      <c r="P82" s="2"/>
    </row>
    <row r="83" customFormat="false" ht="15" hidden="false" customHeight="false" outlineLevel="0" collapsed="false">
      <c r="A83" s="28" t="s">
        <v>1186</v>
      </c>
      <c r="C83" s="8" t="n">
        <f aca="false">IF(1&gt;=INDEX(Assumptions!$C$187:$E$187,$D$3),INDEX(Assumptions!$C$186:$E$186,$B$3),0)</f>
        <v>0</v>
      </c>
      <c r="D83" s="8" t="n">
        <f aca="false">IF(2&gt;=INDEX(Assumptions!$C$187:$E$187,$D$3),INDEX(Assumptions!$C$186:$E$186,$B$3),0)</f>
        <v>0</v>
      </c>
      <c r="E83" s="8" t="n">
        <f aca="false">IF(3&gt;=INDEX(Assumptions!$C$187:$E$187,$D$3),INDEX(Assumptions!$C$186:$E$186,$B$3),0)</f>
        <v>0</v>
      </c>
      <c r="F83" s="8" t="n">
        <f aca="false">IF(4&gt;=INDEX(Assumptions!$C$187:$E$187,$D$3),INDEX(Assumptions!$C$186:$E$186,$B$3),0)</f>
        <v>0</v>
      </c>
      <c r="G83" s="8" t="n">
        <f aca="false">IF(5&gt;=INDEX(Assumptions!$C$187:$E$187,$D$3),INDEX(Assumptions!$C$186:$E$186,$B$3),0)</f>
        <v>0</v>
      </c>
      <c r="H83" s="8" t="n">
        <f aca="false">IF(6&gt;=INDEX(Assumptions!$C$187:$E$187,$D$3),INDEX(Assumptions!$C$186:$E$186,$B$3),0)</f>
        <v>0</v>
      </c>
      <c r="I83" s="8" t="n">
        <f aca="false">IF(7&gt;=INDEX(Assumptions!$C$187:$E$187,$D$3),INDEX(Assumptions!$C$186:$E$186,$B$3),0)</f>
        <v>0</v>
      </c>
      <c r="J83" s="8" t="n">
        <f aca="false">IF(8&gt;=INDEX(Assumptions!$C$187:$E$187,$D$3),INDEX(Assumptions!$C$186:$E$186,$B$3),0)</f>
        <v>0</v>
      </c>
      <c r="K83" s="8" t="n">
        <f aca="false">IF(9&gt;=INDEX(Assumptions!$C$187:$E$187,$D$3),INDEX(Assumptions!$C$186:$E$186,$B$3),0)</f>
        <v>0</v>
      </c>
      <c r="L83" s="8" t="n">
        <f aca="false">IF(10&gt;=INDEX(Assumptions!$C$187:$E$187,$D$3),INDEX(Assumptions!$C$186:$E$186,$B$3),0)</f>
        <v>0</v>
      </c>
      <c r="M83" s="8" t="n">
        <f aca="false">IF(11&gt;=INDEX(Assumptions!$C$187:$E$187,$D$3),INDEX(Assumptions!$C$186:$E$186,$B$3),0)</f>
        <v>0</v>
      </c>
      <c r="N83" s="8" t="n">
        <f aca="false">IF(12&gt;=INDEX(Assumptions!$C$187:$E$187,$D$3),INDEX(Assumptions!$C$186:$E$186,$B$3),0)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3" t="s">
        <v>1187</v>
      </c>
      <c r="C84" s="37" t="n">
        <f aca="false">SUM(C79:C83)</f>
        <v>63000</v>
      </c>
      <c r="D84" s="37" t="n">
        <f aca="false">SUM(D79:D83)</f>
        <v>178000</v>
      </c>
      <c r="E84" s="37" t="n">
        <f aca="false">SUM(E79:E83)</f>
        <v>193000</v>
      </c>
      <c r="F84" s="37" t="n">
        <f aca="false">SUM(F79:F83)</f>
        <v>193000</v>
      </c>
      <c r="G84" s="37" t="n">
        <f aca="false">SUM(G79:G83)</f>
        <v>193000</v>
      </c>
      <c r="H84" s="37" t="n">
        <f aca="false">SUM(H79:H83)</f>
        <v>205500</v>
      </c>
      <c r="I84" s="37" t="n">
        <f aca="false">SUM(I79:I83)</f>
        <v>241500</v>
      </c>
      <c r="J84" s="37" t="n">
        <f aca="false">SUM(J79:J83)</f>
        <v>241500</v>
      </c>
      <c r="K84" s="37" t="n">
        <f aca="false">SUM(K79:K83)</f>
        <v>241500</v>
      </c>
      <c r="L84" s="37" t="n">
        <f aca="false">SUM(L79:L83)</f>
        <v>241500</v>
      </c>
      <c r="M84" s="37" t="n">
        <f aca="false">SUM(M79:M83)</f>
        <v>241500</v>
      </c>
      <c r="N84" s="37" t="n">
        <f aca="false">SUM(N79:N83)</f>
        <v>241500</v>
      </c>
      <c r="O84" s="31" t="n">
        <f aca="false">SUM(C84:N84)</f>
        <v>2474500</v>
      </c>
      <c r="P84" s="2"/>
    </row>
    <row r="85" customFormat="false" ht="15" hidden="false" customHeight="false" outlineLevel="0" collapsed="false">
      <c r="A85" s="10" t="s">
        <v>1188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</row>
    <row r="86" customFormat="false" ht="15" hidden="false" customHeight="false" outlineLevel="0" collapsed="false">
      <c r="A86" s="28" t="s">
        <v>1189</v>
      </c>
      <c r="C86" s="8" t="n">
        <f aca="false">IF(1&gt;=INDEX(Assumptions!$C$173:$E$173,$D$3),INDEX(Assumptions!$C$174:$E$174,$D$3)*INDEX(Assumptions!$C$175:$E$175,$B$3),INDEX(Assumptions!$C$179:$E$179,$B$3))*$F$4</f>
        <v>35000</v>
      </c>
      <c r="D86" s="8" t="n">
        <f aca="false">IF(2&gt;=INDEX(Assumptions!$C$173:$E$173,$D$3),INDEX(Assumptions!$C$174:$E$174,$D$3)*INDEX(Assumptions!$C$175:$E$175,$B$3),INDEX(Assumptions!$C$179:$E$179,$B$3))*$F$4</f>
        <v>35000</v>
      </c>
      <c r="E86" s="8" t="n">
        <f aca="false">IF(3&gt;=INDEX(Assumptions!$C$173:$E$173,$D$3),INDEX(Assumptions!$C$174:$E$174,$D$3)*INDEX(Assumptions!$C$175:$E$175,$B$3),INDEX(Assumptions!$C$179:$E$179,$B$3))*$F$4</f>
        <v>35000</v>
      </c>
      <c r="F86" s="8" t="n">
        <f aca="false">IF(4&gt;=INDEX(Assumptions!$C$173:$E$173,$D$3),INDEX(Assumptions!$C$174:$E$174,$D$3)*INDEX(Assumptions!$C$175:$E$175,$B$3),INDEX(Assumptions!$C$179:$E$179,$B$3))*$F$4</f>
        <v>35000</v>
      </c>
      <c r="G86" s="8" t="n">
        <f aca="false">IF(5&gt;=INDEX(Assumptions!$C$173:$E$173,$D$3),INDEX(Assumptions!$C$174:$E$174,$D$3)*INDEX(Assumptions!$C$175:$E$175,$B$3),INDEX(Assumptions!$C$179:$E$179,$B$3))*$F$4</f>
        <v>35000</v>
      </c>
      <c r="H86" s="8" t="n">
        <f aca="false">IF(6&gt;=INDEX(Assumptions!$C$173:$E$173,$D$3),INDEX(Assumptions!$C$174:$E$174,$D$3)*INDEX(Assumptions!$C$175:$E$175,$B$3),INDEX(Assumptions!$C$179:$E$179,$B$3))*$F$4</f>
        <v>35000</v>
      </c>
      <c r="I86" s="8" t="n">
        <f aca="false">IF(7&gt;=INDEX(Assumptions!$C$173:$E$173,$D$3),INDEX(Assumptions!$C$174:$E$174,$D$3)*INDEX(Assumptions!$C$175:$E$175,$B$3),INDEX(Assumptions!$C$179:$E$179,$B$3))*$F$4</f>
        <v>104000</v>
      </c>
      <c r="J86" s="8" t="n">
        <f aca="false">IF(8&gt;=INDEX(Assumptions!$C$173:$E$173,$D$3),INDEX(Assumptions!$C$174:$E$174,$D$3)*INDEX(Assumptions!$C$175:$E$175,$B$3),INDEX(Assumptions!$C$179:$E$179,$B$3))*$F$4</f>
        <v>104000</v>
      </c>
      <c r="K86" s="8" t="n">
        <f aca="false">IF(9&gt;=INDEX(Assumptions!$C$173:$E$173,$D$3),INDEX(Assumptions!$C$174:$E$174,$D$3)*INDEX(Assumptions!$C$175:$E$175,$B$3),INDEX(Assumptions!$C$179:$E$179,$B$3))*$F$4</f>
        <v>104000</v>
      </c>
      <c r="L86" s="8" t="n">
        <f aca="false">IF(10&gt;=INDEX(Assumptions!$C$173:$E$173,$D$3),INDEX(Assumptions!$C$174:$E$174,$D$3)*INDEX(Assumptions!$C$175:$E$175,$B$3),INDEX(Assumptions!$C$179:$E$179,$B$3))*$F$4</f>
        <v>104000</v>
      </c>
      <c r="M86" s="8" t="n">
        <f aca="false">IF(11&gt;=INDEX(Assumptions!$C$173:$E$173,$D$3),INDEX(Assumptions!$C$174:$E$174,$D$3)*INDEX(Assumptions!$C$175:$E$175,$B$3),INDEX(Assumptions!$C$179:$E$179,$B$3))*$F$4</f>
        <v>104000</v>
      </c>
      <c r="N86" s="8" t="n">
        <f aca="false">IF(12&gt;=INDEX(Assumptions!$C$173:$E$173,$D$3),INDEX(Assumptions!$C$174:$E$174,$D$3)*INDEX(Assumptions!$C$175:$E$175,$B$3),INDEX(Assumptions!$C$179:$E$179,$B$3))*$F$4</f>
        <v>104000</v>
      </c>
      <c r="O86" s="37" t="n">
        <f aca="false">SUM(C86:N86)</f>
        <v>834000</v>
      </c>
      <c r="P86" s="2"/>
    </row>
    <row r="87" customFormat="false" ht="15" hidden="false" customHeight="false" outlineLevel="0" collapsed="false">
      <c r="A87" s="28" t="s">
        <v>1190</v>
      </c>
      <c r="C87" s="8" t="n">
        <f aca="false">IF(1&gt;=INDEX(Assumptions!$C$173:$E$173,$D$3),INDEX(Assumptions!$C$174:$E$174,$D$3)*INDEX(Assumptions!$C$181:$E$181,$B$3),INDEX(Assumptions!$C$180:$E$180,$B$3))</f>
        <v>10000</v>
      </c>
      <c r="D87" s="8" t="n">
        <f aca="false">IF(2&gt;=INDEX(Assumptions!$C$173:$E$173,$D$3),INDEX(Assumptions!$C$174:$E$174,$D$3)*INDEX(Assumptions!$C$181:$E$181,$B$3),INDEX(Assumptions!$C$180:$E$180,$B$3))</f>
        <v>10000</v>
      </c>
      <c r="E87" s="8" t="n">
        <f aca="false">IF(3&gt;=INDEX(Assumptions!$C$173:$E$173,$D$3),INDEX(Assumptions!$C$174:$E$174,$D$3)*INDEX(Assumptions!$C$181:$E$181,$B$3),INDEX(Assumptions!$C$180:$E$180,$B$3))</f>
        <v>10000</v>
      </c>
      <c r="F87" s="8" t="n">
        <f aca="false">IF(4&gt;=INDEX(Assumptions!$C$173:$E$173,$D$3),INDEX(Assumptions!$C$174:$E$174,$D$3)*INDEX(Assumptions!$C$181:$E$181,$B$3),INDEX(Assumptions!$C$180:$E$180,$B$3))</f>
        <v>10000</v>
      </c>
      <c r="G87" s="8" t="n">
        <f aca="false">IF(5&gt;=INDEX(Assumptions!$C$173:$E$173,$D$3),INDEX(Assumptions!$C$174:$E$174,$D$3)*INDEX(Assumptions!$C$181:$E$181,$B$3),INDEX(Assumptions!$C$180:$E$180,$B$3))</f>
        <v>10000</v>
      </c>
      <c r="H87" s="8" t="n">
        <f aca="false">IF(6&gt;=INDEX(Assumptions!$C$173:$E$173,$D$3),INDEX(Assumptions!$C$174:$E$174,$D$3)*INDEX(Assumptions!$C$181:$E$181,$B$3),INDEX(Assumptions!$C$180:$E$180,$B$3))</f>
        <v>10000</v>
      </c>
      <c r="I87" s="8" t="n">
        <f aca="false">IF(7&gt;=INDEX(Assumptions!$C$173:$E$173,$D$3),INDEX(Assumptions!$C$174:$E$174,$D$3)*INDEX(Assumptions!$C$181:$E$181,$B$3),INDEX(Assumptions!$C$180:$E$180,$B$3))</f>
        <v>15600</v>
      </c>
      <c r="J87" s="8" t="n">
        <f aca="false">IF(8&gt;=INDEX(Assumptions!$C$173:$E$173,$D$3),INDEX(Assumptions!$C$174:$E$174,$D$3)*INDEX(Assumptions!$C$181:$E$181,$B$3),INDEX(Assumptions!$C$180:$E$180,$B$3))</f>
        <v>15600</v>
      </c>
      <c r="K87" s="8" t="n">
        <f aca="false">IF(9&gt;=INDEX(Assumptions!$C$173:$E$173,$D$3),INDEX(Assumptions!$C$174:$E$174,$D$3)*INDEX(Assumptions!$C$181:$E$181,$B$3),INDEX(Assumptions!$C$180:$E$180,$B$3))</f>
        <v>15600</v>
      </c>
      <c r="L87" s="8" t="n">
        <f aca="false">IF(10&gt;=INDEX(Assumptions!$C$173:$E$173,$D$3),INDEX(Assumptions!$C$174:$E$174,$D$3)*INDEX(Assumptions!$C$181:$E$181,$B$3),INDEX(Assumptions!$C$180:$E$180,$B$3))</f>
        <v>15600</v>
      </c>
      <c r="M87" s="8" t="n">
        <f aca="false">IF(11&gt;=INDEX(Assumptions!$C$173:$E$173,$D$3),INDEX(Assumptions!$C$174:$E$174,$D$3)*INDEX(Assumptions!$C$181:$E$181,$B$3),INDEX(Assumptions!$C$180:$E$180,$B$3))</f>
        <v>15600</v>
      </c>
      <c r="N87" s="8" t="n">
        <f aca="false">IF(12&gt;=INDEX(Assumptions!$C$173:$E$173,$D$3),INDEX(Assumptions!$C$174:$E$174,$D$3)*INDEX(Assumptions!$C$181:$E$181,$B$3),INDEX(Assumptions!$C$180:$E$180,$B$3))</f>
        <v>15600</v>
      </c>
      <c r="O87" s="37" t="n">
        <f aca="false">SUM(C87:N87)</f>
        <v>153600</v>
      </c>
      <c r="P87" s="2"/>
    </row>
    <row r="88" customFormat="false" ht="15" hidden="false" customHeight="false" outlineLevel="0" collapsed="false">
      <c r="A88" s="28" t="s">
        <v>1191</v>
      </c>
      <c r="C88" s="8" t="n">
        <f aca="false">INDEX(Assumptions!$C$107:$E$107,$D$3)+IF(1&gt;=INDEX(Assumptions!$C$189:$E$189,$D$3)-1,INDEX(Assumptions!$C$188:$E$188,$D$3),0)</f>
        <v>18000</v>
      </c>
      <c r="D88" s="8" t="n">
        <f aca="false">INDEX(Assumptions!$C$107:$E$107,$D$3)+IF(2&gt;=INDEX(Assumptions!$C$189:$E$189,$D$3)-1,INDEX(Assumptions!$C$188:$E$188,$D$3),0)</f>
        <v>18000</v>
      </c>
      <c r="E88" s="8" t="n">
        <f aca="false">INDEX(Assumptions!$C$107:$E$107,$D$3)+IF(3&gt;=INDEX(Assumptions!$C$189:$E$189,$D$3)-1,INDEX(Assumptions!$C$188:$E$188,$D$3),0)</f>
        <v>18000</v>
      </c>
      <c r="F88" s="8" t="n">
        <f aca="false">INDEX(Assumptions!$C$107:$E$107,$D$3)+IF(4&gt;=INDEX(Assumptions!$C$189:$E$189,$D$3)-1,INDEX(Assumptions!$C$188:$E$188,$D$3),0)</f>
        <v>18000</v>
      </c>
      <c r="G88" s="8" t="n">
        <f aca="false">INDEX(Assumptions!$C$107:$E$107,$D$3)+IF(5&gt;=INDEX(Assumptions!$C$189:$E$189,$D$3)-1,INDEX(Assumptions!$C$188:$E$188,$D$3),0)</f>
        <v>18000</v>
      </c>
      <c r="H88" s="8" t="n">
        <f aca="false">INDEX(Assumptions!$C$107:$E$107,$D$3)+IF(6&gt;=INDEX(Assumptions!$C$189:$E$189,$D$3)-1,INDEX(Assumptions!$C$188:$E$188,$D$3),0)</f>
        <v>18000</v>
      </c>
      <c r="I88" s="8" t="n">
        <f aca="false">INDEX(Assumptions!$C$107:$E$107,$D$3)+IF(7&gt;=INDEX(Assumptions!$C$189:$E$189,$D$3)-1,INDEX(Assumptions!$C$188:$E$188,$D$3),0)</f>
        <v>18000</v>
      </c>
      <c r="J88" s="8" t="n">
        <f aca="false">INDEX(Assumptions!$C$107:$E$107,$D$3)+IF(8&gt;=INDEX(Assumptions!$C$189:$E$189,$D$3)-1,INDEX(Assumptions!$C$188:$E$188,$D$3),0)</f>
        <v>18000</v>
      </c>
      <c r="K88" s="8" t="n">
        <f aca="false">INDEX(Assumptions!$C$107:$E$107,$D$3)+IF(9&gt;=INDEX(Assumptions!$C$189:$E$189,$D$3)-1,INDEX(Assumptions!$C$188:$E$188,$D$3),0)</f>
        <v>23000</v>
      </c>
      <c r="L88" s="8" t="n">
        <f aca="false">INDEX(Assumptions!$C$107:$E$107,$D$3)+IF(10&gt;=INDEX(Assumptions!$C$189:$E$189,$D$3)-1,INDEX(Assumptions!$C$188:$E$188,$D$3),0)</f>
        <v>23000</v>
      </c>
      <c r="M88" s="8" t="n">
        <f aca="false">INDEX(Assumptions!$C$107:$E$107,$D$3)+IF(11&gt;=INDEX(Assumptions!$C$189:$E$189,$D$3)-1,INDEX(Assumptions!$C$188:$E$188,$D$3),0)</f>
        <v>23000</v>
      </c>
      <c r="N88" s="8" t="n">
        <f aca="false">INDEX(Assumptions!$C$107:$E$107,$D$3)+IF(12&gt;=INDEX(Assumptions!$C$189:$E$189,$D$3)-1,INDEX(Assumptions!$C$188:$E$188,$D$3),0)</f>
        <v>23000</v>
      </c>
      <c r="O88" s="37" t="n">
        <f aca="false">SUM(C88:N88)</f>
        <v>236000</v>
      </c>
      <c r="P88" s="2"/>
    </row>
    <row r="89" customFormat="false" ht="15" hidden="false" customHeight="false" outlineLevel="0" collapsed="false">
      <c r="A89" s="28" t="s">
        <v>1192</v>
      </c>
      <c r="C89" s="8" t="n">
        <f aca="false">C17</f>
        <v>15000</v>
      </c>
      <c r="D89" s="8" t="n">
        <f aca="false">D17</f>
        <v>40000</v>
      </c>
      <c r="E89" s="8" t="n">
        <f aca="false">E17</f>
        <v>50000</v>
      </c>
      <c r="F89" s="8" t="n">
        <f aca="false">F17</f>
        <v>60000</v>
      </c>
      <c r="G89" s="8" t="n">
        <f aca="false">G17</f>
        <v>80000</v>
      </c>
      <c r="H89" s="8" t="n">
        <f aca="false">H17</f>
        <v>90000</v>
      </c>
      <c r="I89" s="8" t="n">
        <f aca="false">I17</f>
        <v>100000</v>
      </c>
      <c r="J89" s="8" t="n">
        <f aca="false">J17</f>
        <v>100000</v>
      </c>
      <c r="K89" s="8" t="n">
        <f aca="false">K17</f>
        <v>100000</v>
      </c>
      <c r="L89" s="8" t="n">
        <f aca="false">L17</f>
        <v>100000</v>
      </c>
      <c r="M89" s="8" t="n">
        <f aca="false">M17</f>
        <v>100000</v>
      </c>
      <c r="N89" s="8" t="n">
        <f aca="false">N17</f>
        <v>100000</v>
      </c>
      <c r="O89" s="37" t="n">
        <f aca="false">SUM(C89:N89)</f>
        <v>935000</v>
      </c>
      <c r="P89" s="2"/>
    </row>
    <row r="90" customFormat="false" ht="15" hidden="false" customHeight="false" outlineLevel="0" collapsed="false">
      <c r="A90" s="28" t="s">
        <v>1193</v>
      </c>
      <c r="C90" s="8" t="n">
        <f aca="false">INDEX(Assumptions!$C$170:$E$170,$D$3)</f>
        <v>15833</v>
      </c>
      <c r="D90" s="8" t="n">
        <f aca="false">INDEX(Assumptions!$C$170:$E$170,$D$3)</f>
        <v>15833</v>
      </c>
      <c r="E90" s="8" t="n">
        <f aca="false">INDEX(Assumptions!$C$170:$E$170,$D$3)</f>
        <v>15833</v>
      </c>
      <c r="F90" s="8" t="n">
        <f aca="false">INDEX(Assumptions!$C$170:$E$170,$D$3)</f>
        <v>15833</v>
      </c>
      <c r="G90" s="8" t="n">
        <f aca="false">INDEX(Assumptions!$C$170:$E$170,$D$3)</f>
        <v>15833</v>
      </c>
      <c r="H90" s="8" t="n">
        <f aca="false">INDEX(Assumptions!$C$170:$E$170,$D$3)</f>
        <v>15833</v>
      </c>
      <c r="I90" s="8" t="n">
        <f aca="false">INDEX(Assumptions!$C$170:$E$170,$D$3)</f>
        <v>15833</v>
      </c>
      <c r="J90" s="8" t="n">
        <f aca="false">INDEX(Assumptions!$C$170:$E$170,$D$3)</f>
        <v>15833</v>
      </c>
      <c r="K90" s="8" t="n">
        <f aca="false">INDEX(Assumptions!$C$170:$E$170,$D$3)</f>
        <v>15833</v>
      </c>
      <c r="L90" s="8" t="n">
        <f aca="false">INDEX(Assumptions!$C$170:$E$170,$D$3)</f>
        <v>15833</v>
      </c>
      <c r="M90" s="8" t="n">
        <f aca="false">INDEX(Assumptions!$C$170:$E$170,$D$3)</f>
        <v>15833</v>
      </c>
      <c r="N90" s="8" t="n">
        <f aca="false">INDEX(Assumptions!$C$170:$E$170,$D$3)</f>
        <v>15833</v>
      </c>
      <c r="O90" s="37" t="n">
        <f aca="false">SUM(C90:N90)</f>
        <v>189996</v>
      </c>
      <c r="P90" s="2"/>
    </row>
    <row r="91" customFormat="false" ht="15" hidden="false" customHeight="false" outlineLevel="0" collapsed="false">
      <c r="A91" s="28" t="s">
        <v>1194</v>
      </c>
      <c r="C91" s="8" t="n">
        <f aca="false">INDEX(Assumptions!$C$195:$E$195,$D$3)</f>
        <v>15000</v>
      </c>
      <c r="D91" s="8" t="n">
        <f aca="false">INDEX(Assumptions!$C$195:$E$195,$D$3)</f>
        <v>15000</v>
      </c>
      <c r="E91" s="8" t="n">
        <f aca="false">INDEX(Assumptions!$C$195:$E$195,$D$3)</f>
        <v>15000</v>
      </c>
      <c r="F91" s="8" t="n">
        <f aca="false">INDEX(Assumptions!$C$195:$E$195,$D$3)</f>
        <v>15000</v>
      </c>
      <c r="G91" s="8" t="n">
        <f aca="false">INDEX(Assumptions!$C$195:$E$195,$D$3)</f>
        <v>15000</v>
      </c>
      <c r="H91" s="8" t="n">
        <f aca="false">INDEX(Assumptions!$C$195:$E$195,$D$3)</f>
        <v>15000</v>
      </c>
      <c r="I91" s="8" t="n">
        <f aca="false">INDEX(Assumptions!$C$195:$E$195,$D$3)</f>
        <v>15000</v>
      </c>
      <c r="J91" s="8" t="n">
        <f aca="false">INDEX(Assumptions!$C$195:$E$195,$D$3)</f>
        <v>15000</v>
      </c>
      <c r="K91" s="8" t="n">
        <f aca="false">INDEX(Assumptions!$C$195:$E$195,$D$3)</f>
        <v>15000</v>
      </c>
      <c r="L91" s="8" t="n">
        <f aca="false">INDEX(Assumptions!$C$195:$E$195,$D$3)</f>
        <v>15000</v>
      </c>
      <c r="M91" s="8" t="n">
        <f aca="false">INDEX(Assumptions!$C$195:$E$195,$D$3)</f>
        <v>15000</v>
      </c>
      <c r="N91" s="8" t="n">
        <f aca="false">INDEX(Assumptions!$C$195:$E$195,$D$3)</f>
        <v>15000</v>
      </c>
      <c r="O91" s="37" t="n">
        <f aca="false">SUM(C91:N91)</f>
        <v>180000</v>
      </c>
      <c r="P91" s="2"/>
    </row>
    <row r="92" customFormat="false" ht="15" hidden="false" customHeight="false" outlineLevel="0" collapsed="false">
      <c r="A92" s="28" t="s">
        <v>1195</v>
      </c>
      <c r="C92" s="8" t="n">
        <f aca="false">IF(1=1,INDEX(Assumptions!$C$112:$E$112,$D$3),0)+IF(1=3,INDEX(Assumptions!$C$196:$E$196,$D$3),0)</f>
        <v>120000</v>
      </c>
      <c r="D92" s="8" t="n">
        <f aca="false">IF(2=1,INDEX(Assumptions!$C$112:$E$112,$D$3),0)+IF(2=3,INDEX(Assumptions!$C$196:$E$196,$D$3),0)</f>
        <v>0</v>
      </c>
      <c r="E92" s="8" t="n">
        <f aca="false">IF(3=1,INDEX(Assumptions!$C$112:$E$112,$D$3),0)+IF(3=3,INDEX(Assumptions!$C$196:$E$196,$D$3),0)</f>
        <v>150000</v>
      </c>
      <c r="F92" s="8" t="n">
        <f aca="false">IF(4=1,INDEX(Assumptions!$C$112:$E$112,$D$3),0)+IF(4=3,INDEX(Assumptions!$C$196:$E$196,$D$3),0)</f>
        <v>0</v>
      </c>
      <c r="G92" s="8" t="n">
        <f aca="false">IF(5=1,INDEX(Assumptions!$C$112:$E$112,$D$3),0)+IF(5=3,INDEX(Assumptions!$C$196:$E$196,$D$3),0)</f>
        <v>0</v>
      </c>
      <c r="H92" s="8" t="n">
        <f aca="false">IF(6=1,INDEX(Assumptions!$C$112:$E$112,$D$3),0)+IF(6=3,INDEX(Assumptions!$C$196:$E$196,$D$3),0)</f>
        <v>0</v>
      </c>
      <c r="I92" s="8" t="n">
        <f aca="false">IF(7=1,INDEX(Assumptions!$C$112:$E$112,$D$3),0)+IF(7=3,INDEX(Assumptions!$C$196:$E$196,$D$3),0)</f>
        <v>0</v>
      </c>
      <c r="J92" s="8" t="n">
        <f aca="false">IF(8=1,INDEX(Assumptions!$C$112:$E$112,$D$3),0)+IF(8=3,INDEX(Assumptions!$C$196:$E$196,$D$3),0)</f>
        <v>0</v>
      </c>
      <c r="K92" s="8" t="n">
        <f aca="false">IF(9=1,INDEX(Assumptions!$C$112:$E$112,$D$3),0)+IF(9=3,INDEX(Assumptions!$C$196:$E$196,$D$3),0)</f>
        <v>0</v>
      </c>
      <c r="L92" s="8" t="n">
        <f aca="false">IF(10=1,INDEX(Assumptions!$C$112:$E$112,$D$3),0)+IF(10=3,INDEX(Assumptions!$C$196:$E$196,$D$3),0)</f>
        <v>0</v>
      </c>
      <c r="M92" s="8" t="n">
        <f aca="false">IF(11=1,INDEX(Assumptions!$C$112:$E$112,$D$3),0)+IF(11=3,INDEX(Assumptions!$C$196:$E$196,$D$3),0)</f>
        <v>0</v>
      </c>
      <c r="N92" s="8" t="n">
        <f aca="false">IF(12=1,INDEX(Assumptions!$C$112:$E$112,$D$3),0)+IF(12=3,INDEX(Assumptions!$C$196:$E$196,$D$3),0)</f>
        <v>0</v>
      </c>
      <c r="O92" s="37" t="n">
        <f aca="false">SUM(C92:N92)</f>
        <v>270000</v>
      </c>
      <c r="P92" s="2"/>
    </row>
    <row r="93" customFormat="false" ht="15" hidden="false" customHeight="false" outlineLevel="0" collapsed="false">
      <c r="A93" s="3" t="s">
        <v>1196</v>
      </c>
      <c r="C93" s="37" t="n">
        <f aca="false">C84+SUM(C86:C92)</f>
        <v>291833</v>
      </c>
      <c r="D93" s="37" t="n">
        <f aca="false">D84+SUM(D86:D92)</f>
        <v>311833</v>
      </c>
      <c r="E93" s="37" t="n">
        <f aca="false">E84+SUM(E86:E92)</f>
        <v>486833</v>
      </c>
      <c r="F93" s="37" t="n">
        <f aca="false">F84+SUM(F86:F92)</f>
        <v>346833</v>
      </c>
      <c r="G93" s="37" t="n">
        <f aca="false">G84+SUM(G86:G92)</f>
        <v>366833</v>
      </c>
      <c r="H93" s="37" t="n">
        <f aca="false">H84+SUM(H86:H92)</f>
        <v>389333</v>
      </c>
      <c r="I93" s="37" t="n">
        <f aca="false">I84+SUM(I86:I92)</f>
        <v>509933</v>
      </c>
      <c r="J93" s="37" t="n">
        <f aca="false">J84+SUM(J86:J92)</f>
        <v>509933</v>
      </c>
      <c r="K93" s="37" t="n">
        <f aca="false">K84+SUM(K86:K92)</f>
        <v>514933</v>
      </c>
      <c r="L93" s="37" t="n">
        <f aca="false">L84+SUM(L86:L92)</f>
        <v>514933</v>
      </c>
      <c r="M93" s="37" t="n">
        <f aca="false">M84+SUM(M86:M92)</f>
        <v>514933</v>
      </c>
      <c r="N93" s="37" t="n">
        <f aca="false">N84+SUM(N86:N92)</f>
        <v>514933</v>
      </c>
      <c r="O93" s="31" t="n">
        <f aca="false">SUM(C93:N93)</f>
        <v>5273096</v>
      </c>
      <c r="P93" s="2"/>
    </row>
    <row r="94" customFormat="false" ht="15" hidden="false" customHeight="false" outlineLevel="0" collapsed="false">
      <c r="A94" s="3" t="s">
        <v>64</v>
      </c>
      <c r="C94" s="37" t="n">
        <f aca="false">C71-C93</f>
        <v>-182986.296645403</v>
      </c>
      <c r="D94" s="37" t="n">
        <f aca="false">D71-D93</f>
        <v>-148256.337398881</v>
      </c>
      <c r="E94" s="37" t="n">
        <f aca="false">E71-E93</f>
        <v>-234300.473900706</v>
      </c>
      <c r="F94" s="37" t="n">
        <f aca="false">F71-F93</f>
        <v>3439.55690649152</v>
      </c>
      <c r="G94" s="37" t="n">
        <f aca="false">G71-G93</f>
        <v>58308.2966017636</v>
      </c>
      <c r="H94" s="37" t="n">
        <f aca="false">H71-H93</f>
        <v>24730.8045223225</v>
      </c>
      <c r="I94" s="37" t="n">
        <f aca="false">I71-I93</f>
        <v>472736.181548916</v>
      </c>
      <c r="J94" s="37" t="n">
        <f aca="false">J71-J93</f>
        <v>523813.348773819</v>
      </c>
      <c r="K94" s="37" t="n">
        <f aca="false">K71-K93</f>
        <v>224353.133595977</v>
      </c>
      <c r="L94" s="37" t="n">
        <f aca="false">L71-L93</f>
        <v>361359.600780797</v>
      </c>
      <c r="M94" s="37" t="n">
        <f aca="false">M71-M93</f>
        <v>394866.517124316</v>
      </c>
      <c r="N94" s="37" t="n">
        <f aca="false">N71-N93</f>
        <v>386441.632332983</v>
      </c>
      <c r="O94" s="31" t="n">
        <f aca="false">SUM(C94:N94)</f>
        <v>1884505.96424239</v>
      </c>
      <c r="P94" s="2"/>
    </row>
    <row r="95" customFormat="false" ht="15" hidden="false" customHeight="false" outlineLevel="0" collapsed="false">
      <c r="A95" s="28" t="s">
        <v>65</v>
      </c>
      <c r="C95" s="7" t="n">
        <f aca="false">IFERROR(C94/C59,0)</f>
        <v>-1.30158300905267</v>
      </c>
      <c r="D95" s="7" t="n">
        <f aca="false">IFERROR(D94/D59,0)</f>
        <v>-0.70585674552717</v>
      </c>
      <c r="E95" s="7" t="n">
        <f aca="false">IFERROR(E94/E59,0)</f>
        <v>-0.73728862604896</v>
      </c>
      <c r="F95" s="7" t="n">
        <f aca="false">IFERROR(F94/F59,0)</f>
        <v>0.00777005531626794</v>
      </c>
      <c r="G95" s="7" t="n">
        <f aca="false">IFERROR(G94/G59,0)</f>
        <v>0.106974507684315</v>
      </c>
      <c r="H95" s="7" t="n">
        <f aca="false">IFERROR(H94/H59,0)</f>
        <v>0.0471375087481584</v>
      </c>
      <c r="I95" s="7" t="n">
        <f aca="false">IFERROR(I94/I59,0)</f>
        <v>0.425076714507103</v>
      </c>
      <c r="J95" s="7" t="n">
        <f aca="false">IFERROR(J94/J59,0)</f>
        <v>0.446497849638482</v>
      </c>
      <c r="K95" s="7" t="n">
        <f aca="false">IFERROR(K94/K59,0)</f>
        <v>0.258746977507537</v>
      </c>
      <c r="L95" s="7" t="n">
        <f aca="false">IFERROR(L94/L59,0)</f>
        <v>0.353237312985953</v>
      </c>
      <c r="M95" s="7" t="n">
        <f aca="false">IFERROR(M94/M59,0)</f>
        <v>0.372013865970573</v>
      </c>
      <c r="N95" s="7" t="n">
        <f aca="false">IFERROR(N94/N59,0)</f>
        <v>0.367514610007018</v>
      </c>
      <c r="O95" s="7" t="n">
        <f aca="false">IFERROR(O94/O59,0)</f>
        <v>0.222516077215076</v>
      </c>
      <c r="P95" s="2"/>
    </row>
    <row r="96" customFormat="false" ht="15" hidden="false" customHeight="false" outlineLevel="0" collapsed="false">
      <c r="A96" s="28" t="s">
        <v>1197</v>
      </c>
      <c r="C96" s="8" t="n">
        <f aca="false">C94-INDEX(Assumptions!$C$163:$E$163,$B$3)</f>
        <v>-257986.296645403</v>
      </c>
      <c r="D96" s="8" t="n">
        <f aca="false">D94-INDEX(Assumptions!$C$163:$E$163,$B$3)</f>
        <v>-223256.337398881</v>
      </c>
      <c r="E96" s="8" t="n">
        <f aca="false">E94-INDEX(Assumptions!$C$163:$E$163,$B$3)</f>
        <v>-309300.473900706</v>
      </c>
      <c r="F96" s="8" t="n">
        <f aca="false">F94-INDEX(Assumptions!$C$163:$E$163,$B$3)</f>
        <v>-71560.4430935085</v>
      </c>
      <c r="G96" s="8" t="n">
        <f aca="false">G94-INDEX(Assumptions!$C$163:$E$163,$B$3)</f>
        <v>-16691.7033982364</v>
      </c>
      <c r="H96" s="8" t="n">
        <f aca="false">H94-INDEX(Assumptions!$C$163:$E$163,$B$3)</f>
        <v>-50269.1954776775</v>
      </c>
      <c r="I96" s="8" t="n">
        <f aca="false">I94-INDEX(Assumptions!$C$163:$E$163,$B$3)</f>
        <v>397736.181548916</v>
      </c>
      <c r="J96" s="8" t="n">
        <f aca="false">J94-INDEX(Assumptions!$C$163:$E$163,$B$3)</f>
        <v>448813.348773819</v>
      </c>
      <c r="K96" s="8" t="n">
        <f aca="false">K94-INDEX(Assumptions!$C$163:$E$163,$B$3)</f>
        <v>149353.133595977</v>
      </c>
      <c r="L96" s="8" t="n">
        <f aca="false">L94-INDEX(Assumptions!$C$163:$E$163,$B$3)</f>
        <v>286359.600780797</v>
      </c>
      <c r="M96" s="8" t="n">
        <f aca="false">M94-INDEX(Assumptions!$C$163:$E$163,$B$3)</f>
        <v>319866.517124316</v>
      </c>
      <c r="N96" s="8" t="n">
        <f aca="false">N94-INDEX(Assumptions!$C$163:$E$163,$B$3)</f>
        <v>311441.632332983</v>
      </c>
      <c r="O96" s="37" t="n">
        <f aca="false">SUM(C96:N96)</f>
        <v>984505.964242395</v>
      </c>
      <c r="P96" s="2"/>
    </row>
    <row r="97" customFormat="false" ht="15" hidden="false" customHeight="false" outlineLevel="0" collapsed="false">
      <c r="A97" s="10" t="s">
        <v>1198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  <row r="98" customFormat="false" ht="15" hidden="false" customHeight="false" outlineLevel="0" collapsed="false">
      <c r="A98" s="28" t="s">
        <v>1199</v>
      </c>
      <c r="C98" s="8" t="n">
        <f aca="false">IF(1=INDEX(Assumptions!$C$173:$E$173,$D$3)-1,INDEX(Assumptions!$C$174:$E$174,$D$3)*INDEX(Assumptions!$C$182:$E$182,$B$3),0)</f>
        <v>0</v>
      </c>
      <c r="D98" s="8" t="n">
        <f aca="false">IF(2=INDEX(Assumptions!$C$173:$E$173,$D$3)-1,INDEX(Assumptions!$C$174:$E$174,$D$3)*INDEX(Assumptions!$C$182:$E$182,$B$3),0)</f>
        <v>0</v>
      </c>
      <c r="E98" s="8" t="n">
        <f aca="false">IF(3=INDEX(Assumptions!$C$173:$E$173,$D$3)-1,INDEX(Assumptions!$C$174:$E$174,$D$3)*INDEX(Assumptions!$C$182:$E$182,$B$3),0)</f>
        <v>0</v>
      </c>
      <c r="F98" s="8" t="n">
        <f aca="false">IF(4=INDEX(Assumptions!$C$173:$E$173,$D$3)-1,INDEX(Assumptions!$C$174:$E$174,$D$3)*INDEX(Assumptions!$C$182:$E$182,$B$3),0)</f>
        <v>0</v>
      </c>
      <c r="G98" s="8" t="n">
        <f aca="false">IF(5=INDEX(Assumptions!$C$173:$E$173,$D$3)-1,INDEX(Assumptions!$C$174:$E$174,$D$3)*INDEX(Assumptions!$C$182:$E$182,$B$3),0)</f>
        <v>0</v>
      </c>
      <c r="H98" s="8" t="n">
        <f aca="false">IF(6=INDEX(Assumptions!$C$173:$E$173,$D$3)-1,INDEX(Assumptions!$C$174:$E$174,$D$3)*INDEX(Assumptions!$C$182:$E$182,$B$3),0)</f>
        <v>1040000</v>
      </c>
      <c r="I98" s="8" t="n">
        <f aca="false">IF(7=INDEX(Assumptions!$C$173:$E$173,$D$3)-1,INDEX(Assumptions!$C$174:$E$174,$D$3)*INDEX(Assumptions!$C$182:$E$182,$B$3),0)</f>
        <v>0</v>
      </c>
      <c r="J98" s="8" t="n">
        <f aca="false">IF(8=INDEX(Assumptions!$C$173:$E$173,$D$3)-1,INDEX(Assumptions!$C$174:$E$174,$D$3)*INDEX(Assumptions!$C$182:$E$182,$B$3),0)</f>
        <v>0</v>
      </c>
      <c r="K98" s="8" t="n">
        <f aca="false">IF(9=INDEX(Assumptions!$C$173:$E$173,$D$3)-1,INDEX(Assumptions!$C$174:$E$174,$D$3)*INDEX(Assumptions!$C$182:$E$182,$B$3),0)</f>
        <v>0</v>
      </c>
      <c r="L98" s="8" t="n">
        <f aca="false">IF(10=INDEX(Assumptions!$C$173:$E$173,$D$3)-1,INDEX(Assumptions!$C$174:$E$174,$D$3)*INDEX(Assumptions!$C$182:$E$182,$B$3),0)</f>
        <v>0</v>
      </c>
      <c r="M98" s="8" t="n">
        <f aca="false">IF(11=INDEX(Assumptions!$C$173:$E$173,$D$3)-1,INDEX(Assumptions!$C$174:$E$174,$D$3)*INDEX(Assumptions!$C$182:$E$182,$B$3),0)</f>
        <v>0</v>
      </c>
      <c r="N98" s="8" t="n">
        <f aca="false">IF(12=INDEX(Assumptions!$C$173:$E$173,$D$3)-1,INDEX(Assumptions!$C$174:$E$174,$D$3)*INDEX(Assumptions!$C$182:$E$182,$B$3),0)</f>
        <v>0</v>
      </c>
      <c r="O98" s="37" t="n">
        <f aca="false">SUM(C98:N98)</f>
        <v>1040000</v>
      </c>
      <c r="P98" s="2"/>
    </row>
    <row r="99" customFormat="false" ht="15" hidden="false" customHeight="false" outlineLevel="0" collapsed="false">
      <c r="A99" s="28" t="s">
        <v>1200</v>
      </c>
      <c r="C99" s="8" t="n">
        <f aca="false">IF(1=INDEX(Assumptions!$C$173:$E$173,$D$3)-1,MAX(0,INDEX(Assumptions!$C$176:$E$176,$D$3)-INDEX(Assumptions!$C$171:$E$171,$B$3))*INDEX(Assumptions!$C$183:$E$183,$B$3),0)</f>
        <v>0</v>
      </c>
      <c r="D99" s="8" t="n">
        <f aca="false">IF(2=INDEX(Assumptions!$C$173:$E$173,$D$3)-1,MAX(0,INDEX(Assumptions!$C$176:$E$176,$D$3)-INDEX(Assumptions!$C$171:$E$171,$B$3))*INDEX(Assumptions!$C$183:$E$183,$B$3),0)</f>
        <v>0</v>
      </c>
      <c r="E99" s="8" t="n">
        <f aca="false">IF(3=INDEX(Assumptions!$C$173:$E$173,$D$3)-1,MAX(0,INDEX(Assumptions!$C$176:$E$176,$D$3)-INDEX(Assumptions!$C$171:$E$171,$B$3))*INDEX(Assumptions!$C$183:$E$183,$B$3),0)</f>
        <v>0</v>
      </c>
      <c r="F99" s="8" t="n">
        <f aca="false">IF(4=INDEX(Assumptions!$C$173:$E$173,$D$3)-1,MAX(0,INDEX(Assumptions!$C$176:$E$176,$D$3)-INDEX(Assumptions!$C$171:$E$171,$B$3))*INDEX(Assumptions!$C$183:$E$183,$B$3),0)</f>
        <v>0</v>
      </c>
      <c r="G99" s="8" t="n">
        <f aca="false">IF(5=INDEX(Assumptions!$C$173:$E$173,$D$3)-1,MAX(0,INDEX(Assumptions!$C$176:$E$176,$D$3)-INDEX(Assumptions!$C$171:$E$171,$B$3))*INDEX(Assumptions!$C$183:$E$183,$B$3),0)</f>
        <v>0</v>
      </c>
      <c r="H99" s="8" t="n">
        <f aca="false">IF(6=INDEX(Assumptions!$C$173:$E$173,$D$3)-1,MAX(0,INDEX(Assumptions!$C$176:$E$176,$D$3)-INDEX(Assumptions!$C$171:$E$171,$B$3))*INDEX(Assumptions!$C$183:$E$183,$B$3),0)</f>
        <v>120000</v>
      </c>
      <c r="I99" s="8" t="n">
        <f aca="false">IF(7=INDEX(Assumptions!$C$173:$E$173,$D$3)-1,MAX(0,INDEX(Assumptions!$C$176:$E$176,$D$3)-INDEX(Assumptions!$C$171:$E$171,$B$3))*INDEX(Assumptions!$C$183:$E$183,$B$3),0)</f>
        <v>0</v>
      </c>
      <c r="J99" s="8" t="n">
        <f aca="false">IF(8=INDEX(Assumptions!$C$173:$E$173,$D$3)-1,MAX(0,INDEX(Assumptions!$C$176:$E$176,$D$3)-INDEX(Assumptions!$C$171:$E$171,$B$3))*INDEX(Assumptions!$C$183:$E$183,$B$3),0)</f>
        <v>0</v>
      </c>
      <c r="K99" s="8" t="n">
        <f aca="false">IF(9=INDEX(Assumptions!$C$173:$E$173,$D$3)-1,MAX(0,INDEX(Assumptions!$C$176:$E$176,$D$3)-INDEX(Assumptions!$C$171:$E$171,$B$3))*INDEX(Assumptions!$C$183:$E$183,$B$3),0)</f>
        <v>0</v>
      </c>
      <c r="L99" s="8" t="n">
        <f aca="false">IF(10=INDEX(Assumptions!$C$173:$E$173,$D$3)-1,MAX(0,INDEX(Assumptions!$C$176:$E$176,$D$3)-INDEX(Assumptions!$C$171:$E$171,$B$3))*INDEX(Assumptions!$C$183:$E$183,$B$3),0)</f>
        <v>0</v>
      </c>
      <c r="M99" s="8" t="n">
        <f aca="false">IF(11=INDEX(Assumptions!$C$173:$E$173,$D$3)-1,MAX(0,INDEX(Assumptions!$C$176:$E$176,$D$3)-INDEX(Assumptions!$C$171:$E$171,$B$3))*INDEX(Assumptions!$C$183:$E$183,$B$3),0)</f>
        <v>0</v>
      </c>
      <c r="N99" s="8" t="n">
        <f aca="false">IF(12=INDEX(Assumptions!$C$173:$E$173,$D$3)-1,MAX(0,INDEX(Assumptions!$C$176:$E$176,$D$3)-INDEX(Assumptions!$C$171:$E$171,$B$3))*INDEX(Assumptions!$C$183:$E$183,$B$3),0)</f>
        <v>0</v>
      </c>
      <c r="O99" s="37" t="n">
        <f aca="false">SUM(C99:N99)</f>
        <v>120000</v>
      </c>
      <c r="P99" s="2"/>
    </row>
    <row r="100" customFormat="false" ht="15" hidden="false" customHeight="false" outlineLevel="0" collapsed="false">
      <c r="A100" s="28" t="s">
        <v>1201</v>
      </c>
      <c r="C100" s="8" t="n">
        <f aca="false">IF(1=INDEX(Assumptions!$C$173:$E$173,$D$3)-1,INDEX(Assumptions!$C$184:$E$184,$B$3)*INDEX(Assumptions!$C$174:$E$174,$D$3)*INDEX(Assumptions!$C$175:$E$175,$B$3)*$F$4,0)</f>
        <v>0</v>
      </c>
      <c r="D100" s="8" t="n">
        <f aca="false">IF(2=INDEX(Assumptions!$C$173:$E$173,$D$3)-1,INDEX(Assumptions!$C$184:$E$184,$B$3)*INDEX(Assumptions!$C$174:$E$174,$D$3)*INDEX(Assumptions!$C$175:$E$175,$B$3)*$F$4,0)</f>
        <v>0</v>
      </c>
      <c r="E100" s="8" t="n">
        <f aca="false">IF(3=INDEX(Assumptions!$C$173:$E$173,$D$3)-1,INDEX(Assumptions!$C$184:$E$184,$B$3)*INDEX(Assumptions!$C$174:$E$174,$D$3)*INDEX(Assumptions!$C$175:$E$175,$B$3)*$F$4,0)</f>
        <v>0</v>
      </c>
      <c r="F100" s="8" t="n">
        <f aca="false">IF(4=INDEX(Assumptions!$C$173:$E$173,$D$3)-1,INDEX(Assumptions!$C$184:$E$184,$B$3)*INDEX(Assumptions!$C$174:$E$174,$D$3)*INDEX(Assumptions!$C$175:$E$175,$B$3)*$F$4,0)</f>
        <v>0</v>
      </c>
      <c r="G100" s="8" t="n">
        <f aca="false">IF(5=INDEX(Assumptions!$C$173:$E$173,$D$3)-1,INDEX(Assumptions!$C$184:$E$184,$B$3)*INDEX(Assumptions!$C$174:$E$174,$D$3)*INDEX(Assumptions!$C$175:$E$175,$B$3)*$F$4,0)</f>
        <v>0</v>
      </c>
      <c r="H100" s="8" t="n">
        <f aca="false">IF(6=INDEX(Assumptions!$C$173:$E$173,$D$3)-1,INDEX(Assumptions!$C$184:$E$184,$B$3)*INDEX(Assumptions!$C$174:$E$174,$D$3)*INDEX(Assumptions!$C$175:$E$175,$B$3)*$F$4,0)</f>
        <v>312000</v>
      </c>
      <c r="I100" s="8" t="n">
        <f aca="false">IF(7=INDEX(Assumptions!$C$173:$E$173,$D$3)-1,INDEX(Assumptions!$C$184:$E$184,$B$3)*INDEX(Assumptions!$C$174:$E$174,$D$3)*INDEX(Assumptions!$C$175:$E$175,$B$3)*$F$4,0)</f>
        <v>0</v>
      </c>
      <c r="J100" s="8" t="n">
        <f aca="false">IF(8=INDEX(Assumptions!$C$173:$E$173,$D$3)-1,INDEX(Assumptions!$C$184:$E$184,$B$3)*INDEX(Assumptions!$C$174:$E$174,$D$3)*INDEX(Assumptions!$C$175:$E$175,$B$3)*$F$4,0)</f>
        <v>0</v>
      </c>
      <c r="K100" s="8" t="n">
        <f aca="false">IF(9=INDEX(Assumptions!$C$173:$E$173,$D$3)-1,INDEX(Assumptions!$C$184:$E$184,$B$3)*INDEX(Assumptions!$C$174:$E$174,$D$3)*INDEX(Assumptions!$C$175:$E$175,$B$3)*$F$4,0)</f>
        <v>0</v>
      </c>
      <c r="L100" s="8" t="n">
        <f aca="false">IF(10=INDEX(Assumptions!$C$173:$E$173,$D$3)-1,INDEX(Assumptions!$C$184:$E$184,$B$3)*INDEX(Assumptions!$C$174:$E$174,$D$3)*INDEX(Assumptions!$C$175:$E$175,$B$3)*$F$4,0)</f>
        <v>0</v>
      </c>
      <c r="M100" s="8" t="n">
        <f aca="false">IF(11=INDEX(Assumptions!$C$173:$E$173,$D$3)-1,INDEX(Assumptions!$C$184:$E$184,$B$3)*INDEX(Assumptions!$C$174:$E$174,$D$3)*INDEX(Assumptions!$C$175:$E$175,$B$3)*$F$4,0)</f>
        <v>0</v>
      </c>
      <c r="N100" s="8" t="n">
        <f aca="false">IF(12=INDEX(Assumptions!$C$173:$E$173,$D$3)-1,INDEX(Assumptions!$C$184:$E$184,$B$3)*INDEX(Assumptions!$C$174:$E$174,$D$3)*INDEX(Assumptions!$C$175:$E$175,$B$3)*$F$4,0)</f>
        <v>0</v>
      </c>
      <c r="O100" s="37" t="n">
        <f aca="false">SUM(C100:N100)</f>
        <v>312000</v>
      </c>
      <c r="P100" s="2"/>
    </row>
    <row r="101" customFormat="false" ht="15" hidden="false" customHeight="false" outlineLevel="0" collapsed="false">
      <c r="A101" s="28" t="s">
        <v>1202</v>
      </c>
      <c r="C101" s="8" t="n">
        <f aca="false">IF(1=1,INDEX(Assumptions!$C$197:$E$197,$D$3),0)</f>
        <v>150000</v>
      </c>
      <c r="D101" s="8" t="n">
        <f aca="false">IF(2=1,INDEX(Assumptions!$C$197:$E$197,$D$3),0)</f>
        <v>0</v>
      </c>
      <c r="E101" s="8" t="n">
        <f aca="false">IF(3=1,INDEX(Assumptions!$C$197:$E$197,$D$3),0)</f>
        <v>0</v>
      </c>
      <c r="F101" s="8" t="n">
        <f aca="false">IF(4=1,INDEX(Assumptions!$C$197:$E$197,$D$3),0)</f>
        <v>0</v>
      </c>
      <c r="G101" s="8" t="n">
        <f aca="false">IF(5=1,INDEX(Assumptions!$C$197:$E$197,$D$3),0)</f>
        <v>0</v>
      </c>
      <c r="H101" s="8" t="n">
        <f aca="false">IF(6=1,INDEX(Assumptions!$C$197:$E$197,$D$3),0)</f>
        <v>0</v>
      </c>
      <c r="I101" s="8" t="n">
        <f aca="false">IF(7=1,INDEX(Assumptions!$C$197:$E$197,$D$3),0)</f>
        <v>0</v>
      </c>
      <c r="J101" s="8" t="n">
        <f aca="false">IF(8=1,INDEX(Assumptions!$C$197:$E$197,$D$3),0)</f>
        <v>0</v>
      </c>
      <c r="K101" s="8" t="n">
        <f aca="false">IF(9=1,INDEX(Assumptions!$C$197:$E$197,$D$3),0)</f>
        <v>0</v>
      </c>
      <c r="L101" s="8" t="n">
        <f aca="false">IF(10=1,INDEX(Assumptions!$C$197:$E$197,$D$3),0)</f>
        <v>0</v>
      </c>
      <c r="M101" s="8" t="n">
        <f aca="false">IF(11=1,INDEX(Assumptions!$C$197:$E$197,$D$3),0)</f>
        <v>0</v>
      </c>
      <c r="N101" s="8" t="n">
        <f aca="false">IF(12=1,INDEX(Assumptions!$C$197:$E$197,$D$3),0)</f>
        <v>0</v>
      </c>
      <c r="O101" s="37" t="n">
        <f aca="false">SUM(C101:N101)</f>
        <v>150000</v>
      </c>
      <c r="P101" s="2"/>
    </row>
    <row r="102" customFormat="false" ht="15" hidden="false" customHeight="false" outlineLevel="0" collapsed="false">
      <c r="A102" s="28" t="s">
        <v>1203</v>
      </c>
      <c r="C102" s="8" t="n">
        <f aca="false">IF(1=INDEX(Assumptions!$C$189:$E$189,$D$3)-2,INDEX(Assumptions!$C$190:$E$190,$D$3),0)</f>
        <v>0</v>
      </c>
      <c r="D102" s="8" t="n">
        <f aca="false">IF(2=INDEX(Assumptions!$C$189:$E$189,$D$3)-2,INDEX(Assumptions!$C$190:$E$190,$D$3),0)</f>
        <v>0</v>
      </c>
      <c r="E102" s="8" t="n">
        <f aca="false">IF(3=INDEX(Assumptions!$C$189:$E$189,$D$3)-2,INDEX(Assumptions!$C$190:$E$190,$D$3),0)</f>
        <v>0</v>
      </c>
      <c r="F102" s="8" t="n">
        <f aca="false">IF(4=INDEX(Assumptions!$C$189:$E$189,$D$3)-2,INDEX(Assumptions!$C$190:$E$190,$D$3),0)</f>
        <v>0</v>
      </c>
      <c r="G102" s="8" t="n">
        <f aca="false">IF(5=INDEX(Assumptions!$C$189:$E$189,$D$3)-2,INDEX(Assumptions!$C$190:$E$190,$D$3),0)</f>
        <v>0</v>
      </c>
      <c r="H102" s="8" t="n">
        <f aca="false">IF(6=INDEX(Assumptions!$C$189:$E$189,$D$3)-2,INDEX(Assumptions!$C$190:$E$190,$D$3),0)</f>
        <v>0</v>
      </c>
      <c r="I102" s="8" t="n">
        <f aca="false">IF(7=INDEX(Assumptions!$C$189:$E$189,$D$3)-2,INDEX(Assumptions!$C$190:$E$190,$D$3),0)</f>
        <v>0</v>
      </c>
      <c r="J102" s="8" t="n">
        <f aca="false">IF(8=INDEX(Assumptions!$C$189:$E$189,$D$3)-2,INDEX(Assumptions!$C$190:$E$190,$D$3),0)</f>
        <v>350000</v>
      </c>
      <c r="K102" s="8" t="n">
        <f aca="false">IF(9=INDEX(Assumptions!$C$189:$E$189,$D$3)-2,INDEX(Assumptions!$C$190:$E$190,$D$3),0)</f>
        <v>0</v>
      </c>
      <c r="L102" s="8" t="n">
        <f aca="false">IF(10=INDEX(Assumptions!$C$189:$E$189,$D$3)-2,INDEX(Assumptions!$C$190:$E$190,$D$3),0)</f>
        <v>0</v>
      </c>
      <c r="M102" s="8" t="n">
        <f aca="false">IF(11=INDEX(Assumptions!$C$189:$E$189,$D$3)-2,INDEX(Assumptions!$C$190:$E$190,$D$3),0)</f>
        <v>0</v>
      </c>
      <c r="N102" s="8" t="n">
        <f aca="false">IF(12=INDEX(Assumptions!$C$189:$E$189,$D$3)-2,INDEX(Assumptions!$C$190:$E$190,$D$3),0)</f>
        <v>0</v>
      </c>
      <c r="O102" s="37" t="n">
        <f aca="false">SUM(C102:N102)</f>
        <v>350000</v>
      </c>
      <c r="P102" s="2"/>
    </row>
    <row r="103" customFormat="false" ht="15" hidden="false" customHeight="false" outlineLevel="0" collapsed="false">
      <c r="A103" s="3" t="s">
        <v>1204</v>
      </c>
      <c r="C103" s="37" t="n">
        <f aca="false">SUM(C98:C102)</f>
        <v>150000</v>
      </c>
      <c r="D103" s="37" t="n">
        <f aca="false">SUM(D98:D102)</f>
        <v>0</v>
      </c>
      <c r="E103" s="37" t="n">
        <f aca="false">SUM(E98:E102)</f>
        <v>0</v>
      </c>
      <c r="F103" s="37" t="n">
        <f aca="false">SUM(F98:F102)</f>
        <v>0</v>
      </c>
      <c r="G103" s="37" t="n">
        <f aca="false">SUM(G98:G102)</f>
        <v>0</v>
      </c>
      <c r="H103" s="37" t="n">
        <f aca="false">SUM(H98:H102)</f>
        <v>1472000</v>
      </c>
      <c r="I103" s="37" t="n">
        <f aca="false">SUM(I98:I102)</f>
        <v>0</v>
      </c>
      <c r="J103" s="37" t="n">
        <f aca="false">SUM(J98:J102)</f>
        <v>350000</v>
      </c>
      <c r="K103" s="37" t="n">
        <f aca="false">SUM(K98:K102)</f>
        <v>0</v>
      </c>
      <c r="L103" s="37" t="n">
        <f aca="false">SUM(L98:L102)</f>
        <v>0</v>
      </c>
      <c r="M103" s="37" t="n">
        <f aca="false">SUM(M98:M102)</f>
        <v>0</v>
      </c>
      <c r="N103" s="37" t="n">
        <f aca="false">SUM(N98:N102)</f>
        <v>0</v>
      </c>
      <c r="O103" s="31" t="n">
        <f aca="false">SUM(C103:N103)</f>
        <v>1972000</v>
      </c>
      <c r="P103" s="2"/>
    </row>
    <row r="104" customFormat="false" ht="15" hidden="false" customHeight="false" outlineLevel="0" collapsed="false">
      <c r="A104" s="28" t="s">
        <v>1205</v>
      </c>
      <c r="C104" s="8" t="n">
        <f aca="false">((C60+IF(INDEX(Assumptions!$C$87:$E$87,$B$3)&gt;=2,0,0)+IF(INDEX(Assumptions!$C$87:$E$87,$B$3)&gt;=3,0,0))/INDEX(Assumptions!$C$87:$E$87,$B$3))-C60</f>
        <v>-51960</v>
      </c>
      <c r="D104" s="8" t="n">
        <f aca="false">((D60+IF(INDEX(Assumptions!$C$87:$E$87,$B$3)&gt;=2,C60,0)+IF(INDEX(Assumptions!$C$87:$E$87,$B$3)&gt;=3,0,0))/INDEX(Assumptions!$C$87:$E$87,$B$3))-D60</f>
        <v>-21913.2375</v>
      </c>
      <c r="E104" s="8" t="n">
        <f aca="false">((E60+IF(INDEX(Assumptions!$C$87:$E$87,$B$3)&gt;=2,D60,0)+IF(INDEX(Assumptions!$C$87:$E$87,$B$3)&gt;=3,C60,0))/INDEX(Assumptions!$C$87:$E$87,$B$3))-E60</f>
        <v>-20374.01625</v>
      </c>
      <c r="F104" s="8" t="n">
        <f aca="false">((F60+IF(INDEX(Assumptions!$C$87:$E$87,$B$3)&gt;=2,E60,0)+IF(INDEX(Assumptions!$C$87:$E$87,$B$3)&gt;=3,D60,0))/INDEX(Assumptions!$C$87:$E$87,$B$3))-F60</f>
        <v>-39873.74625</v>
      </c>
      <c r="G104" s="8" t="n">
        <f aca="false">((G60+IF(INDEX(Assumptions!$C$87:$E$87,$B$3)&gt;=2,F60,0)+IF(INDEX(Assumptions!$C$87:$E$87,$B$3)&gt;=3,E60,0))/INDEX(Assumptions!$C$87:$E$87,$B$3))-G60</f>
        <v>-47274</v>
      </c>
      <c r="H104" s="8" t="n">
        <f aca="false">((H60+IF(INDEX(Assumptions!$C$87:$E$87,$B$3)&gt;=2,G60,0)+IF(INDEX(Assumptions!$C$87:$E$87,$B$3)&gt;=3,F60,0))/INDEX(Assumptions!$C$87:$E$87,$B$3))-H60</f>
        <v>25485.3122384938</v>
      </c>
      <c r="I104" s="8" t="n">
        <f aca="false">((I60+IF(INDEX(Assumptions!$C$87:$E$87,$B$3)&gt;=2,H60,0)+IF(INDEX(Assumptions!$C$87:$E$87,$B$3)&gt;=3,G60,0))/INDEX(Assumptions!$C$87:$E$87,$B$3))-I60</f>
        <v>-273769.885983264</v>
      </c>
      <c r="J104" s="8" t="n">
        <f aca="false">((J60+IF(INDEX(Assumptions!$C$87:$E$87,$B$3)&gt;=2,I60,0)+IF(INDEX(Assumptions!$C$87:$E$87,$B$3)&gt;=3,H60,0))/INDEX(Assumptions!$C$87:$E$87,$B$3))-J60</f>
        <v>-15872.7182420944</v>
      </c>
      <c r="K104" s="8" t="n">
        <f aca="false">((K60+IF(INDEX(Assumptions!$C$87:$E$87,$B$3)&gt;=2,J60,0)+IF(INDEX(Assumptions!$C$87:$E$87,$B$3)&gt;=3,I60,0))/INDEX(Assumptions!$C$87:$E$87,$B$3))-K60</f>
        <v>163232.279960236</v>
      </c>
      <c r="L104" s="8" t="n">
        <f aca="false">((L60+IF(INDEX(Assumptions!$C$87:$E$87,$B$3)&gt;=2,K60,0)+IF(INDEX(Assumptions!$C$87:$E$87,$B$3)&gt;=3,J60,0))/INDEX(Assumptions!$C$87:$E$87,$B$3))-L60</f>
        <v>-70438.4220763315</v>
      </c>
      <c r="M104" s="8" t="n">
        <f aca="false">((M60+IF(INDEX(Assumptions!$C$87:$E$87,$B$3)&gt;=2,L60,0)+IF(INDEX(Assumptions!$C$87:$E$87,$B$3)&gt;=3,K60,0))/INDEX(Assumptions!$C$87:$E$87,$B$3))-M60</f>
        <v>-8163.76085815753</v>
      </c>
      <c r="N104" s="8" t="n">
        <f aca="false">((N60+IF(INDEX(Assumptions!$C$87:$E$87,$B$3)&gt;=2,M60,0)+IF(INDEX(Assumptions!$C$87:$E$87,$B$3)&gt;=3,L60,0))/INDEX(Assumptions!$C$87:$E$87,$B$3))-N60</f>
        <v>15859.1949611169</v>
      </c>
      <c r="O104" s="37" t="n">
        <f aca="false">SUM(C104:N104)</f>
        <v>-345063</v>
      </c>
      <c r="P104" s="2"/>
    </row>
    <row r="105" customFormat="false" ht="15" hidden="false" customHeight="false" outlineLevel="0" collapsed="false">
      <c r="A105" s="3" t="s">
        <v>1206</v>
      </c>
      <c r="C105" s="37" t="n">
        <f aca="false">C94+C104-C103</f>
        <v>-384946.296645403</v>
      </c>
      <c r="D105" s="37" t="n">
        <f aca="false">D94+D104-D103</f>
        <v>-170169.574898881</v>
      </c>
      <c r="E105" s="37" t="n">
        <f aca="false">E94+E104-E103</f>
        <v>-254674.490150706</v>
      </c>
      <c r="F105" s="37" t="n">
        <f aca="false">F94+F104-F103</f>
        <v>-36434.1893435085</v>
      </c>
      <c r="G105" s="37" t="n">
        <f aca="false">G94+G104-G103</f>
        <v>11034.2966017636</v>
      </c>
      <c r="H105" s="37" t="n">
        <f aca="false">H94+H104-H103</f>
        <v>-1421783.88323918</v>
      </c>
      <c r="I105" s="37" t="n">
        <f aca="false">I94+I104-I103</f>
        <v>198966.295565652</v>
      </c>
      <c r="J105" s="37" t="n">
        <f aca="false">J94+J104-J103</f>
        <v>157940.630531725</v>
      </c>
      <c r="K105" s="37" t="n">
        <f aca="false">K94+K104-K103</f>
        <v>387585.413556213</v>
      </c>
      <c r="L105" s="37" t="n">
        <f aca="false">L94+L104-L103</f>
        <v>290921.178704466</v>
      </c>
      <c r="M105" s="37" t="n">
        <f aca="false">M94+M104-M103</f>
        <v>386702.756266158</v>
      </c>
      <c r="N105" s="37" t="n">
        <f aca="false">N94+N104-N103</f>
        <v>402300.8272941</v>
      </c>
      <c r="O105" s="31" t="n">
        <f aca="false">SUM(C105:N105)</f>
        <v>-432557.035757605</v>
      </c>
      <c r="P105" s="2"/>
    </row>
    <row r="106" customFormat="false" ht="15" hidden="false" customHeight="false" outlineLevel="0" collapsed="false">
      <c r="A106" s="3" t="s">
        <v>839</v>
      </c>
      <c r="C106" s="37" t="n">
        <f aca="false">0+C105</f>
        <v>-384946.296645403</v>
      </c>
      <c r="D106" s="37" t="n">
        <f aca="false">C106+D105</f>
        <v>-555115.871544285</v>
      </c>
      <c r="E106" s="37" t="n">
        <f aca="false">D106+E105</f>
        <v>-809790.361694991</v>
      </c>
      <c r="F106" s="37" t="n">
        <f aca="false">E106+F105</f>
        <v>-846224.551038499</v>
      </c>
      <c r="G106" s="37" t="n">
        <f aca="false">F106+G105</f>
        <v>-835190.254436736</v>
      </c>
      <c r="H106" s="37" t="n">
        <f aca="false">G106+H105</f>
        <v>-2256974.13767592</v>
      </c>
      <c r="I106" s="37" t="n">
        <f aca="false">H106+I105</f>
        <v>-2058007.84211027</v>
      </c>
      <c r="J106" s="37" t="n">
        <f aca="false">I106+J105</f>
        <v>-1900067.21157854</v>
      </c>
      <c r="K106" s="37" t="n">
        <f aca="false">J106+K105</f>
        <v>-1512481.79802233</v>
      </c>
      <c r="L106" s="37" t="n">
        <f aca="false">K106+L105</f>
        <v>-1221560.61931786</v>
      </c>
      <c r="M106" s="37" t="n">
        <f aca="false">L106+M105</f>
        <v>-834857.863051705</v>
      </c>
      <c r="N106" s="37" t="n">
        <f aca="false">M106+N105</f>
        <v>-432557.035757605</v>
      </c>
      <c r="O106" s="31" t="n">
        <f aca="false">N106</f>
        <v>-432557.035757605</v>
      </c>
      <c r="P106" s="2"/>
    </row>
    <row r="107" customFormat="false" ht="15" hidden="false" customHeight="false" outlineLevel="0" collapsed="false">
      <c r="A107" s="3" t="s">
        <v>67</v>
      </c>
      <c r="C107" s="37" t="n">
        <f aca="false">-MIN(0,MIN($C$106:C106))</f>
        <v>384946.296645403</v>
      </c>
      <c r="D107" s="37" t="n">
        <f aca="false">-MIN(0,MIN($C$106:D106))</f>
        <v>555115.871544285</v>
      </c>
      <c r="E107" s="37" t="n">
        <f aca="false">-MIN(0,MIN($C$106:E106))</f>
        <v>809790.361694991</v>
      </c>
      <c r="F107" s="37" t="n">
        <f aca="false">-MIN(0,MIN($C$106:F106))</f>
        <v>846224.551038499</v>
      </c>
      <c r="G107" s="37" t="n">
        <f aca="false">-MIN(0,MIN($C$106:G106))</f>
        <v>846224.551038499</v>
      </c>
      <c r="H107" s="37" t="n">
        <f aca="false">-MIN(0,MIN($C$106:H106))</f>
        <v>2256974.13767592</v>
      </c>
      <c r="I107" s="37" t="n">
        <f aca="false">-MIN(0,MIN($C$106:I106))</f>
        <v>2256974.13767592</v>
      </c>
      <c r="J107" s="37" t="n">
        <f aca="false">-MIN(0,MIN($C$106:J106))</f>
        <v>2256974.13767592</v>
      </c>
      <c r="K107" s="37" t="n">
        <f aca="false">-MIN(0,MIN($C$106:K106))</f>
        <v>2256974.13767592</v>
      </c>
      <c r="L107" s="37" t="n">
        <f aca="false">-MIN(0,MIN($C$106:L106))</f>
        <v>2256974.13767592</v>
      </c>
      <c r="M107" s="37" t="n">
        <f aca="false">-MIN(0,MIN($C$106:M106))</f>
        <v>2256974.13767592</v>
      </c>
      <c r="N107" s="37" t="n">
        <f aca="false">-MIN(0,MIN($C$106:N106))</f>
        <v>2256974.13767592</v>
      </c>
      <c r="O107" s="31" t="n">
        <f aca="false">MAX(C107:N107)</f>
        <v>2256974.13767592</v>
      </c>
      <c r="P107" s="2"/>
    </row>
    <row r="108" customFormat="false" ht="15" hidden="false" customHeight="false" outlineLevel="0" collapsed="false">
      <c r="A108" s="28" t="s">
        <v>1207</v>
      </c>
      <c r="C108" s="8" t="n">
        <f aca="false">IF(C94&gt;=0,1,0)</f>
        <v>0</v>
      </c>
      <c r="D108" s="8" t="n">
        <f aca="false">IF(D94&gt;=0,1,0)</f>
        <v>0</v>
      </c>
      <c r="E108" s="8" t="n">
        <f aca="false">IF(E94&gt;=0,1,0)</f>
        <v>0</v>
      </c>
      <c r="F108" s="8" t="n">
        <f aca="false">IF(F94&gt;=0,1,0)</f>
        <v>1</v>
      </c>
      <c r="G108" s="8" t="n">
        <f aca="false">IF(G94&gt;=0,1,0)</f>
        <v>1</v>
      </c>
      <c r="H108" s="8" t="n">
        <f aca="false">IF(H94&gt;=0,1,0)</f>
        <v>1</v>
      </c>
      <c r="I108" s="8" t="n">
        <f aca="false">IF(I94&gt;=0,1,0)</f>
        <v>1</v>
      </c>
      <c r="J108" s="8" t="n">
        <f aca="false">IF(J94&gt;=0,1,0)</f>
        <v>1</v>
      </c>
      <c r="K108" s="8" t="n">
        <f aca="false">IF(K94&gt;=0,1,0)</f>
        <v>1</v>
      </c>
      <c r="L108" s="8" t="n">
        <f aca="false">IF(L94&gt;=0,1,0)</f>
        <v>1</v>
      </c>
      <c r="M108" s="8" t="n">
        <f aca="false">IF(M94&gt;=0,1,0)</f>
        <v>1</v>
      </c>
      <c r="N108" s="8" t="n">
        <f aca="false">IF(N94&gt;=0,1,0)</f>
        <v>1</v>
      </c>
      <c r="P108" s="2"/>
    </row>
    <row r="110" customFormat="false" ht="15" hidden="false" customHeight="false" outlineLevel="0" collapsed="false">
      <c r="A110" s="10" t="s">
        <v>1208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</row>
    <row r="111" customFormat="false" ht="15" hidden="false" customHeight="false" outlineLevel="0" collapsed="false">
      <c r="A111" s="3" t="s">
        <v>27</v>
      </c>
      <c r="B111" s="31" t="n">
        <f aca="false">O59</f>
        <v>8469077.77553935</v>
      </c>
    </row>
    <row r="112" customFormat="false" ht="15" hidden="false" customHeight="false" outlineLevel="0" collapsed="false">
      <c r="A112" s="3" t="s">
        <v>28</v>
      </c>
      <c r="B112" s="31" t="n">
        <f aca="false">O94</f>
        <v>1884505.96424239</v>
      </c>
    </row>
    <row r="113" customFormat="false" ht="15" hidden="false" customHeight="false" outlineLevel="0" collapsed="false">
      <c r="A113" s="3" t="s">
        <v>29</v>
      </c>
      <c r="B113" s="30" t="n">
        <f aca="false">O95</f>
        <v>0.222516077215076</v>
      </c>
    </row>
    <row r="114" customFormat="false" ht="15" hidden="false" customHeight="false" outlineLevel="0" collapsed="false">
      <c r="A114" s="3" t="s">
        <v>30</v>
      </c>
      <c r="B114" s="31" t="n">
        <f aca="false">O96</f>
        <v>984505.964242395</v>
      </c>
    </row>
    <row r="115" customFormat="false" ht="15" hidden="false" customHeight="false" outlineLevel="0" collapsed="false">
      <c r="A115" s="3" t="s">
        <v>31</v>
      </c>
      <c r="B115" s="31" t="n">
        <f aca="false">O103</f>
        <v>1972000</v>
      </c>
    </row>
    <row r="116" customFormat="false" ht="15" hidden="false" customHeight="false" outlineLevel="0" collapsed="false">
      <c r="A116" s="3" t="s">
        <v>32</v>
      </c>
      <c r="B116" s="31" t="n">
        <f aca="false">O107</f>
        <v>2256974.13767592</v>
      </c>
    </row>
    <row r="117" customFormat="false" ht="15" hidden="false" customHeight="false" outlineLevel="0" collapsed="false">
      <c r="A117" s="3" t="s">
        <v>33</v>
      </c>
      <c r="B117" s="31" t="n">
        <f aca="false">INDEX(Assumptions!$C$11:$E$11,$D$3)</f>
        <v>3000000</v>
      </c>
    </row>
    <row r="118" customFormat="false" ht="15" hidden="false" customHeight="false" outlineLevel="0" collapsed="false">
      <c r="A118" s="3" t="s">
        <v>34</v>
      </c>
      <c r="B118" s="31" t="n">
        <f aca="false">B117-B116</f>
        <v>743025.86232408</v>
      </c>
    </row>
    <row r="119" customFormat="false" ht="15" hidden="false" customHeight="false" outlineLevel="0" collapsed="false">
      <c r="A119" s="3" t="s">
        <v>35</v>
      </c>
      <c r="B119" s="32" t="n">
        <f aca="false">O33</f>
        <v>90.918784379973</v>
      </c>
    </row>
    <row r="120" customFormat="false" ht="15" hidden="false" customHeight="false" outlineLevel="0" collapsed="false">
      <c r="A120" s="3" t="s">
        <v>36</v>
      </c>
      <c r="B120" s="32" t="n">
        <f aca="false">AVERAGE(I33:N33)</f>
        <v>10.8540813053093</v>
      </c>
    </row>
    <row r="121" customFormat="false" ht="15" hidden="false" customHeight="false" outlineLevel="0" collapsed="false">
      <c r="A121" s="3" t="s">
        <v>37</v>
      </c>
      <c r="B121" s="31" t="n">
        <f aca="false">O39</f>
        <v>153</v>
      </c>
    </row>
    <row r="122" customFormat="false" ht="15" hidden="false" customHeight="false" outlineLevel="0" collapsed="false">
      <c r="A122" s="3" t="s">
        <v>38</v>
      </c>
      <c r="B122" s="30" t="n">
        <f aca="false">N36</f>
        <v>0.840526065228539</v>
      </c>
    </row>
    <row r="123" customFormat="false" ht="15" hidden="false" customHeight="false" outlineLevel="0" collapsed="false">
      <c r="A123" s="3" t="s">
        <v>39</v>
      </c>
      <c r="B123" s="40" t="n">
        <f aca="false">IFERROR(MATCH(1,C37:N37,0),"not in Y1")</f>
        <v>6</v>
      </c>
    </row>
    <row r="124" customFormat="false" ht="15" hidden="false" customHeight="false" outlineLevel="0" collapsed="false">
      <c r="A124" s="3" t="s">
        <v>40</v>
      </c>
      <c r="B124" s="30" t="n">
        <f aca="false">N11</f>
        <v>0.3</v>
      </c>
    </row>
    <row r="125" customFormat="false" ht="15" hidden="false" customHeight="false" outlineLevel="0" collapsed="false">
      <c r="A125" s="3" t="s">
        <v>41</v>
      </c>
      <c r="B125" s="31" t="n">
        <f aca="false">N76+N77+N78</f>
        <v>3</v>
      </c>
    </row>
    <row r="126" customFormat="false" ht="15" hidden="false" customHeight="false" outlineLevel="0" collapsed="false">
      <c r="A126" s="3" t="s">
        <v>42</v>
      </c>
      <c r="B126" s="31" t="n">
        <f aca="false">IFERROR((N60-N62-N63-N64-N69-(N49+N50+N51)*(1+INDEX(Assumptions!$C$15:$E$15,$B$3)*$H$4)*INDEX(Assumptions!$C$70:$E$70,$B$3)*INDEX(Assumptions!$C$71:$E$71,$B$3)-N60*(1+INDEX(Assumptions!$C$15:$E$15,$B$3)*$H$4)*INDEX(Assumptions!$C$76:$E$76,$B$3))/N33,0)</f>
        <v>60722.9275</v>
      </c>
    </row>
    <row r="127" customFormat="false" ht="15" hidden="false" customHeight="false" outlineLevel="0" collapsed="false">
      <c r="A127" s="3" t="s">
        <v>1209</v>
      </c>
      <c r="B127" s="31" t="n">
        <f aca="false">N93</f>
        <v>514933</v>
      </c>
    </row>
    <row r="128" customFormat="false" ht="15" hidden="false" customHeight="false" outlineLevel="0" collapsed="false">
      <c r="A128" s="3" t="s">
        <v>1210</v>
      </c>
      <c r="B128" s="31" t="n">
        <f aca="false">N71-B126*N33</f>
        <v>294145.357332983</v>
      </c>
    </row>
    <row r="129" customFormat="false" ht="15" hidden="false" customHeight="false" outlineLevel="0" collapsed="false">
      <c r="A129" s="3" t="s">
        <v>43</v>
      </c>
      <c r="B129" s="32" t="n">
        <f aca="false">IFERROR((B127-B128)/B126,0)</f>
        <v>3.63598482084081</v>
      </c>
    </row>
    <row r="130" customFormat="false" ht="15" hidden="false" customHeight="false" outlineLevel="0" collapsed="false">
      <c r="A130" s="3" t="s">
        <v>44</v>
      </c>
      <c r="B130" s="31" t="n">
        <f aca="false">B129*12</f>
        <v>43.6318178500897</v>
      </c>
    </row>
    <row r="131" customFormat="false" ht="15" hidden="false" customHeight="false" outlineLevel="0" collapsed="false">
      <c r="A131" s="3" t="s">
        <v>45</v>
      </c>
      <c r="B131" s="31" t="n">
        <f aca="false">IFERROR(SUM(I17:N17)*INDEX(Assumptions!$C$119:$E$119,$B$3)/(SUM(I33:N33)*(INDEX(Assumptions!$C$27:$E$27,$B$3)+INDEX(Assumptions!$C$28:$E$28,$B$3)+INDEX(Assumptions!$C$31:$E$31,$B$3))),0)</f>
        <v>10748.6449921468</v>
      </c>
    </row>
    <row r="132" customFormat="false" ht="15" hidden="false" customHeight="false" outlineLevel="0" collapsed="false">
      <c r="A132" s="3" t="s">
        <v>46</v>
      </c>
      <c r="B132" s="30" t="n">
        <f aca="false">B131/(N46/(1+INDEX(Assumptions!$C$15:$E$15,$B$3)*$H$4))</f>
        <v>0.134358062401835</v>
      </c>
    </row>
    <row r="133" customFormat="false" ht="15" hidden="false" customHeight="false" outlineLevel="0" collapsed="false">
      <c r="A133" s="3" t="s">
        <v>47</v>
      </c>
      <c r="B133" s="30" t="n">
        <f aca="false">IFERROR((SUM(I89:N89)+SUM(I80:N81)+SUM(I88:N88)+SUM(I69:N69)+SUMPRODUCT(I49:N49+I50:N50)*(1+INDEX(Assumptions!$C$15:$E$15,$B$3)*$H$4)*INDEX(Assumptions!$C$70:$E$70,$B$3)*INDEX(Assumptions!$C$71:$E$71,$B$3))/SUM(I60:N60),0)</f>
        <v>0.35798007476741</v>
      </c>
    </row>
    <row r="134" customFormat="false" ht="15" hidden="false" customHeight="false" outlineLevel="0" collapsed="false">
      <c r="A134" s="3" t="s">
        <v>48</v>
      </c>
      <c r="B134" s="32" t="n">
        <f aca="false">IFERROR((N89+N80+N81+N88+N69)/(0.25*N60/N33),0)</f>
        <v>14.8668504012311</v>
      </c>
    </row>
    <row r="135" customFormat="false" ht="15" hidden="false" customHeight="false" outlineLevel="0" collapsed="false">
      <c r="A135" s="3" t="s">
        <v>49</v>
      </c>
      <c r="B135" s="31" t="n">
        <f aca="false">SUM(L94:N94)</f>
        <v>1142667.7502381</v>
      </c>
    </row>
    <row r="136" customFormat="false" ht="15" hidden="false" customHeight="false" outlineLevel="0" collapsed="false">
      <c r="A136" s="3" t="s">
        <v>50</v>
      </c>
      <c r="B136" s="40" t="n">
        <f aca="false">IFERROR(MATCH(1,C108:N108,0),"not in Y1")</f>
        <v>4</v>
      </c>
    </row>
    <row r="137" customFormat="false" ht="15" hidden="false" customHeight="false" outlineLevel="0" collapsed="false">
      <c r="A137" s="3" t="s">
        <v>51</v>
      </c>
      <c r="B137" s="31" t="n">
        <f aca="false">N106</f>
        <v>-432557.035757605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1231</v>
      </c>
    </row>
    <row r="4" customFormat="false" ht="15" hidden="false" customHeight="false" outlineLevel="0" collapsed="false">
      <c r="A4" s="5" t="s">
        <v>1232</v>
      </c>
      <c r="B4" s="5" t="s">
        <v>1233</v>
      </c>
    </row>
    <row r="5" customFormat="false" ht="15" hidden="false" customHeight="false" outlineLevel="0" collapsed="false">
      <c r="A5" s="0" t="s">
        <v>1234</v>
      </c>
      <c r="B5" s="41" t="b">
        <f aca="false">MAX(Outlook_Conservative!C36:N36)&lt;=1.0001</f>
        <v>1</v>
      </c>
    </row>
    <row r="6" customFormat="false" ht="15" hidden="false" customHeight="false" outlineLevel="0" collapsed="false">
      <c r="A6" s="0" t="s">
        <v>1235</v>
      </c>
      <c r="B6" s="41" t="b">
        <f aca="false">ABS(SUM(Outlook_Conservative!O49:O58)-Outlook_Conservative!O59)&lt;1</f>
        <v>1</v>
      </c>
    </row>
    <row r="7" customFormat="false" ht="15" hidden="false" customHeight="false" outlineLevel="0" collapsed="false">
      <c r="A7" s="0" t="s">
        <v>1236</v>
      </c>
      <c r="B7" s="41" t="b">
        <f aca="false">ABS(Outlook_Conservative!O94-(Outlook_Conservative!O71-Outlook_Conservative!O93))&lt;1</f>
        <v>1</v>
      </c>
    </row>
    <row r="8" customFormat="false" ht="15" hidden="false" customHeight="false" outlineLevel="0" collapsed="false">
      <c r="A8" s="0" t="s">
        <v>1237</v>
      </c>
      <c r="B8" s="41" t="b">
        <f aca="false">MAX(Outlook_Base!C36:N36)&lt;=1.0001</f>
        <v>1</v>
      </c>
    </row>
    <row r="9" customFormat="false" ht="15" hidden="false" customHeight="false" outlineLevel="0" collapsed="false">
      <c r="A9" s="0" t="s">
        <v>1238</v>
      </c>
      <c r="B9" s="41" t="b">
        <f aca="false">ABS(SUM(Outlook_Base!O49:O58)-Outlook_Base!O59)&lt;1</f>
        <v>1</v>
      </c>
    </row>
    <row r="10" customFormat="false" ht="15" hidden="false" customHeight="false" outlineLevel="0" collapsed="false">
      <c r="A10" s="0" t="s">
        <v>1239</v>
      </c>
      <c r="B10" s="41" t="b">
        <f aca="false">ABS(Outlook_Base!O94-(Outlook_Base!O71-Outlook_Base!O93))&lt;1</f>
        <v>1</v>
      </c>
    </row>
    <row r="11" customFormat="false" ht="15" hidden="false" customHeight="false" outlineLevel="0" collapsed="false">
      <c r="A11" s="0" t="s">
        <v>1240</v>
      </c>
      <c r="B11" s="41" t="b">
        <f aca="false">MAX(Outlook_Aggressive!C36:N36)&lt;=1.0001</f>
        <v>1</v>
      </c>
    </row>
    <row r="12" customFormat="false" ht="15" hidden="false" customHeight="false" outlineLevel="0" collapsed="false">
      <c r="A12" s="0" t="s">
        <v>1241</v>
      </c>
      <c r="B12" s="41" t="b">
        <f aca="false">ABS(SUM(Outlook_Aggressive!O49:O58)-Outlook_Aggressive!O59)&lt;1</f>
        <v>1</v>
      </c>
    </row>
    <row r="13" customFormat="false" ht="15" hidden="false" customHeight="false" outlineLevel="0" collapsed="false">
      <c r="A13" s="0" t="s">
        <v>1242</v>
      </c>
      <c r="B13" s="41" t="b">
        <f aca="false">ABS(Outlook_Aggressive!O94-(Outlook_Aggressive!O71-Outlook_Aggressive!O93))&lt;1</f>
        <v>1</v>
      </c>
    </row>
    <row r="14" customFormat="false" ht="15" hidden="false" customHeight="false" outlineLevel="0" collapsed="false">
      <c r="A14" s="0" t="s">
        <v>1243</v>
      </c>
      <c r="B14" s="41" t="b">
        <f aca="false">MAX(Plan10L_BaseRates!C36:N36)&lt;=1.0001</f>
        <v>1</v>
      </c>
    </row>
    <row r="15" customFormat="false" ht="15" hidden="false" customHeight="false" outlineLevel="0" collapsed="false">
      <c r="A15" s="0" t="s">
        <v>1244</v>
      </c>
      <c r="B15" s="41" t="b">
        <f aca="false">ABS(SUM(Plan10L_BaseRates!O49:O58)-Plan10L_BaseRates!O59)&lt;1</f>
        <v>1</v>
      </c>
    </row>
    <row r="16" customFormat="false" ht="15" hidden="false" customHeight="false" outlineLevel="0" collapsed="false">
      <c r="A16" s="0" t="s">
        <v>1245</v>
      </c>
      <c r="B16" s="41" t="b">
        <f aca="false">ABS(Plan10L_BaseRates!O94-(Plan10L_BaseRates!O71-Plan10L_BaseRates!O93))&lt;1</f>
        <v>1</v>
      </c>
    </row>
    <row r="17" customFormat="false" ht="15" hidden="false" customHeight="false" outlineLevel="0" collapsed="false">
      <c r="A17" s="0" t="s">
        <v>1246</v>
      </c>
      <c r="B17" s="41" t="b">
        <f aca="false">MAX(Plan50L_BaseRates!C36:N36)&lt;=1.0001</f>
        <v>1</v>
      </c>
    </row>
    <row r="18" customFormat="false" ht="15" hidden="false" customHeight="false" outlineLevel="0" collapsed="false">
      <c r="A18" s="0" t="s">
        <v>1247</v>
      </c>
      <c r="B18" s="41" t="b">
        <f aca="false">ABS(SUM(Plan50L_BaseRates!O49:O58)-Plan50L_BaseRates!O59)&lt;1</f>
        <v>1</v>
      </c>
    </row>
    <row r="19" customFormat="false" ht="15" hidden="false" customHeight="false" outlineLevel="0" collapsed="false">
      <c r="A19" s="0" t="s">
        <v>1248</v>
      </c>
      <c r="B19" s="41" t="b">
        <f aca="false">ABS(Plan50L_BaseRates!O94-(Plan50L_BaseRates!O71-Plan50L_BaseRates!O93))&lt;1</f>
        <v>1</v>
      </c>
    </row>
    <row r="20" customFormat="false" ht="15" hidden="false" customHeight="false" outlineLevel="0" collapsed="false">
      <c r="A20" s="0" t="s">
        <v>1249</v>
      </c>
      <c r="B20" s="41" t="b">
        <f aca="false">MAX(Outlook_Selected!C36:N36)&lt;=1.0001</f>
        <v>1</v>
      </c>
    </row>
    <row r="21" customFormat="false" ht="15" hidden="false" customHeight="false" outlineLevel="0" collapsed="false">
      <c r="A21" s="0" t="s">
        <v>1250</v>
      </c>
      <c r="B21" s="41" t="b">
        <f aca="false">ABS(SUM(Outlook_Selected!O49:O58)-Outlook_Selected!O59)&lt;1</f>
        <v>1</v>
      </c>
    </row>
    <row r="22" customFormat="false" ht="15" hidden="false" customHeight="false" outlineLevel="0" collapsed="false">
      <c r="A22" s="0" t="s">
        <v>1251</v>
      </c>
      <c r="B22" s="41" t="b">
        <f aca="false">ABS(Outlook_Selected!O94-(Outlook_Selected!O71-Outlook_Selected!O93))&lt;1</f>
        <v>1</v>
      </c>
    </row>
    <row r="23" customFormat="false" ht="15" hidden="false" customHeight="false" outlineLevel="0" collapsed="false">
      <c r="A23" s="0" t="s">
        <v>1252</v>
      </c>
      <c r="B23" s="41" t="b">
        <f aca="false">ABS(3yr_Scenarios!B66)&lt;0.001</f>
        <v>1</v>
      </c>
    </row>
    <row r="24" customFormat="false" ht="15" hidden="false" customHeight="false" outlineLevel="0" collapsed="false">
      <c r="A24" s="0" t="s">
        <v>1253</v>
      </c>
      <c r="B24" s="41" t="b">
        <f aca="false">ABS(3yr_Scenarios!C66)&lt;0.001</f>
        <v>1</v>
      </c>
    </row>
    <row r="25" customFormat="false" ht="15" hidden="false" customHeight="false" outlineLevel="0" collapsed="false">
      <c r="A25" s="0" t="s">
        <v>1254</v>
      </c>
      <c r="B25" s="41" t="b">
        <f aca="false">ABS(3yr_Scenarios!D66)&lt;0.001</f>
        <v>1</v>
      </c>
    </row>
    <row r="26" customFormat="false" ht="15" hidden="false" customHeight="false" outlineLevel="0" collapsed="false">
      <c r="A26" s="0" t="s">
        <v>1255</v>
      </c>
      <c r="B26" s="41" t="b">
        <f aca="false">ABS(3yr_Scenarios!E66)&lt;0.001</f>
        <v>1</v>
      </c>
    </row>
    <row r="27" customFormat="false" ht="15" hidden="false" customHeight="false" outlineLevel="0" collapsed="false">
      <c r="A27" s="0" t="s">
        <v>1256</v>
      </c>
      <c r="B27" s="41" t="b">
        <f aca="false">ABS(3yr_Scenarios!F66)&lt;0.001</f>
        <v>1</v>
      </c>
    </row>
    <row r="28" customFormat="false" ht="15" hidden="false" customHeight="false" outlineLevel="0" collapsed="false">
      <c r="A28" s="0" t="s">
        <v>1257</v>
      </c>
      <c r="B28" s="41" t="b">
        <f aca="false">ABS(3yr_Scenarios!G66)&lt;0.001</f>
        <v>1</v>
      </c>
    </row>
    <row r="29" customFormat="false" ht="15" hidden="false" customHeight="false" outlineLevel="0" collapsed="false">
      <c r="A29" s="0" t="s">
        <v>1258</v>
      </c>
      <c r="B29" s="41" t="b">
        <f aca="false">ABS(3yr_Scenarios!H66)&lt;0.001</f>
        <v>1</v>
      </c>
    </row>
    <row r="30" customFormat="false" ht="15" hidden="false" customHeight="false" outlineLevel="0" collapsed="false">
      <c r="A30" s="0" t="s">
        <v>1259</v>
      </c>
      <c r="B30" s="41" t="b">
        <f aca="false">ABS(3yr_Scenarios!I66)&lt;0.001</f>
        <v>1</v>
      </c>
    </row>
    <row r="31" customFormat="false" ht="15" hidden="false" customHeight="false" outlineLevel="0" collapsed="false">
      <c r="A31" s="0" t="s">
        <v>1260</v>
      </c>
      <c r="B31" s="41" t="b">
        <f aca="false">ABS(3yr_Scenarios!J66)&lt;0.001</f>
        <v>1</v>
      </c>
    </row>
    <row r="32" customFormat="false" ht="15" hidden="false" customHeight="false" outlineLevel="0" collapsed="false">
      <c r="A32" s="0" t="s">
        <v>1261</v>
      </c>
      <c r="B32" s="41" t="b">
        <f aca="false">IF(Assumptions!$C$3="Base",ABS(Outlook_Selected!O94-Outlook_Base!O94)&lt;1,TRUE())</f>
        <v>1</v>
      </c>
    </row>
    <row r="33" customFormat="false" ht="15" hidden="false" customHeight="false" outlineLevel="0" collapsed="false">
      <c r="A33" s="0" t="s">
        <v>1262</v>
      </c>
      <c r="B33" s="41" t="b">
        <f aca="false">ABS(Outlook_Base!N20-Assumptions!$D$25*(Assumptions!$D$27+Assumptions!$D$28+Assumptions!$D$31))&lt;0.01</f>
        <v>1</v>
      </c>
    </row>
    <row r="35" customFormat="false" ht="15" hidden="false" customHeight="false" outlineLevel="0" collapsed="false">
      <c r="A35" s="3" t="s">
        <v>1263</v>
      </c>
      <c r="B35" s="41" t="b">
        <f aca="false">AND(B5:B33)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2026-10-16T03:30:42Z</dcterms:created>
  <dc:creator>openpyxl</dc:creator>
  <dc:description/>
  <dc:language>en-US</dc:language>
  <cp:lastModifiedBy/>
  <dcterms:modified xsi:type="dcterms:W3CDTF">2026-10-16T03:30:42Z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