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Funnel_Selected" sheetId="4" state="visible" r:id="rId6"/>
    <sheet name="Funnel_Conservative" sheetId="5" state="visible" r:id="rId7"/>
    <sheet name="Funnel_Base" sheetId="6" state="visible" r:id="rId8"/>
    <sheet name="Funnel_Aggressive" sheetId="7" state="visible" r:id="rId9"/>
    <sheet name="Speed_to_Lead" sheetId="8" state="visible" r:id="rId10"/>
    <sheet name="Popup_Ev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<sst xmlns="http://schemas.openxmlformats.org/spreadsheetml/2006/main" count="1036" uniqueCount="521">
  <si>
    <t xml:space="preserve">PNA funnel economics - instrumented admissions funnel by channel</t>
  </si>
  <si>
    <t xml:space="preserve">Economics &amp; Market Sizing agent, 2026-10-16. Build script: economics/build_scripts/build_funnel_economics.py</t>
  </si>
  <si>
    <t xml:space="preserve">Alignment</t>
  </si>
  <si>
    <t xml:space="preserve">Uses the Growth agent's master assumption table (strategy/admissions_funnel.md §9, A-GRO-01..50) with its IDs and values, mapped Low/Base/High -&gt; scenario columns per its convention (cost 'High' = Conservative). Adds A-BM (Business Model agent) pop-up inputs and A-ECO delivery-cost inputs.</t>
  </si>
  <si>
    <t xml:space="preserve">Method</t>
  </si>
  <si>
    <t xml:space="preserve">Target-driven per month at steady state (months 7-12): A-GRO-01 x route mix (A-GRO-03) / route conversion (A-GRO-18..22) = leads; leads x CPL = spend. Webinar + regional pop-up route (S7) is additive. Unit economics per career student: first-course revenue (ex-GST) - variable delivery cost = contribution; + 24-month follow-on = LTV.</t>
  </si>
  <si>
    <t xml:space="preserve">Sheets</t>
  </si>
  <si>
    <t xml:space="preserve">Summary (Cons/Base/Aggr side by side) ; Assumptions ; Funnel_Selected (driven by Assumptions!C3) ; Funnel_Conservative / _Base / _Aggressive ; Speed_to_Lead (H7) ; Popup_Events (BM M5).</t>
  </si>
  <si>
    <t xml:space="preserve">Feeds</t>
  </si>
  <si>
    <t xml:space="preserve">Summary 'FEED' rows -&gt; business_forecast.xlsx Assumptions A-ECO-FUN-01..03 (pasted by run_all.py).</t>
  </si>
  <si>
    <t xml:space="preserve">GST</t>
  </si>
  <si>
    <t xml:space="preserve">Fees assumed quoted GST-inclusive (A-ECO-24 = 1): revenue = fee / 1.18. 18% GST applies to private non-recognised training (A-ECO-23).</t>
  </si>
  <si>
    <t xml:space="preserve">Limitations</t>
  </si>
  <si>
    <t xml:space="preserve">All conversion and CPL inputs are hypotheses from vendor/US benchmarks (A-CUS/A-GRO); replace with PNA CRM data after 6-8 weeks of instrumentation. Organic and referral volumes are derived from the target, not observed.</t>
  </si>
  <si>
    <t xml:space="preserve">Funnel economics - scenario summary (per month at steady state unless stated)</t>
  </si>
  <si>
    <t xml:space="preserve">Read with admissions_funnel.md §10 (Growth agent). Outputs in the yellow rows feed business_forecast.xlsx (pasted by run_all.py).</t>
  </si>
  <si>
    <t xml:space="preserve">Metric</t>
  </si>
  <si>
    <t xml:space="preserve">Conservative</t>
  </si>
  <si>
    <t xml:space="preserve">Base</t>
  </si>
  <si>
    <t xml:space="preserve">Aggressive</t>
  </si>
  <si>
    <t xml:space="preserve">Selected</t>
  </si>
  <si>
    <t xml:space="preserve">Source row</t>
  </si>
  <si>
    <t xml:space="preserve">Career enrolment target / month</t>
  </si>
  <si>
    <t xml:space="preserve">H7</t>
  </si>
  <si>
    <t xml:space="preserve">Career + webinar/pop-up enrolments / month</t>
  </si>
  <si>
    <t xml:space="preserve">H16</t>
  </si>
  <si>
    <t xml:space="preserve">Leads / month (career routes + webinar/pop-up)</t>
  </si>
  <si>
    <t xml:space="preserve">H17</t>
  </si>
  <si>
    <t xml:space="preserve">Overall lead -&gt; enrolled</t>
  </si>
  <si>
    <t xml:space="preserve">H14</t>
  </si>
  <si>
    <t xml:space="preserve">Media spend / month, career routes (₹)</t>
  </si>
  <si>
    <t xml:space="preserve">H52</t>
  </si>
  <si>
    <t xml:space="preserve">Channel spend incl. content + rewards (₹)</t>
  </si>
  <si>
    <t xml:space="preserve">H24</t>
  </si>
  <si>
    <t xml:space="preserve">Meta CTWA CAC (₹)</t>
  </si>
  <si>
    <t xml:space="preserve">B42</t>
  </si>
  <si>
    <t xml:space="preserve">Google Search CAC (₹)</t>
  </si>
  <si>
    <t xml:space="preserve">C42</t>
  </si>
  <si>
    <t xml:space="preserve">Organic CAC (content cost) (₹)</t>
  </si>
  <si>
    <t xml:space="preserve">D42</t>
  </si>
  <si>
    <t xml:space="preserve">Referral CAC (reward) (₹)</t>
  </si>
  <si>
    <t xml:space="preserve">E42</t>
  </si>
  <si>
    <t xml:space="preserve">Taster CAC net of tickets (₹)</t>
  </si>
  <si>
    <t xml:space="preserve">F42</t>
  </si>
  <si>
    <t xml:space="preserve">Webinar + pop-up CAC (₹)</t>
  </si>
  <si>
    <t xml:space="preserve">G42</t>
  </si>
  <si>
    <t xml:space="preserve">Blended CAC, all routes (₹)</t>
  </si>
  <si>
    <t xml:space="preserve">H42</t>
  </si>
  <si>
    <t xml:space="preserve">Paid-only CAC (₹)</t>
  </si>
  <si>
    <t xml:space="preserve">H46</t>
  </si>
  <si>
    <t xml:space="preserve">Fully loaded CAC incl. counsellor (₹)</t>
  </si>
  <si>
    <t xml:space="preserve">H51</t>
  </si>
  <si>
    <t xml:space="preserve">Blended CAC as % of first-course revenue</t>
  </si>
  <si>
    <t xml:space="preserve">H43</t>
  </si>
  <si>
    <t xml:space="preserve">First-course revenue per career student, ex-GST (₹)</t>
  </si>
  <si>
    <t xml:space="preserve">H28</t>
  </si>
  <si>
    <t xml:space="preserve">First-course contribution before CAC (₹)</t>
  </si>
  <si>
    <t xml:space="preserve">H31</t>
  </si>
  <si>
    <t xml:space="preserve">Follow-on 24-month contribution (₹)</t>
  </si>
  <si>
    <t xml:space="preserve">H33</t>
  </si>
  <si>
    <t xml:space="preserve">LTV (24-month contribution) (₹)</t>
  </si>
  <si>
    <t xml:space="preserve">H34</t>
  </si>
  <si>
    <t xml:space="preserve">LTV / blended CAC</t>
  </si>
  <si>
    <t xml:space="preserve">H44</t>
  </si>
  <si>
    <t xml:space="preserve">CAC payback (months)</t>
  </si>
  <si>
    <t xml:space="preserve">H45</t>
  </si>
  <si>
    <t xml:space="preserve">Counsellor FTE needed</t>
  </si>
  <si>
    <t xml:space="preserve">H50</t>
  </si>
  <si>
    <t xml:space="preserve">FEED: variable acquisition cost per target career enrolment (₹)</t>
  </si>
  <si>
    <t xml:space="preserve">H47</t>
  </si>
  <si>
    <t xml:space="preserve">FEED: paid-route media CAC, CTWA + Search + Taster (₹)</t>
  </si>
  <si>
    <t xml:space="preserve">H48</t>
  </si>
  <si>
    <t xml:space="preserve">Funnel-required career media / month at target (₹)</t>
  </si>
  <si>
    <t xml:space="preserve">FEED: masterclass media per seat (₹)</t>
  </si>
  <si>
    <t xml:space="preserve">B60</t>
  </si>
  <si>
    <t xml:space="preserve">FEED: self-makeup media per seat (₹)</t>
  </si>
  <si>
    <t xml:space="preserve">C60</t>
  </si>
  <si>
    <t xml:space="preserve">CAC payback: BM gate G1 requires CAC payback &lt;= 3 months and CAC &lt;= 12% of realised fee.</t>
  </si>
  <si>
    <t xml:space="preserve">Assumptions register (inputs)</t>
  </si>
  <si>
    <t xml:space="preserve">Blue = input. Columns are scenario values: Conservative = adverse rates + smaller plan; Aggressive = favourable rates + larger plan. A-GRO = Growth agent master table; A-BM = Business Model agent; A-ECO = Economics agent.</t>
  </si>
  <si>
    <t xml:space="preserve">Scenario selector</t>
  </si>
  <si>
    <t xml:space="preserve">&lt;- choose Conservative / Base / Aggressive (drives column I 'Selected' and any sheet that uses it)</t>
  </si>
  <si>
    <t xml:space="preserve">Scenario index</t>
  </si>
  <si>
    <t xml:space="preserve">ID</t>
  </si>
  <si>
    <t xml:space="preserve">Description</t>
  </si>
  <si>
    <t xml:space="preserve">Unit</t>
  </si>
  <si>
    <t xml:space="preserve">Source / rationale</t>
  </si>
  <si>
    <t xml:space="preserve">Tag</t>
  </si>
  <si>
    <t xml:space="preserve">1. Canonical, baseline and GST</t>
  </si>
  <si>
    <t xml:space="preserve">CA-01</t>
  </si>
  <si>
    <t xml:space="preserve">PNA paying students per year today (all courses)</t>
  </si>
  <si>
    <t xml:space="preserve">students/yr</t>
  </si>
  <si>
    <t xml:space="preserve">Founder: 'under 60' (2026-10-16)</t>
  </si>
  <si>
    <t xml:space="preserve">[FOUNDER]</t>
  </si>
  <si>
    <t xml:space="preserve">CA-02</t>
  </si>
  <si>
    <t xml:space="preserve">Current flagship professional course fee (incl. kit)</t>
  </si>
  <si>
    <t xml:space="preserve">₹</t>
  </si>
  <si>
    <t xml:space="preserve">Not supplied; local diploma band ₹35-75k (S-LC §6)</t>
  </si>
  <si>
    <t xml:space="preserve">[HYP]</t>
  </si>
  <si>
    <t xml:space="preserve">CA-03</t>
  </si>
  <si>
    <t xml:space="preserve">Growth investment envelope, 12 months</t>
  </si>
  <si>
    <t xml:space="preserve">Founder: moderate ₹10-50L</t>
  </si>
  <si>
    <t xml:space="preserve">A-ECO-101</t>
  </si>
  <si>
    <t xml:space="preserve">Career (L2/L3-type) share of today's students</t>
  </si>
  <si>
    <t xml:space="preserve">%</t>
  </si>
  <si>
    <t xml:space="preserve">Assumed mix; founder data pull (V1) to replace</t>
  </si>
  <si>
    <t xml:space="preserve">A-ECO-102</t>
  </si>
  <si>
    <t xml:space="preserve">Average fee of today's short courses / masterclasses</t>
  </si>
  <si>
    <t xml:space="preserve">Local short-course band ₹6.5-25k (S-LC §6)</t>
  </si>
  <si>
    <t xml:space="preserve">A-ECO-103</t>
  </si>
  <si>
    <t xml:space="preserve">Pro kit cost borne by PNA while fee includes kit (pre price-step)</t>
  </si>
  <si>
    <t xml:space="preserve">₹/student</t>
  </si>
  <si>
    <t xml:space="preserve">Growth agent: optional kit ₹18-25k at near cost; basic included kit assumed cheaper</t>
  </si>
  <si>
    <t xml:space="preserve">A-ECO-23</t>
  </si>
  <si>
    <t xml:space="preserve">GST rate on PNA training (private, non-recognised; SAC 9992)</t>
  </si>
  <si>
    <t xml:space="preserve">GST Council education flyer: private/unrecognised coaching not exempt (https://www.gstcouncil.gov.in/sites/default/files/e-version-gst-flyers/GST_Education_Services.pdf, accessed 2026-10-16); AAR Kerala 2022 -&gt; 18% under 9992</t>
  </si>
  <si>
    <t xml:space="preserve">[FACT] rule / [HYP] PNA</t>
  </si>
  <si>
    <t xml:space="preserve">A-ECO-24</t>
  </si>
  <si>
    <t xml:space="preserve">Fees quoted GST-inclusive? (1 = PNA absorbs GST from list fee; 0 = GST charged on top)</t>
  </si>
  <si>
    <t xml:space="preserve">switch</t>
  </si>
  <si>
    <t xml:space="preserve">Consumer academies mostly quote one number; DBA quotes ex-GST, Pearl incl. GST (S-NC-26, S-IND-23). Sensitivity flips it</t>
  </si>
  <si>
    <t xml:space="preserve">2. Prices (Growth agent ladder L1-L5; BM realised fee)</t>
  </si>
  <si>
    <t xml:space="preserve">A-GRO-04</t>
  </si>
  <si>
    <t xml:space="preserve">L1 Career Taster ticket</t>
  </si>
  <si>
    <t xml:space="preserve">A-GRO-04 base (range ₹499-1,999); credited on enrolment</t>
  </si>
  <si>
    <t xml:space="preserve">A-GRO-05</t>
  </si>
  <si>
    <t xml:space="preserve">L2 Foundation fee (4 weeks, ~80 h)</t>
  </si>
  <si>
    <t xml:space="preserve">A-GRO-05 (Aggressive = midpoint of Growth base/high to avoid stacking upsides)</t>
  </si>
  <si>
    <t xml:space="preserve">A-GRO-06</t>
  </si>
  <si>
    <t xml:space="preserve">L3 Professional Bridal Programme list tuition (after proof gate; kit optional)</t>
  </si>
  <si>
    <t xml:space="preserve">A-BM-02</t>
  </si>
  <si>
    <t xml:space="preserve">L3 realised fee after discounts/credits (after proof gate)</t>
  </si>
  <si>
    <t xml:space="preserve">A-BM-02 (list ₹90k-1.25L)</t>
  </si>
  <si>
    <t xml:space="preserve">A-GRO-07</t>
  </si>
  <si>
    <t xml:space="preserve">L4 masterclass average ticket</t>
  </si>
  <si>
    <t xml:space="preserve">A-GRO-07 (Aggressive = midpoint of base ₹10k / high ₹18k)</t>
  </si>
  <si>
    <t xml:space="preserve">A-GRO-08</t>
  </si>
  <si>
    <t xml:space="preserve">L1-S5 self-makeup workshop price</t>
  </si>
  <si>
    <t xml:space="preserve">A-GRO-08 (Aggressive = midpoint)</t>
  </si>
  <si>
    <t xml:space="preserve">A-GRO-09</t>
  </si>
  <si>
    <t xml:space="preserve">L5 Pro Circle membership</t>
  </si>
  <si>
    <t xml:space="preserve">₹/yr</t>
  </si>
  <si>
    <t xml:space="preserve">A-GRO-09 (Aggressive = midpoint); free year 1 for L3 graduates</t>
  </si>
  <si>
    <t xml:space="preserve">A-ECO-17</t>
  </si>
  <si>
    <t xml:space="preserve">Hybrid Pro (online pre-work + 5-6 wk intensive) realised fee, at L3 parity</t>
  </si>
  <si>
    <t xml:space="preserve">Growth/BM: hybrid at L3 price parity; = A-BM-02</t>
  </si>
  <si>
    <t xml:space="preserve">3. Funnel volumes, mix, media costs and conversion (A-GRO master table)</t>
  </si>
  <si>
    <t xml:space="preserve">A-GRO-01</t>
  </si>
  <si>
    <t xml:space="preserve">Career enrolments (L2+L3) per month, steady state (months 7-12)</t>
  </si>
  <si>
    <t xml:space="preserve">enrol/mo</t>
  </si>
  <si>
    <t xml:space="preserve">A-GRO-02</t>
  </si>
  <si>
    <t xml:space="preserve">Pro (L3) share of career enrolments</t>
  </si>
  <si>
    <t xml:space="preserve">A-GRO-03a</t>
  </si>
  <si>
    <t xml:space="preserve">Route mix: Meta CTWA</t>
  </si>
  <si>
    <t xml:space="preserve">A-GRO-03</t>
  </si>
  <si>
    <t xml:space="preserve">A-GRO-03b</t>
  </si>
  <si>
    <t xml:space="preserve">Route mix: Paid Search</t>
  </si>
  <si>
    <t xml:space="preserve">A-GRO-03c</t>
  </si>
  <si>
    <t xml:space="preserve">Route mix: Organic (IG/site/GBP/SEO)</t>
  </si>
  <si>
    <t xml:space="preserve">A-GRO-03d</t>
  </si>
  <si>
    <t xml:space="preserve">Route mix: Referral / alumni / walk-in</t>
  </si>
  <si>
    <t xml:space="preserve">A-GRO-03e</t>
  </si>
  <si>
    <t xml:space="preserve">Route mix: Paid Career Taster</t>
  </si>
  <si>
    <t xml:space="preserve">A-GRO-10</t>
  </si>
  <si>
    <t xml:space="preserve">Meta CTWA cost per lead, tricity</t>
  </si>
  <si>
    <t xml:space="preserve">₹/lead</t>
  </si>
  <si>
    <t xml:space="preserve">A-GRO-10 (High=conservative)</t>
  </si>
  <si>
    <t xml:space="preserve">A-GRO-11</t>
  </si>
  <si>
    <t xml:space="preserve">Meta CTWA cost per lead, regional tier-2</t>
  </si>
  <si>
    <t xml:space="preserve">A-GRO-12</t>
  </si>
  <si>
    <t xml:space="preserve">Google Search cost per lead</t>
  </si>
  <si>
    <t xml:space="preserve">A-GRO-15</t>
  </si>
  <si>
    <t xml:space="preserve">Cost per Taster ticket sold</t>
  </si>
  <si>
    <t xml:space="preserve">₹/ticket</t>
  </si>
  <si>
    <t xml:space="preserve">A-GRO-16</t>
  </si>
  <si>
    <t xml:space="preserve">Cost per masterclass lead (paid)</t>
  </si>
  <si>
    <t xml:space="preserve">A-GRO-17</t>
  </si>
  <si>
    <t xml:space="preserve">Cost per self-makeup lead (paid)</t>
  </si>
  <si>
    <t xml:space="preserve">A-GRO-18b-MC</t>
  </si>
  <si>
    <t xml:space="preserve">Paid share of masterclass leads</t>
  </si>
  <si>
    <t xml:space="preserve">A-GRO-18b (more organic = cheaper)</t>
  </si>
  <si>
    <t xml:space="preserve">A-GRO-18b-SM</t>
  </si>
  <si>
    <t xml:space="preserve">Paid share of self-makeup leads</t>
  </si>
  <si>
    <t xml:space="preserve">A-GRO-18b</t>
  </si>
  <si>
    <t xml:space="preserve">A-GRO-18a</t>
  </si>
  <si>
    <t xml:space="preserve">Meta CTWA: Lead-&gt;QL</t>
  </si>
  <si>
    <t xml:space="preserve">A-GRO-18 scenario set</t>
  </si>
  <si>
    <t xml:space="preserve">Meta CTWA: QL-&gt;Counselled</t>
  </si>
  <si>
    <t xml:space="preserve">A-GRO-18c</t>
  </si>
  <si>
    <t xml:space="preserve">Meta CTWA: Counselled-&gt;Applied</t>
  </si>
  <si>
    <t xml:space="preserve">A-GRO-18d</t>
  </si>
  <si>
    <t xml:space="preserve">Meta CTWA: Applied-&gt;Enrolled</t>
  </si>
  <si>
    <t xml:space="preserve">A-GRO-19a</t>
  </si>
  <si>
    <t xml:space="preserve">Paid Search: Lead-&gt;QL</t>
  </si>
  <si>
    <t xml:space="preserve">A-GRO-19 scenario set</t>
  </si>
  <si>
    <t xml:space="preserve">A-GRO-19b</t>
  </si>
  <si>
    <t xml:space="preserve">Paid Search: QL-&gt;Counselled</t>
  </si>
  <si>
    <t xml:space="preserve">A-GRO-19c</t>
  </si>
  <si>
    <t xml:space="preserve">Paid Search: Counselled-&gt;Applied</t>
  </si>
  <si>
    <t xml:space="preserve">A-GRO-19d</t>
  </si>
  <si>
    <t xml:space="preserve">Paid Search: Applied-&gt;Enrolled</t>
  </si>
  <si>
    <t xml:space="preserve">A-GRO-20a</t>
  </si>
  <si>
    <t xml:space="preserve">Organic: Lead-&gt;QL</t>
  </si>
  <si>
    <t xml:space="preserve">A-GRO-20 scenario set</t>
  </si>
  <si>
    <t xml:space="preserve">A-GRO-20b</t>
  </si>
  <si>
    <t xml:space="preserve">Organic: QL-&gt;Counselled</t>
  </si>
  <si>
    <t xml:space="preserve">A-GRO-20c</t>
  </si>
  <si>
    <t xml:space="preserve">Organic: Counselled-&gt;Applied</t>
  </si>
  <si>
    <t xml:space="preserve">A-GRO-20d</t>
  </si>
  <si>
    <t xml:space="preserve">Organic: Applied-&gt;Enrolled</t>
  </si>
  <si>
    <t xml:space="preserve">A-GRO-21a</t>
  </si>
  <si>
    <t xml:space="preserve">Referral/walk-in: Lead-&gt;QL</t>
  </si>
  <si>
    <t xml:space="preserve">A-GRO-21 scenario set</t>
  </si>
  <si>
    <t xml:space="preserve">A-GRO-21b</t>
  </si>
  <si>
    <t xml:space="preserve">Referral/walk-in: QL-&gt;Counselled</t>
  </si>
  <si>
    <t xml:space="preserve">A-GRO-21c</t>
  </si>
  <si>
    <t xml:space="preserve">Referral/walk-in: Counselled-&gt;Applied</t>
  </si>
  <si>
    <t xml:space="preserve">A-GRO-21d</t>
  </si>
  <si>
    <t xml:space="preserve">Referral/walk-in: Applied-&gt;Enrolled</t>
  </si>
  <si>
    <t xml:space="preserve">A-GRO-22a</t>
  </si>
  <si>
    <t xml:space="preserve">Taster: ticket -&gt; attend</t>
  </si>
  <si>
    <t xml:space="preserve">A-GRO-22</t>
  </si>
  <si>
    <t xml:space="preserve">A-GRO-22b</t>
  </si>
  <si>
    <t xml:space="preserve">Taster: attendee -&gt; counselled</t>
  </si>
  <si>
    <t xml:space="preserve">A-GRO-22c</t>
  </si>
  <si>
    <t xml:space="preserve">Taster: counselled -&gt; enrolled (&lt;=60 days)</t>
  </si>
  <si>
    <t xml:space="preserve">A-GRO-24</t>
  </si>
  <si>
    <t xml:space="preserve">Lead-&gt;QL multiplier if speed-to-lead SLA NOT met (median &gt;1 h)</t>
  </si>
  <si>
    <t xml:space="preserve">x</t>
  </si>
  <si>
    <t xml:space="preserve">A-GRO-24 (inverse of A-CUS-16)</t>
  </si>
  <si>
    <t xml:space="preserve">A-GRO-25</t>
  </si>
  <si>
    <t xml:space="preserve">Founder-touch multiplier on counselled-&gt;applied (premium lost when team-led)</t>
  </si>
  <si>
    <t xml:space="preserve">A-GRO-25 / A-CUS-30 (larger premium = more conversion lost as founder steps back)</t>
  </si>
  <si>
    <t xml:space="preserve">A-GRO-26a</t>
  </si>
  <si>
    <t xml:space="preserve">Online parents' session: registrant -&gt; attendee</t>
  </si>
  <si>
    <t xml:space="preserve">A-GRO-26</t>
  </si>
  <si>
    <t xml:space="preserve">A-GRO-26b</t>
  </si>
  <si>
    <t xml:space="preserve">Online parents' session: attendee -&gt; counselling booked</t>
  </si>
  <si>
    <t xml:space="preserve">A-GRO-27</t>
  </si>
  <si>
    <t xml:space="preserve">Masterclass lead -&gt; purchase</t>
  </si>
  <si>
    <t xml:space="preserve">A-GRO-28</t>
  </si>
  <si>
    <t xml:space="preserve">Self-makeup lead -&gt; booking</t>
  </si>
  <si>
    <t xml:space="preserve">A-GRO-29</t>
  </si>
  <si>
    <t xml:space="preserve">Masterclass repeat purchase per year (S3/alumni)</t>
  </si>
  <si>
    <t xml:space="preserve">A-GRO-30</t>
  </si>
  <si>
    <t xml:space="preserve">Self-makeup -&gt; career upgrade</t>
  </si>
  <si>
    <t xml:space="preserve">A-GRO-31</t>
  </si>
  <si>
    <t xml:space="preserve">Career completion</t>
  </si>
  <si>
    <t xml:space="preserve">A-GRO-33</t>
  </si>
  <si>
    <t xml:space="preserve">Referral leads per alumnus per year</t>
  </si>
  <si>
    <t xml:space="preserve">leads</t>
  </si>
  <si>
    <t xml:space="preserve">A-GRO-34</t>
  </si>
  <si>
    <t xml:space="preserve">Referral reward per enrolled referee</t>
  </si>
  <si>
    <t xml:space="preserve">A-GRO-34 (High=conservative)</t>
  </si>
  <si>
    <t xml:space="preserve">A-GRO-35</t>
  </si>
  <si>
    <t xml:space="preserve">EMI uptake (L3)</t>
  </si>
  <si>
    <t xml:space="preserve">A-GRO-35 (more EMI = more subvention)</t>
  </si>
  <si>
    <t xml:space="preserve">A-GRO-35b</t>
  </si>
  <si>
    <t xml:space="preserve">No-cost EMI subvention borne by PNA</t>
  </si>
  <si>
    <t xml:space="preserve">A-GRO-36</t>
  </si>
  <si>
    <t xml:space="preserve">Pro Circle paid uptake: graduates after free year</t>
  </si>
  <si>
    <t xml:space="preserve">A-GRO-36b</t>
  </si>
  <si>
    <t xml:space="preserve">Pro Circle paid uptake: S3 masterclass buyers</t>
  </si>
  <si>
    <t xml:space="preserve">A-GRO-37</t>
  </si>
  <si>
    <t xml:space="preserve">Out-of-town share of career enrolments</t>
  </si>
  <si>
    <t xml:space="preserve">A-GRO-37 / A-CHD-04</t>
  </si>
  <si>
    <t xml:space="preserve">A-GRO-38</t>
  </si>
  <si>
    <t xml:space="preserve">Counsellor capacity (conversations/day; 24 working days)</t>
  </si>
  <si>
    <t xml:space="preserve">conv/day</t>
  </si>
  <si>
    <t xml:space="preserve">A-GRO-41</t>
  </si>
  <si>
    <t xml:space="preserve">Payment gateway fee</t>
  </si>
  <si>
    <t xml:space="preserve">A-GRO-41 (Razorpay 2% + GST, claim)</t>
  </si>
  <si>
    <t xml:space="preserve">[CLAIM]</t>
  </si>
  <si>
    <t xml:space="preserve">A-GRO-43</t>
  </si>
  <si>
    <t xml:space="preserve">Organic career leads per month, months 7-12 (Growth agent check value)</t>
  </si>
  <si>
    <t xml:space="preserve">leads/mo</t>
  </si>
  <si>
    <t xml:space="preserve">A-GRO-43 (model derives its own)</t>
  </si>
  <si>
    <t xml:space="preserve">A-GRO-44</t>
  </si>
  <si>
    <t xml:space="preserve">Referral + walk-in career leads per month, months 7-12 (check value)</t>
  </si>
  <si>
    <t xml:space="preserve">4. Webinar / pop-up, follow-on and timing (A-BM, A-ECO)</t>
  </si>
  <si>
    <t xml:space="preserve">A-ECO-30</t>
  </si>
  <si>
    <t xml:space="preserve">Webinar / pop-up promotion cost per registrant</t>
  </si>
  <si>
    <t xml:space="preserve">₹/registrant</t>
  </si>
  <si>
    <t xml:space="preserve">Regional CTWA CPL ₹120-500 (A-GRO-11) x ~40% registration</t>
  </si>
  <si>
    <t xml:space="preserve">A-ECO-31</t>
  </si>
  <si>
    <t xml:space="preserve">Online parents' info sessions per month (registrants per session 30)</t>
  </si>
  <si>
    <t xml:space="preserve">sessions/mo</t>
  </si>
  <si>
    <t xml:space="preserve">Growth agent §8.1: monthly session, 30 registrants (A-GRO §10.3)</t>
  </si>
  <si>
    <t xml:space="preserve">A-ECO-32</t>
  </si>
  <si>
    <t xml:space="preserve">Registrants per online session</t>
  </si>
  <si>
    <t xml:space="preserve">registrants</t>
  </si>
  <si>
    <t xml:space="preserve">A-GRO §10.3</t>
  </si>
  <si>
    <t xml:space="preserve">A-BM-06a</t>
  </si>
  <si>
    <t xml:space="preserve">Pop-up discovery workshop: paid attendees per event</t>
  </si>
  <si>
    <t xml:space="preserve">attendees</t>
  </si>
  <si>
    <t xml:space="preserve">A-BM-06 (25-40)</t>
  </si>
  <si>
    <t xml:space="preserve">A-BM-06b</t>
  </si>
  <si>
    <t xml:space="preserve">Pop-up ticket price</t>
  </si>
  <si>
    <t xml:space="preserve">A-BM-06 (₹999-1,999; breakeven ~36 at ₹1,499)</t>
  </si>
  <si>
    <t xml:space="preserve">A-BM-06c</t>
  </si>
  <si>
    <t xml:space="preserve">Pop-up cost per event-day (venue, travel, models, ads, staff)</t>
  </si>
  <si>
    <t xml:space="preserve">₹/event</t>
  </si>
  <si>
    <t xml:space="preserve">A-BM-06 ₹45-60k</t>
  </si>
  <si>
    <t xml:space="preserve">A-BM-06d</t>
  </si>
  <si>
    <t xml:space="preserve">Pop-up attendee -&gt; L3/L2 enrolment within 60 days</t>
  </si>
  <si>
    <t xml:space="preserve">A-BM-06 8-15%; A-CUS-19</t>
  </si>
  <si>
    <t xml:space="preserve">A-ECO-33</t>
  </si>
  <si>
    <t xml:space="preserve">Pop-up events per month at steady state (regional engine; G2)</t>
  </si>
  <si>
    <t xml:space="preserve">events/mo</t>
  </si>
  <si>
    <t xml:space="preserve">BM §6.2: pilots ≤₹2L before G2; circuit after G2</t>
  </si>
  <si>
    <t xml:space="preserve">A-ECO-34</t>
  </si>
  <si>
    <t xml:space="preserve">Payment months for career fees (token + instalments / NBFC)</t>
  </si>
  <si>
    <t xml:space="preserve">months</t>
  </si>
  <si>
    <t xml:space="preserve">Token + 2 instalments; NBFC pays upfront when EMI used</t>
  </si>
  <si>
    <t xml:space="preserve">A-ECO-35</t>
  </si>
  <si>
    <t xml:space="preserve">Masterclasses bought per career graduate within 24 months</t>
  </si>
  <si>
    <t xml:space="preserve">purchases</t>
  </si>
  <si>
    <t xml:space="preserve">A-GRO-29 30%/yr repeat applied to alumni</t>
  </si>
  <si>
    <t xml:space="preserve">A-ECO-36</t>
  </si>
  <si>
    <t xml:space="preserve">L2 Foundation -&gt; L3 upgrade share (fee credited)</t>
  </si>
  <si>
    <t xml:space="preserve">Growth ladder: L2 fee credited to L3 within 6 months</t>
  </si>
  <si>
    <t xml:space="preserve">A-ECO-37</t>
  </si>
  <si>
    <t xml:space="preserve">Optional kit uptake x margin (post price-step, near-cost kit ₹20k)</t>
  </si>
  <si>
    <t xml:space="preserve">₹/L3 student</t>
  </si>
  <si>
    <t xml:space="preserve">Growth: kit optional at near cost, itemised MRP</t>
  </si>
  <si>
    <t xml:space="preserve">A-ECO-104</t>
  </si>
  <si>
    <t xml:space="preserve">Month the L3 price steps from CA-02 to A-GRO-06/A-BM-02 (proof gate: outcomes report + &gt;=30 reviews)</t>
  </si>
  <si>
    <t xml:space="preserve">month #</t>
  </si>
  <si>
    <t xml:space="preserve">Growth agent §6: hold current fee for next two batches (~6 months); Conservative clears the gate late (M10)</t>
  </si>
  <si>
    <t xml:space="preserve">A-ECO-105</t>
  </si>
  <si>
    <t xml:space="preserve">Month from which the &lt;5-min speed-to-lead SLA is met (counsellor + CRM live)</t>
  </si>
  <si>
    <t xml:space="preserve">BM gate G0 by M3</t>
  </si>
  <si>
    <t xml:space="preserve">5. Delivery and growth-team costs (A-BM-04/16, A-GRO-42..50, A-ECO)</t>
  </si>
  <si>
    <t xml:space="preserve">A-BM-16</t>
  </si>
  <si>
    <t xml:space="preserve">L3 consumables / models per student (excl. kit)</t>
  </si>
  <si>
    <t xml:space="preserve">A-BM-16 ₹5-7k</t>
  </si>
  <si>
    <t xml:space="preserve">A-ECO-40</t>
  </si>
  <si>
    <t xml:space="preserve">L2 consumables per student</t>
  </si>
  <si>
    <t xml:space="preserve">1/3 of L3 duration</t>
  </si>
  <si>
    <t xml:space="preserve">A-ECO-41</t>
  </si>
  <si>
    <t xml:space="preserve">Hybrid: online delivery (LMS, live Q&amp;A) + campus consumables per student</t>
  </si>
  <si>
    <t xml:space="preserve">BM D-destination: shorter campus stay</t>
  </si>
  <si>
    <t xml:space="preserve">A-ECO-42</t>
  </si>
  <si>
    <t xml:space="preserve">L4 masterclass consumables / models per seat</t>
  </si>
  <si>
    <t xml:space="preserve">₹/seat</t>
  </si>
  <si>
    <t xml:space="preserve">Judgement</t>
  </si>
  <si>
    <t xml:space="preserve">A-ECO-43</t>
  </si>
  <si>
    <t xml:space="preserve">L1-S5 self-makeup cost per seat (own products used)</t>
  </si>
  <si>
    <t xml:space="preserve">A-ECO-44</t>
  </si>
  <si>
    <t xml:space="preserve">Taster delivery cost per ticket (trainer time share + products)</t>
  </si>
  <si>
    <t xml:space="preserve">A-ECO-45</t>
  </si>
  <si>
    <t xml:space="preserve">Pro Circle cost to serve per paid member-year</t>
  </si>
  <si>
    <t xml:space="preserve">₹/member</t>
  </si>
  <si>
    <t xml:space="preserve">Monthly online session + quarterly practice day</t>
  </si>
  <si>
    <t xml:space="preserve">A-BM-04a</t>
  </si>
  <si>
    <t xml:space="preserve">Lead trainer salary</t>
  </si>
  <si>
    <t xml:space="preserve">₹/mo</t>
  </si>
  <si>
    <t xml:space="preserve">A-BM-04 ₹50-80k</t>
  </si>
  <si>
    <t xml:space="preserve">A-BM-04b</t>
  </si>
  <si>
    <t xml:space="preserve">Trainer salary</t>
  </si>
  <si>
    <t xml:space="preserve">A-BM-04 ₹30-45k</t>
  </si>
  <si>
    <t xml:space="preserve">A-BM-04c</t>
  </si>
  <si>
    <t xml:space="preserve">Assistant salary</t>
  </si>
  <si>
    <t xml:space="preserve">A-BM-04 ₹15-20k</t>
  </si>
  <si>
    <t xml:space="preserve">A-ECO-46</t>
  </si>
  <si>
    <t xml:space="preserve">Batch slots one trainer FTE can lead (morning + afternoon)</t>
  </si>
  <si>
    <t xml:space="preserve">slots</t>
  </si>
  <si>
    <t xml:space="preserve">A-ECO-47</t>
  </si>
  <si>
    <t xml:space="preserve">Average cohort fill (students per L3/L2 batch; cap 12, A-BM-01)</t>
  </si>
  <si>
    <t xml:space="preserve">students</t>
  </si>
  <si>
    <t xml:space="preserve">A-BM-01 cap 12</t>
  </si>
  <si>
    <t xml:space="preserve">A-ECO-48</t>
  </si>
  <si>
    <t xml:space="preserve">L3 seat-months per student (12-week programme)</t>
  </si>
  <si>
    <t xml:space="preserve">seat-months</t>
  </si>
  <si>
    <t xml:space="preserve">A-BM-03</t>
  </si>
  <si>
    <t xml:space="preserve">[EST]</t>
  </si>
  <si>
    <t xml:space="preserve">A-ECO-49</t>
  </si>
  <si>
    <t xml:space="preserve">Destination/hybrid seat-months per student (4-wk online pre-work + 5-6-wk full-day intensive = Growth Fast-track)</t>
  </si>
  <si>
    <t xml:space="preserve">A-BM-03; ~1.2 months x 2 slots</t>
  </si>
  <si>
    <t xml:space="preserve">A-GRO-42</t>
  </si>
  <si>
    <t xml:space="preserve">Martech stack run-rate (BSP + CRM + telephony + tools)</t>
  </si>
  <si>
    <t xml:space="preserve">A-GRO-42 as used in Growth §10 budget</t>
  </si>
  <si>
    <t xml:space="preserve">A-GRO-45</t>
  </si>
  <si>
    <t xml:space="preserve">Admissions counsellor (FTE, incl. incentive)</t>
  </si>
  <si>
    <t xml:space="preserve">Growth §10 budget usage (A-GRO-45 range ₹20-32k)</t>
  </si>
  <si>
    <t xml:space="preserve">A-GRO-46</t>
  </si>
  <si>
    <t xml:space="preserve">Marketing/content team (B: exec ₹35k; A: manager ₹45k + creator ₹30k)</t>
  </si>
  <si>
    <t xml:space="preserve">Growth §10</t>
  </si>
  <si>
    <t xml:space="preserve">A-GRO-47</t>
  </si>
  <si>
    <t xml:space="preserve">Freelance shooter/editor retainer</t>
  </si>
  <si>
    <t xml:space="preserve">A-GRO-48</t>
  </si>
  <si>
    <t xml:space="preserve">Performance-marketing freelancer/agency</t>
  </si>
  <si>
    <t xml:space="preserve">A-GRO-49</t>
  </si>
  <si>
    <t xml:space="preserve">Website rebuild (one-off)</t>
  </si>
  <si>
    <t xml:space="preserve">A-GRO-50</t>
  </si>
  <si>
    <t xml:space="preserve">SEO content freelancer</t>
  </si>
  <si>
    <t xml:space="preserve">Instrumented funnel by channel - scenario chosen on Assumptions!C3 (per month, steady state months 7-12)</t>
  </si>
  <si>
    <t xml:space="preserve">Target-driven: career enrolment target (A-GRO-01) x route mix / route conversion = leads; leads x cost = spend. Webinar/pop-up is the regional (S7) route, additive to the target.</t>
  </si>
  <si>
    <t xml:space="preserve">Stage / metric</t>
  </si>
  <si>
    <t xml:space="preserve">Meta -&gt; WhatsApp (CTWA)</t>
  </si>
  <si>
    <t xml:space="preserve">Google Search</t>
  </si>
  <si>
    <t xml:space="preserve">Organic IG / content / GBP</t>
  </si>
  <si>
    <t xml:space="preserve">Referral / alumni / walk-in</t>
  </si>
  <si>
    <t xml:space="preserve">Paid Career Taster</t>
  </si>
  <si>
    <t xml:space="preserve">Webinar + regional pop-up</t>
  </si>
  <si>
    <t xml:space="preserve">Total / blended</t>
  </si>
  <si>
    <t xml:space="preserve">Notes</t>
  </si>
  <si>
    <t xml:space="preserve">A. Volumes</t>
  </si>
  <si>
    <t xml:space="preserve">Career enrolment target per month (A-GRO-01)</t>
  </si>
  <si>
    <t xml:space="preserve">steady state, months 7-12</t>
  </si>
  <si>
    <t xml:space="preserve">Route mix (A-GRO-03)</t>
  </si>
  <si>
    <t xml:space="preserve">B. Stage conversion (scenario sets; base rates assume the &lt;5-min SLA is met)</t>
  </si>
  <si>
    <t xml:space="preserve">Lead -&gt; Qualified lead</t>
  </si>
  <si>
    <t xml:space="preserve">Taster: ticket-&gt;attend / attend-&gt;counselled / counselled-&gt;enrolled ; Webinar/pop-up: see block F</t>
  </si>
  <si>
    <t xml:space="preserve">QL -&gt; Counselled / visit / demo</t>
  </si>
  <si>
    <t xml:space="preserve">Counselled -&gt; Applied (token)</t>
  </si>
  <si>
    <t xml:space="preserve">Applied -&gt; Enrolled (fee paid)</t>
  </si>
  <si>
    <t xml:space="preserve">product of stages (Growth agent: CTWA 2.95/5.28/8.70%)</t>
  </si>
  <si>
    <t xml:space="preserve">C. Funnel counts per month</t>
  </si>
  <si>
    <t xml:space="preserve">Enrolled (target x mix)</t>
  </si>
  <si>
    <t xml:space="preserve">Leads (Taster: tickets sold)</t>
  </si>
  <si>
    <t xml:space="preserve">enrolled / overall rate</t>
  </si>
  <si>
    <t xml:space="preserve">Qualified leads (Taster: attended)</t>
  </si>
  <si>
    <t xml:space="preserve">Counselled / visited</t>
  </si>
  <si>
    <t xml:space="preserve">Applied (token paid)</t>
  </si>
  <si>
    <t xml:space="preserve">Enrolled (check = target x mix)</t>
  </si>
  <si>
    <t xml:space="preserve">D. Cost per lead and channel spend (₹ per month)</t>
  </si>
  <si>
    <t xml:space="preserve">Cost per lead / ticket</t>
  </si>
  <si>
    <t xml:space="preserve">CTWA blends tricity and regional CPL by out-of-town share; organic = content cost / leads; referral = reward per enrolment</t>
  </si>
  <si>
    <t xml:space="preserve">Media / reward / content spend</t>
  </si>
  <si>
    <t xml:space="preserve">Organic: shooter/editor (A-GRO-47) + SEO (A-GRO-50); fixed team cost, shown for CAC visibility</t>
  </si>
  <si>
    <t xml:space="preserve">  of which taster ticket revenue offset (ex-GST)</t>
  </si>
  <si>
    <t xml:space="preserve">Growth §11 note 3</t>
  </si>
  <si>
    <t xml:space="preserve">E. Unit economics per enrolled career student (₹, ex-GST)</t>
  </si>
  <si>
    <t xml:space="preserve">Steady-state L3 realised fee (incl. GST if quoted inclusive)</t>
  </si>
  <si>
    <t xml:space="preserve">A-BM-02 after price step (A-ECO-104 &lt;= month 7), else CA-02</t>
  </si>
  <si>
    <t xml:space="preserve">First-course revenue per career enrolment (ex-GST)</t>
  </si>
  <si>
    <t xml:space="preserve">L3 share x L3 + L2 share x L2; taster route nets the ₹999 credit</t>
  </si>
  <si>
    <t xml:space="preserve">Trainer standard cost per seat-month (trainer + assistant / slots / fill)</t>
  </si>
  <si>
    <t xml:space="preserve">A-BM-04b/c, A-ECO-46/47</t>
  </si>
  <si>
    <t xml:space="preserve">Variable delivery cost per career enrolment</t>
  </si>
  <si>
    <t xml:space="preserve">consumables + kit (pre-step) + trainer standard cost + EMI subvention; gateway below</t>
  </si>
  <si>
    <t xml:space="preserve">First-course contribution before CAC</t>
  </si>
  <si>
    <t xml:space="preserve">Contribution margin % (before CAC)</t>
  </si>
  <si>
    <t xml:space="preserve">Follow-on contribution within 24 months (LTV add-on)</t>
  </si>
  <si>
    <t xml:space="preserve">L2-&gt;L3 upgrade + masterclasses + Pro Circle renewal + kit margin</t>
  </si>
  <si>
    <t xml:space="preserve">LTV: 24-month contribution per career student (before CAC)</t>
  </si>
  <si>
    <t xml:space="preserve">F. Webinar + regional pop-up route (S7; additive to target)</t>
  </si>
  <si>
    <t xml:space="preserve">Online parents' sessions per month x registrants</t>
  </si>
  <si>
    <t xml:space="preserve">A-ECO-31 x A-ECO-32</t>
  </si>
  <si>
    <t xml:space="preserve">Webinar enrolments = registrants x attend x counselling booked x CTWA counselled-&gt;enrolled</t>
  </si>
  <si>
    <t xml:space="preserve">A-GRO-26a/b; A-GRO-18c/d</t>
  </si>
  <si>
    <t xml:space="preserve">Pop-up events per month (A-ECO-33) x paid attendees</t>
  </si>
  <si>
    <t xml:space="preserve">Pop-up enrolments = attendees x attendee-&gt;enrol (A-BM-06d)</t>
  </si>
  <si>
    <t xml:space="preserve">Webinar promo + net pop-up cost (event cost - ticket revenue ex-GST)</t>
  </si>
  <si>
    <t xml:space="preserve">G. CAC, payback and totals</t>
  </si>
  <si>
    <t xml:space="preserve">CAC per enrolment (channel spend / enrolled)</t>
  </si>
  <si>
    <t xml:space="preserve">CAC as % of first-course revenue</t>
  </si>
  <si>
    <t xml:space="preserve">LTV / CAC (24-month contribution)</t>
  </si>
  <si>
    <t xml:space="preserve">CAC payback (months) = CAC / (first-course contribution / payment months)</t>
  </si>
  <si>
    <t xml:space="preserve">BM M3 definition; A-ECO-34 payment months</t>
  </si>
  <si>
    <t xml:space="preserve">Paid-only CAC (CTWA + Search + Taster net + webinar/pop-up)</t>
  </si>
  <si>
    <t xml:space="preserve">excludes organic content and referral rewards</t>
  </si>
  <si>
    <t xml:space="preserve">Variable acquisition cost per target career enrolment (for business_forecast)</t>
  </si>
  <si>
    <t xml:space="preserve">(CTWA + Search + Taster net + referral rewards) / target enrolments; organic content is a fixed team cost there</t>
  </si>
  <si>
    <t xml:space="preserve">Paid-route media CAC: (CTWA + Search + Taster net) / their enrolments (for business_forecast)</t>
  </si>
  <si>
    <t xml:space="preserve">Growth G4 'media CAC per paid career enrolment'</t>
  </si>
  <si>
    <t xml:space="preserve">Counselling conversations per month (career leads x 2.5 + other leads x 0.5)</t>
  </si>
  <si>
    <t xml:space="preserve">A-GRO §10.4 method</t>
  </si>
  <si>
    <t xml:space="preserve">Counsellor FTE needed (A-GRO-38 x 24 days)</t>
  </si>
  <si>
    <t xml:space="preserve">Fully loaded CAC incl. counsellor, performance freelancer and martech</t>
  </si>
  <si>
    <t xml:space="preserve">(channel spend + A-GRO-45 x FTE + A-GRO-48 + A-GRO-42) / enrolments; Growth G4 definition</t>
  </si>
  <si>
    <t xml:space="preserve">Media spend per month on career routes (CTWA + Search + Taster + pop-up/webinar)</t>
  </si>
  <si>
    <t xml:space="preserve">Check: organic leads derived vs A-GRO-43 ; referral leads vs A-GRO-44</t>
  </si>
  <si>
    <t xml:space="preserve">Growth agent check values</t>
  </si>
  <si>
    <t xml:space="preserve">H. Other products: masterclass (L4) and self-makeup (L1-S5) acquisition</t>
  </si>
  <si>
    <t xml:space="preserve">Seats per month (A-GRO §10.3: L4 24 base; L1-S5 15 base) - scaled with target</t>
  </si>
  <si>
    <t xml:space="preserve">L4 = 12 x target/5 ; L1-S5 = 1.5 x target</t>
  </si>
  <si>
    <t xml:space="preserve">Lead -&gt; purchase (A-GRO-27 / A-GRO-28)</t>
  </si>
  <si>
    <t xml:space="preserve">Leads needed</t>
  </si>
  <si>
    <t xml:space="preserve">Paid media (paid share x CPL x leads)</t>
  </si>
  <si>
    <t xml:space="preserve">A-GRO-18b, A-GRO-16/17</t>
  </si>
  <si>
    <t xml:space="preserve">Media per seat sold (for business_forecast)</t>
  </si>
  <si>
    <t xml:space="preserve">Columns: B = L4 masterclass, C = L1-S5 self-makeup</t>
  </si>
  <si>
    <t xml:space="preserve">Instrumented funnel by channel - Conservative (per month, steady state months 7-12)</t>
  </si>
  <si>
    <t xml:space="preserve">Instrumented funnel by channel - Base (per month, steady state months 7-12)</t>
  </si>
  <si>
    <t xml:space="preserve">Instrumented funnel by channel - Aggressive (per month, steady state months 7-12)</t>
  </si>
  <si>
    <t xml:space="preserve">Effect of speed-to-lead discipline (H7) - Base scenario, per month</t>
  </si>
  <si>
    <t xml:space="preserve">Same enrolment target with and without the &lt;5-min SLA (A-GRO-24 multiplies Lead-&gt;QL when the SLA is missed), and the alternative view: enrolments lost at the same media budget.</t>
  </si>
  <si>
    <t xml:space="preserve">Meta CTWA</t>
  </si>
  <si>
    <t xml:space="preserve">Organic</t>
  </si>
  <si>
    <t xml:space="preserve">Total (3 lead routes)</t>
  </si>
  <si>
    <t xml:space="preserve">Enrolments target (routes as Funnel_Base)</t>
  </si>
  <si>
    <t xml:space="preserve">Leads needed - SLA met</t>
  </si>
  <si>
    <t xml:space="preserve">Leads needed - SLA missed (Lead-&gt;QL x A-GRO-24)</t>
  </si>
  <si>
    <t xml:space="preserve">Spend - SLA met (₹)</t>
  </si>
  <si>
    <t xml:space="preserve">Spend - SLA missed (₹)</t>
  </si>
  <si>
    <t xml:space="preserve">CAC - SLA met (₹)</t>
  </si>
  <si>
    <t xml:space="preserve">CAC - SLA missed (₹)</t>
  </si>
  <si>
    <t xml:space="preserve">Extra spend per month to hit the same target (₹)</t>
  </si>
  <si>
    <t xml:space="preserve">Alternative: enrolments at the SAME budget if SLA missed</t>
  </si>
  <si>
    <t xml:space="preserve">Enrolments lost per month at the same budget</t>
  </si>
  <si>
    <t xml:space="preserve">Contribution lost per month (lost enrolments x contribution)</t>
  </si>
  <si>
    <t xml:space="preserve">Annual contribution lost at the same budget (x12)</t>
  </si>
  <si>
    <t xml:space="preserve">Founder-touch: counselled-&gt;applied falls by 1/A-GRO-25 when fully team-led; enrolments lost at same leads (all routes)</t>
  </si>
  <si>
    <t xml:space="preserve">Reading: missing the SLA costs ~1/0.67 = 1.5x the media for the same enrolments - more than the gap between base and optimistic CPL. Process discipline before budget (H7).</t>
  </si>
  <si>
    <t xml:space="preserve">Regional pop-up discovery workshop economics (per event) - BM spec M5</t>
  </si>
  <si>
    <t xml:space="preserve">Paid attendees</t>
  </si>
  <si>
    <t xml:space="preserve">Ticket price (incl. GST)</t>
  </si>
  <si>
    <t xml:space="preserve">Ticket revenue ex-GST</t>
  </si>
  <si>
    <t xml:space="preserve">Event cost</t>
  </si>
  <si>
    <t xml:space="preserve">Event net result (before enrolments)</t>
  </si>
  <si>
    <t xml:space="preserve">Breakeven paid attendance</t>
  </si>
  <si>
    <t xml:space="preserve">BM: ~36 at ₹1,499</t>
  </si>
  <si>
    <t xml:space="preserve">Enrolments per event (attendee-&gt;enrol A-BM-06d)</t>
  </si>
  <si>
    <t xml:space="preserve">CAC per enrolment (net event cost / enrolments)</t>
  </si>
  <si>
    <t xml:space="preserve">0 = event self-funding</t>
  </si>
  <si>
    <t xml:space="preserve">Attendee-&gt;enrol needed for CAC &lt;= ₹8,000</t>
  </si>
  <si>
    <t xml:space="preserve">BM M5 threshold</t>
  </si>
  <si>
    <t xml:space="preserve">Contribution from enrolments (x Funnel career contribution)</t>
  </si>
  <si>
    <t xml:space="preserve">Event total contribution incl. enrolments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</si>
</sst>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[RED]\-#,##0.0"/>
    <numFmt numFmtId="166" formatCode="#,##0;[RED]\-#,##0"/>
    <numFmt numFmtId="167" formatCode="0.00%;[RED]\-0.00%"/>
    <numFmt numFmtId="168" formatCode="\₹#,##0;[RED]&quot;-₹&quot;#,##0"/>
    <numFmt numFmtId="169" formatCode="0.0%;[RED]\-0.0%"/>
    <numFmt numFmtId="170" formatCode="#,##0.00;[RED]\-#,##0.00"/>
    <numFmt numFmtId="171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11"/>
      <color rgb="FF0000CC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customFormat="false" ht="15" hidden="false" customHeight="false" outlineLevel="0" collapsed="false">
      <c r="A5" s="6" t="s">
        <v>22</v>
      </c>
      <c r="B5" s="7" t="n">
        <f aca="false">Funnel_Conservative!H7</f>
        <v>6</v>
      </c>
      <c r="C5" s="7" t="n">
        <f aca="false">Funnel_Base!H7</f>
        <v>10</v>
      </c>
      <c r="D5" s="7" t="n">
        <f aca="false">Funnel_Aggressive!H7</f>
        <v>15</v>
      </c>
      <c r="E5" s="7" t="n">
        <f aca="false">Funnel_Selected!H7</f>
        <v>10</v>
      </c>
      <c r="F5" s="2" t="s">
        <v>23</v>
      </c>
    </row>
    <row r="6" customFormat="false" ht="15" hidden="false" customHeight="false" outlineLevel="0" collapsed="false">
      <c r="A6" s="6" t="s">
        <v>24</v>
      </c>
      <c r="B6" s="7" t="n">
        <f aca="false">Funnel_Conservative!H16</f>
        <v>6.28125</v>
      </c>
      <c r="C6" s="7" t="n">
        <f aca="false">Funnel_Base!H16</f>
        <v>12.516</v>
      </c>
      <c r="D6" s="7" t="n">
        <f aca="false">Funnel_Aggressive!H16</f>
        <v>23.142</v>
      </c>
      <c r="E6" s="7" t="n">
        <f aca="false">Funnel_Selected!H16</f>
        <v>12.516</v>
      </c>
      <c r="F6" s="2" t="s">
        <v>25</v>
      </c>
    </row>
    <row r="7" customFormat="false" ht="15" hidden="false" customHeight="false" outlineLevel="0" collapsed="false">
      <c r="A7" s="6" t="s">
        <v>26</v>
      </c>
      <c r="B7" s="8" t="n">
        <f aca="false">Funnel_Conservative!H17</f>
        <v>184.074074074074</v>
      </c>
      <c r="C7" s="8" t="n">
        <f aca="false">Funnel_Base!H17</f>
        <v>188.96802560796</v>
      </c>
      <c r="D7" s="8" t="n">
        <f aca="false">Funnel_Aggressive!H17</f>
        <v>214.041298375538</v>
      </c>
      <c r="E7" s="8" t="n">
        <f aca="false">Funnel_Selected!H17</f>
        <v>188.96802560796</v>
      </c>
      <c r="F7" s="2" t="s">
        <v>27</v>
      </c>
    </row>
    <row r="8" customFormat="false" ht="15" hidden="false" customHeight="false" outlineLevel="0" collapsed="false">
      <c r="A8" s="6" t="s">
        <v>28</v>
      </c>
      <c r="B8" s="9" t="n">
        <f aca="false">Funnel_Conservative!H14</f>
        <v>0.034123490945674</v>
      </c>
      <c r="C8" s="9" t="n">
        <f aca="false">Funnel_Base!H14</f>
        <v>0.0662334273734022</v>
      </c>
      <c r="D8" s="9" t="n">
        <f aca="false">Funnel_Aggressive!H14</f>
        <v>0.108119321717985</v>
      </c>
      <c r="E8" s="9" t="n">
        <f aca="false">Funnel_Selected!H14</f>
        <v>0.0662334273734022</v>
      </c>
      <c r="F8" s="2" t="s">
        <v>29</v>
      </c>
    </row>
    <row r="9" customFormat="false" ht="15" hidden="false" customHeight="false" outlineLevel="0" collapsed="false">
      <c r="A9" s="6" t="s">
        <v>30</v>
      </c>
      <c r="B9" s="10" t="n">
        <f aca="false">Funnel_Conservative!H52</f>
        <v>64548.1840193705</v>
      </c>
      <c r="C9" s="10" t="n">
        <f aca="false">Funnel_Base!H52</f>
        <v>37633.0230643532</v>
      </c>
      <c r="D9" s="10" t="n">
        <f aca="false">Funnel_Aggressive!H52</f>
        <v>9386.9904937203</v>
      </c>
      <c r="E9" s="10" t="n">
        <f aca="false">Funnel_Selected!H52</f>
        <v>37633.0230643532</v>
      </c>
      <c r="F9" s="2" t="s">
        <v>31</v>
      </c>
    </row>
    <row r="10" customFormat="false" ht="15" hidden="false" customHeight="false" outlineLevel="0" collapsed="false">
      <c r="A10" s="6" t="s">
        <v>32</v>
      </c>
      <c r="B10" s="10" t="n">
        <f aca="false">Funnel_Conservative!H24</f>
        <v>82548.1840193705</v>
      </c>
      <c r="C10" s="10" t="n">
        <f aca="false">Funnel_Base!H24</f>
        <v>78633.0230643532</v>
      </c>
      <c r="D10" s="10" t="n">
        <f aca="false">Funnel_Aggressive!H24</f>
        <v>65386.9904937203</v>
      </c>
      <c r="E10" s="10" t="n">
        <f aca="false">Funnel_Selected!H24</f>
        <v>78633.0230643532</v>
      </c>
      <c r="F10" s="2" t="s">
        <v>33</v>
      </c>
    </row>
    <row r="11" customFormat="false" ht="15" hidden="false" customHeight="false" outlineLevel="0" collapsed="false">
      <c r="A11" s="6" t="s">
        <v>34</v>
      </c>
      <c r="B11" s="10" t="n">
        <f aca="false">Funnel_Conservative!B42</f>
        <v>19809.5238095238</v>
      </c>
      <c r="C11" s="10" t="n">
        <f aca="false">Funnel_Base!B42</f>
        <v>5445.07575757576</v>
      </c>
      <c r="D11" s="10" t="n">
        <f aca="false">Funnel_Aggressive!B42</f>
        <v>1603.10277957337</v>
      </c>
      <c r="E11" s="10" t="n">
        <f aca="false">Funnel_Selected!B42</f>
        <v>5445.07575757576</v>
      </c>
      <c r="F11" s="2" t="s">
        <v>35</v>
      </c>
    </row>
    <row r="12" customFormat="false" ht="15" hidden="false" customHeight="false" outlineLevel="0" collapsed="false">
      <c r="A12" s="6" t="s">
        <v>36</v>
      </c>
      <c r="B12" s="10" t="n">
        <f aca="false">Funnel_Conservative!C42</f>
        <v>19047.619047619</v>
      </c>
      <c r="C12" s="10" t="n">
        <f aca="false">Funnel_Base!C42</f>
        <v>7233.7962962963</v>
      </c>
      <c r="D12" s="10" t="n">
        <f aca="false">Funnel_Aggressive!C42</f>
        <v>3102.77957336781</v>
      </c>
      <c r="E12" s="10" t="n">
        <f aca="false">Funnel_Selected!C42</f>
        <v>7233.7962962963</v>
      </c>
      <c r="F12" s="2" t="s">
        <v>37</v>
      </c>
    </row>
    <row r="13" customFormat="false" ht="15" hidden="false" customHeight="false" outlineLevel="0" collapsed="false">
      <c r="A13" s="6" t="s">
        <v>38</v>
      </c>
      <c r="B13" s="10" t="n">
        <f aca="false">Funnel_Conservative!D42</f>
        <v>10000</v>
      </c>
      <c r="C13" s="10" t="n">
        <f aca="false">Funnel_Base!D42</f>
        <v>17500</v>
      </c>
      <c r="D13" s="10" t="n">
        <f aca="false">Funnel_Aggressive!D42</f>
        <v>16666.6666666667</v>
      </c>
      <c r="E13" s="10" t="n">
        <f aca="false">Funnel_Selected!D42</f>
        <v>17500</v>
      </c>
      <c r="F13" s="2" t="s">
        <v>39</v>
      </c>
    </row>
    <row r="14" customFormat="false" ht="15" hidden="false" customHeight="false" outlineLevel="0" collapsed="false">
      <c r="A14" s="6" t="s">
        <v>40</v>
      </c>
      <c r="B14" s="10" t="n">
        <f aca="false">Funnel_Conservative!E42</f>
        <v>5000</v>
      </c>
      <c r="C14" s="10" t="n">
        <f aca="false">Funnel_Base!E42</f>
        <v>3000</v>
      </c>
      <c r="D14" s="10" t="n">
        <f aca="false">Funnel_Aggressive!E42</f>
        <v>2000</v>
      </c>
      <c r="E14" s="10" t="n">
        <f aca="false">Funnel_Selected!E42</f>
        <v>3000</v>
      </c>
      <c r="F14" s="2" t="s">
        <v>41</v>
      </c>
    </row>
    <row r="15" customFormat="false" ht="15" hidden="false" customHeight="false" outlineLevel="0" collapsed="false">
      <c r="A15" s="6" t="s">
        <v>42</v>
      </c>
      <c r="B15" s="10" t="n">
        <f aca="false">Funnel_Conservative!F42</f>
        <v>2556.49717514124</v>
      </c>
      <c r="C15" s="10" t="n">
        <f aca="false">Funnel_Base!F42</f>
        <v>-1844.37307215315</v>
      </c>
      <c r="D15" s="10" t="n">
        <f aca="false">Funnel_Aggressive!F42</f>
        <v>-2481.16760828625</v>
      </c>
      <c r="E15" s="10" t="n">
        <f aca="false">Funnel_Selected!F42</f>
        <v>-1844.37307215315</v>
      </c>
      <c r="F15" s="2" t="s">
        <v>43</v>
      </c>
    </row>
    <row r="16" customFormat="false" ht="15" hidden="false" customHeight="false" outlineLevel="0" collapsed="false">
      <c r="A16" s="6" t="s">
        <v>44</v>
      </c>
      <c r="B16" s="10" t="n">
        <f aca="false">Funnel_Conservative!G42</f>
        <v>16000</v>
      </c>
      <c r="C16" s="10" t="n">
        <f aca="false">Funnel_Base!G42</f>
        <v>3447.76481366711</v>
      </c>
      <c r="D16" s="10" t="n">
        <f aca="false">Funnel_Aggressive!G42</f>
        <v>-419.253171460808</v>
      </c>
      <c r="E16" s="10" t="n">
        <f aca="false">Funnel_Selected!G42</f>
        <v>3447.76481366711</v>
      </c>
      <c r="F16" s="2" t="s">
        <v>45</v>
      </c>
    </row>
    <row r="17" customFormat="false" ht="15" hidden="false" customHeight="false" outlineLevel="0" collapsed="false">
      <c r="A17" s="6" t="s">
        <v>46</v>
      </c>
      <c r="B17" s="10" t="n">
        <f aca="false">Funnel_Conservative!H42</f>
        <v>13141.9994458699</v>
      </c>
      <c r="C17" s="10" t="n">
        <f aca="false">Funnel_Base!H42</f>
        <v>6282.60011699849</v>
      </c>
      <c r="D17" s="10" t="n">
        <f aca="false">Funnel_Aggressive!H42</f>
        <v>2825.46843374472</v>
      </c>
      <c r="E17" s="10" t="n">
        <f aca="false">Funnel_Selected!H42</f>
        <v>6282.60011699849</v>
      </c>
      <c r="F17" s="2" t="s">
        <v>47</v>
      </c>
    </row>
    <row r="18" customFormat="false" ht="15" hidden="false" customHeight="false" outlineLevel="0" collapsed="false">
      <c r="A18" s="6" t="s">
        <v>48</v>
      </c>
      <c r="B18" s="10" t="n">
        <f aca="false">Funnel_Conservative!H46</f>
        <v>16630.7720500793</v>
      </c>
      <c r="C18" s="10" t="n">
        <f aca="false">Funnel_Base!H46</f>
        <v>4419.09617946843</v>
      </c>
      <c r="D18" s="10" t="n">
        <f aca="false">Funnel_Aggressive!H46</f>
        <v>547.601825558296</v>
      </c>
      <c r="E18" s="10" t="n">
        <f aca="false">Funnel_Selected!H46</f>
        <v>4419.09617946843</v>
      </c>
      <c r="F18" s="2" t="s">
        <v>49</v>
      </c>
    </row>
    <row r="19" customFormat="false" ht="15" hidden="false" customHeight="false" outlineLevel="0" collapsed="false">
      <c r="A19" s="6" t="s">
        <v>50</v>
      </c>
      <c r="B19" s="10" t="n">
        <f aca="false">Funnel_Conservative!H51</f>
        <v>17599.710888656</v>
      </c>
      <c r="C19" s="10" t="n">
        <f aca="false">Funnel_Base!H51</f>
        <v>11316.1571639784</v>
      </c>
      <c r="D19" s="10" t="n">
        <f aca="false">Funnel_Aggressive!H51</f>
        <v>6714.50136089017</v>
      </c>
      <c r="E19" s="10" t="n">
        <f aca="false">Funnel_Selected!H51</f>
        <v>11316.1571639784</v>
      </c>
      <c r="F19" s="2" t="s">
        <v>51</v>
      </c>
    </row>
    <row r="20" customFormat="false" ht="15" hidden="false" customHeight="false" outlineLevel="0" collapsed="false">
      <c r="A20" s="6" t="s">
        <v>52</v>
      </c>
      <c r="B20" s="11" t="n">
        <f aca="false">Funnel_Conservative!H43</f>
        <v>0.44428445769689</v>
      </c>
      <c r="C20" s="11" t="n">
        <f aca="false">Funnel_Base!H43</f>
        <v>0.116052708157556</v>
      </c>
      <c r="D20" s="11" t="n">
        <f aca="false">Funnel_Aggressive!H43</f>
        <v>0.0399597633812058</v>
      </c>
      <c r="E20" s="11" t="n">
        <f aca="false">Funnel_Selected!H43</f>
        <v>0.116052708157556</v>
      </c>
      <c r="F20" s="2" t="s">
        <v>53</v>
      </c>
    </row>
    <row r="21" customFormat="false" ht="15" hidden="false" customHeight="false" outlineLevel="0" collapsed="false">
      <c r="A21" s="6" t="s">
        <v>54</v>
      </c>
      <c r="B21" s="10" t="n">
        <f aca="false">Funnel_Conservative!H28</f>
        <v>29580.1467240071</v>
      </c>
      <c r="C21" s="10" t="n">
        <f aca="false">Funnel_Base!H28</f>
        <v>54135.7475990055</v>
      </c>
      <c r="D21" s="10" t="n">
        <f aca="false">Funnel_Aggressive!H28</f>
        <v>70707.8369506466</v>
      </c>
      <c r="E21" s="10" t="n">
        <f aca="false">Funnel_Selected!H28</f>
        <v>54135.7475990055</v>
      </c>
      <c r="F21" s="2" t="s">
        <v>55</v>
      </c>
    </row>
    <row r="22" customFormat="false" ht="15" hidden="false" customHeight="false" outlineLevel="0" collapsed="false">
      <c r="A22" s="6" t="s">
        <v>56</v>
      </c>
      <c r="B22" s="10" t="n">
        <f aca="false">Funnel_Conservative!H31</f>
        <v>7902.00286364787</v>
      </c>
      <c r="C22" s="10" t="n">
        <f aca="false">Funnel_Base!H31</f>
        <v>41781.1682402457</v>
      </c>
      <c r="D22" s="10" t="n">
        <f aca="false">Funnel_Aggressive!H31</f>
        <v>59892.8000457815</v>
      </c>
      <c r="E22" s="10" t="n">
        <f aca="false">Funnel_Selected!H31</f>
        <v>41781.1682402457</v>
      </c>
      <c r="F22" s="2" t="s">
        <v>57</v>
      </c>
    </row>
    <row r="23" customFormat="false" ht="15" hidden="false" customHeight="false" outlineLevel="0" collapsed="false">
      <c r="A23" s="6" t="s">
        <v>58</v>
      </c>
      <c r="B23" s="10" t="n">
        <f aca="false">Funnel_Conservative!H33</f>
        <v>3023.38347457627</v>
      </c>
      <c r="C23" s="10" t="n">
        <f aca="false">Funnel_Base!H33</f>
        <v>8747.16101694915</v>
      </c>
      <c r="D23" s="10" t="n">
        <f aca="false">Funnel_Aggressive!H33</f>
        <v>18188.0988058552</v>
      </c>
      <c r="E23" s="10" t="n">
        <f aca="false">Funnel_Selected!H33</f>
        <v>8747.16101694915</v>
      </c>
      <c r="F23" s="2" t="s">
        <v>59</v>
      </c>
    </row>
    <row r="24" customFormat="false" ht="15" hidden="false" customHeight="false" outlineLevel="0" collapsed="false">
      <c r="A24" s="6" t="s">
        <v>60</v>
      </c>
      <c r="B24" s="10" t="n">
        <f aca="false">Funnel_Conservative!H34</f>
        <v>10925.3863382241</v>
      </c>
      <c r="C24" s="10" t="n">
        <f aca="false">Funnel_Base!H34</f>
        <v>50528.3292571949</v>
      </c>
      <c r="D24" s="10" t="n">
        <f aca="false">Funnel_Aggressive!H34</f>
        <v>78080.8988516367</v>
      </c>
      <c r="E24" s="10" t="n">
        <f aca="false">Funnel_Selected!H34</f>
        <v>50528.3292571949</v>
      </c>
      <c r="F24" s="2" t="s">
        <v>61</v>
      </c>
    </row>
    <row r="25" customFormat="false" ht="15" hidden="false" customHeight="false" outlineLevel="0" collapsed="false">
      <c r="A25" s="6" t="s">
        <v>62</v>
      </c>
      <c r="B25" s="12" t="n">
        <f aca="false">Funnel_Conservative!H44</f>
        <v>0.831333647762222</v>
      </c>
      <c r="C25" s="12" t="n">
        <f aca="false">Funnel_Base!H44</f>
        <v>8.04258242068966</v>
      </c>
      <c r="D25" s="12" t="n">
        <f aca="false">Funnel_Aggressive!H44</f>
        <v>27.6346739249012</v>
      </c>
      <c r="E25" s="12" t="n">
        <f aca="false">Funnel_Selected!H44</f>
        <v>8.04258242068966</v>
      </c>
      <c r="F25" s="2" t="s">
        <v>63</v>
      </c>
    </row>
    <row r="26" customFormat="false" ht="15" hidden="false" customHeight="false" outlineLevel="0" collapsed="false">
      <c r="A26" s="6" t="s">
        <v>64</v>
      </c>
      <c r="B26" s="7" t="n">
        <f aca="false">Funnel_Conservative!H45</f>
        <v>4.98936776130314</v>
      </c>
      <c r="C26" s="7" t="n">
        <f aca="false">Funnel_Base!H45</f>
        <v>0.30073836523062</v>
      </c>
      <c r="D26" s="7" t="n">
        <f aca="false">Funnel_Aggressive!H45</f>
        <v>0.0471754272898405</v>
      </c>
      <c r="E26" s="7" t="n">
        <f aca="false">Funnel_Selected!H45</f>
        <v>0.30073836523062</v>
      </c>
      <c r="F26" s="2" t="s">
        <v>65</v>
      </c>
    </row>
    <row r="27" customFormat="false" ht="15" hidden="false" customHeight="false" outlineLevel="0" collapsed="false">
      <c r="A27" s="6" t="s">
        <v>66</v>
      </c>
      <c r="B27" s="12" t="n">
        <f aca="false">Funnel_Conservative!H50</f>
        <v>0.921975308641975</v>
      </c>
      <c r="C27" s="12" t="n">
        <f aca="false">Funnel_Base!H50</f>
        <v>0.784080154276004</v>
      </c>
      <c r="D27" s="12" t="n">
        <f aca="false">Funnel_Aggressive!H50</f>
        <v>0.657845643091058</v>
      </c>
      <c r="E27" s="12" t="n">
        <f aca="false">Funnel_Selected!H50</f>
        <v>0.784080154276004</v>
      </c>
      <c r="F27" s="2" t="s">
        <v>67</v>
      </c>
    </row>
    <row r="28" customFormat="false" ht="15" hidden="false" customHeight="false" outlineLevel="0" collapsed="false">
      <c r="A28" s="3" t="s">
        <v>68</v>
      </c>
      <c r="B28" s="13" t="n">
        <f aca="false">Funnel_Conservative!H47</f>
        <v>11008.0306698951</v>
      </c>
      <c r="C28" s="13" t="n">
        <f aca="false">Funnel_Base!H47</f>
        <v>3495.84467931667</v>
      </c>
      <c r="D28" s="13" t="n">
        <f aca="false">Funnel_Aggressive!H47</f>
        <v>1253.36998771695</v>
      </c>
      <c r="E28" s="13" t="n">
        <f aca="false">Funnel_Selected!H47</f>
        <v>3495.84467931667</v>
      </c>
      <c r="F28" s="2" t="s">
        <v>69</v>
      </c>
    </row>
    <row r="29" customFormat="false" ht="15" hidden="false" customHeight="false" outlineLevel="0" collapsed="false">
      <c r="A29" s="3" t="s">
        <v>70</v>
      </c>
      <c r="B29" s="13" t="n">
        <f aca="false">Funnel_Conservative!H48</f>
        <v>16680.0511164918</v>
      </c>
      <c r="C29" s="13" t="n">
        <f aca="false">Funnel_Base!H48</f>
        <v>4826.40779886112</v>
      </c>
      <c r="D29" s="13" t="n">
        <f aca="false">Funnel_Aggressive!H48</f>
        <v>1422.28331286158</v>
      </c>
      <c r="E29" s="13" t="n">
        <f aca="false">Funnel_Selected!H48</f>
        <v>4826.40779886112</v>
      </c>
      <c r="F29" s="2" t="s">
        <v>71</v>
      </c>
    </row>
    <row r="30" customFormat="false" ht="15" hidden="false" customHeight="false" outlineLevel="0" collapsed="false">
      <c r="A30" s="6" t="s">
        <v>72</v>
      </c>
      <c r="B30" s="10" t="n">
        <f aca="false">Funnel_Conservative!H52</f>
        <v>64548.1840193705</v>
      </c>
      <c r="C30" s="10" t="n">
        <f aca="false">Funnel_Base!H52</f>
        <v>37633.0230643532</v>
      </c>
      <c r="D30" s="10" t="n">
        <f aca="false">Funnel_Aggressive!H52</f>
        <v>9386.9904937203</v>
      </c>
      <c r="E30" s="10" t="n">
        <f aca="false">Funnel_Selected!H52</f>
        <v>37633.0230643532</v>
      </c>
      <c r="F30" s="2" t="s">
        <v>31</v>
      </c>
    </row>
    <row r="31" customFormat="false" ht="15" hidden="false" customHeight="false" outlineLevel="0" collapsed="false">
      <c r="A31" s="3" t="s">
        <v>73</v>
      </c>
      <c r="B31" s="13" t="n">
        <f aca="false">Funnel_Conservative!B60</f>
        <v>1400</v>
      </c>
      <c r="C31" s="13" t="n">
        <f aca="false">Funnel_Base!B60</f>
        <v>300</v>
      </c>
      <c r="D31" s="13" t="n">
        <f aca="false">Funnel_Aggressive!B60</f>
        <v>42.8571428571429</v>
      </c>
      <c r="E31" s="13" t="n">
        <f aca="false">Funnel_Selected!B60</f>
        <v>300</v>
      </c>
      <c r="F31" s="2" t="s">
        <v>74</v>
      </c>
    </row>
    <row r="32" customFormat="false" ht="15" hidden="false" customHeight="false" outlineLevel="0" collapsed="false">
      <c r="A32" s="3" t="s">
        <v>75</v>
      </c>
      <c r="B32" s="13" t="n">
        <f aca="false">Funnel_Conservative!C60</f>
        <v>3200</v>
      </c>
      <c r="C32" s="13" t="n">
        <f aca="false">Funnel_Base!C60</f>
        <v>705.882352941177</v>
      </c>
      <c r="D32" s="13" t="n">
        <f aca="false">Funnel_Aggressive!C60</f>
        <v>160</v>
      </c>
      <c r="E32" s="13" t="n">
        <f aca="false">Funnel_Selected!C60</f>
        <v>705.882352941177</v>
      </c>
      <c r="F32" s="2" t="s">
        <v>76</v>
      </c>
    </row>
    <row r="34" customFormat="false" ht="15" hidden="false" customHeight="false" outlineLevel="0" collapsed="false">
      <c r="A34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8" min="8" style="0" width="10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3" customFormat="false" ht="15" hidden="false" customHeight="false" outlineLevel="0" collapsed="false">
      <c r="A3" s="3" t="s">
        <v>80</v>
      </c>
      <c r="C3" s="14" t="s">
        <v>18</v>
      </c>
      <c r="D3" s="2" t="s">
        <v>81</v>
      </c>
    </row>
    <row r="4" customFormat="false" ht="15" hidden="false" customHeight="false" outlineLevel="0" collapsed="false">
      <c r="A4" s="0" t="s">
        <v>82</v>
      </c>
      <c r="C4" s="3" t="n">
        <f aca="false">MATCH($C$3,$K$4:$M$4,0)</f>
        <v>2</v>
      </c>
      <c r="K4" s="2" t="s">
        <v>17</v>
      </c>
      <c r="L4" s="2" t="s">
        <v>18</v>
      </c>
      <c r="M4" s="2" t="s">
        <v>19</v>
      </c>
    </row>
    <row r="6" customFormat="false" ht="15" hidden="false" customHeight="false" outlineLevel="0" collapsed="false">
      <c r="A6" s="5" t="s">
        <v>83</v>
      </c>
      <c r="B6" s="5" t="s">
        <v>84</v>
      </c>
      <c r="C6" s="5" t="s">
        <v>17</v>
      </c>
      <c r="D6" s="5" t="s">
        <v>18</v>
      </c>
      <c r="E6" s="5" t="s">
        <v>19</v>
      </c>
      <c r="F6" s="5" t="s">
        <v>85</v>
      </c>
      <c r="G6" s="5" t="s">
        <v>86</v>
      </c>
      <c r="H6" s="5" t="s">
        <v>87</v>
      </c>
      <c r="I6" s="5" t="s">
        <v>20</v>
      </c>
    </row>
    <row r="8" customFormat="false" ht="15" hidden="false" customHeight="false" outlineLevel="0" collapsed="false">
      <c r="A8" s="15" t="s">
        <v>88</v>
      </c>
      <c r="B8" s="16"/>
      <c r="C8" s="16"/>
      <c r="D8" s="16"/>
      <c r="E8" s="16"/>
      <c r="F8" s="16"/>
      <c r="G8" s="16"/>
      <c r="H8" s="16"/>
      <c r="I8" s="16"/>
    </row>
    <row r="9" customFormat="false" ht="15" hidden="false" customHeight="false" outlineLevel="0" collapsed="false">
      <c r="A9" s="3" t="s">
        <v>89</v>
      </c>
      <c r="B9" s="4" t="s">
        <v>90</v>
      </c>
      <c r="C9" s="17" t="n">
        <v>30</v>
      </c>
      <c r="D9" s="17" t="n">
        <v>50</v>
      </c>
      <c r="E9" s="17" t="n">
        <v>60</v>
      </c>
      <c r="F9" s="18" t="s">
        <v>91</v>
      </c>
      <c r="G9" s="4" t="s">
        <v>92</v>
      </c>
      <c r="H9" s="18" t="s">
        <v>93</v>
      </c>
      <c r="I9" s="19" t="n">
        <f aca="false">INDEX(C9:E9,$C$4)</f>
        <v>50</v>
      </c>
    </row>
    <row r="10" customFormat="false" ht="15" hidden="false" customHeight="false" outlineLevel="0" collapsed="false">
      <c r="A10" s="3" t="s">
        <v>94</v>
      </c>
      <c r="B10" s="4" t="s">
        <v>95</v>
      </c>
      <c r="C10" s="20" t="n">
        <v>40000</v>
      </c>
      <c r="D10" s="20" t="n">
        <v>60000</v>
      </c>
      <c r="E10" s="20" t="n">
        <v>75000</v>
      </c>
      <c r="F10" s="18" t="s">
        <v>96</v>
      </c>
      <c r="G10" s="4" t="s">
        <v>97</v>
      </c>
      <c r="H10" s="18" t="s">
        <v>98</v>
      </c>
      <c r="I10" s="13" t="n">
        <f aca="false">INDEX(C10:E10,$C$4)</f>
        <v>60000</v>
      </c>
    </row>
    <row r="11" customFormat="false" ht="15" hidden="false" customHeight="false" outlineLevel="0" collapsed="false">
      <c r="A11" s="3" t="s">
        <v>99</v>
      </c>
      <c r="B11" s="4" t="s">
        <v>100</v>
      </c>
      <c r="C11" s="20" t="n">
        <v>1000000</v>
      </c>
      <c r="D11" s="20" t="n">
        <v>3000000</v>
      </c>
      <c r="E11" s="20" t="n">
        <v>5000000</v>
      </c>
      <c r="F11" s="18" t="s">
        <v>96</v>
      </c>
      <c r="G11" s="4" t="s">
        <v>101</v>
      </c>
      <c r="H11" s="18" t="s">
        <v>93</v>
      </c>
      <c r="I11" s="13" t="n">
        <f aca="false">INDEX(C11:E11,$C$4)</f>
        <v>3000000</v>
      </c>
    </row>
    <row r="12" customFormat="false" ht="15" hidden="false" customHeight="false" outlineLevel="0" collapsed="false">
      <c r="A12" s="3" t="s">
        <v>102</v>
      </c>
      <c r="B12" s="4" t="s">
        <v>103</v>
      </c>
      <c r="C12" s="21" t="n">
        <v>0.6</v>
      </c>
      <c r="D12" s="21" t="n">
        <v>0.6</v>
      </c>
      <c r="E12" s="21" t="n">
        <v>0.6</v>
      </c>
      <c r="F12" s="18" t="s">
        <v>104</v>
      </c>
      <c r="G12" s="4" t="s">
        <v>105</v>
      </c>
      <c r="H12" s="18" t="s">
        <v>98</v>
      </c>
      <c r="I12" s="22" t="n">
        <f aca="false">INDEX(C12:E12,$C$4)</f>
        <v>0.6</v>
      </c>
    </row>
    <row r="13" customFormat="false" ht="15" hidden="false" customHeight="false" outlineLevel="0" collapsed="false">
      <c r="A13" s="3" t="s">
        <v>106</v>
      </c>
      <c r="B13" s="4" t="s">
        <v>107</v>
      </c>
      <c r="C13" s="20" t="n">
        <v>6000</v>
      </c>
      <c r="D13" s="20" t="n">
        <v>8000</v>
      </c>
      <c r="E13" s="20" t="n">
        <v>10000</v>
      </c>
      <c r="F13" s="18" t="s">
        <v>96</v>
      </c>
      <c r="G13" s="4" t="s">
        <v>108</v>
      </c>
      <c r="H13" s="18" t="s">
        <v>98</v>
      </c>
      <c r="I13" s="13" t="n">
        <f aca="false">INDEX(C13:E13,$C$4)</f>
        <v>8000</v>
      </c>
    </row>
    <row r="14" customFormat="false" ht="28.35" hidden="false" customHeight="false" outlineLevel="0" collapsed="false">
      <c r="A14" s="3" t="s">
        <v>109</v>
      </c>
      <c r="B14" s="4" t="s">
        <v>110</v>
      </c>
      <c r="C14" s="20" t="n">
        <v>15000</v>
      </c>
      <c r="D14" s="20" t="n">
        <v>12000</v>
      </c>
      <c r="E14" s="20" t="n">
        <v>10000</v>
      </c>
      <c r="F14" s="18" t="s">
        <v>111</v>
      </c>
      <c r="G14" s="4" t="s">
        <v>112</v>
      </c>
      <c r="H14" s="18" t="s">
        <v>98</v>
      </c>
      <c r="I14" s="13" t="n">
        <f aca="false">INDEX(C14:E14,$C$4)</f>
        <v>12000</v>
      </c>
    </row>
    <row r="15" customFormat="false" ht="55.2" hidden="false" customHeight="false" outlineLevel="0" collapsed="false">
      <c r="A15" s="3" t="s">
        <v>113</v>
      </c>
      <c r="B15" s="4" t="s">
        <v>114</v>
      </c>
      <c r="C15" s="21" t="n">
        <v>0.18</v>
      </c>
      <c r="D15" s="21" t="n">
        <v>0.18</v>
      </c>
      <c r="E15" s="21" t="n">
        <v>0.18</v>
      </c>
      <c r="F15" s="18" t="s">
        <v>104</v>
      </c>
      <c r="G15" s="4" t="s">
        <v>115</v>
      </c>
      <c r="H15" s="18" t="s">
        <v>116</v>
      </c>
      <c r="I15" s="22" t="n">
        <f aca="false">INDEX(C15:E15,$C$4)</f>
        <v>0.18</v>
      </c>
    </row>
    <row r="16" customFormat="false" ht="28.35" hidden="false" customHeight="false" outlineLevel="0" collapsed="false">
      <c r="A16" s="3" t="s">
        <v>117</v>
      </c>
      <c r="B16" s="4" t="s">
        <v>118</v>
      </c>
      <c r="C16" s="23" t="n">
        <v>1</v>
      </c>
      <c r="D16" s="23" t="n">
        <v>1</v>
      </c>
      <c r="E16" s="23" t="n">
        <v>1</v>
      </c>
      <c r="F16" s="18" t="s">
        <v>119</v>
      </c>
      <c r="G16" s="4" t="s">
        <v>120</v>
      </c>
      <c r="H16" s="18" t="s">
        <v>98</v>
      </c>
      <c r="I16" s="24" t="n">
        <f aca="false">INDEX(C16:E16,$C$4)</f>
        <v>1</v>
      </c>
    </row>
    <row r="17" customFormat="false" ht="15" hidden="false" customHeight="false" outlineLevel="0" collapsed="false">
      <c r="A17" s="15" t="s">
        <v>121</v>
      </c>
      <c r="B17" s="16"/>
      <c r="C17" s="16"/>
      <c r="D17" s="16"/>
      <c r="E17" s="16"/>
      <c r="F17" s="16"/>
      <c r="G17" s="16"/>
      <c r="H17" s="16"/>
      <c r="I17" s="16"/>
    </row>
    <row r="18" customFormat="false" ht="15" hidden="false" customHeight="false" outlineLevel="0" collapsed="false">
      <c r="A18" s="3" t="s">
        <v>122</v>
      </c>
      <c r="B18" s="4" t="s">
        <v>123</v>
      </c>
      <c r="C18" s="20" t="n">
        <v>999</v>
      </c>
      <c r="D18" s="20" t="n">
        <v>999</v>
      </c>
      <c r="E18" s="20" t="n">
        <v>999</v>
      </c>
      <c r="F18" s="18" t="s">
        <v>96</v>
      </c>
      <c r="G18" s="4" t="s">
        <v>124</v>
      </c>
      <c r="H18" s="18" t="s">
        <v>98</v>
      </c>
      <c r="I18" s="13" t="n">
        <f aca="false">INDEX(C18:E18,$C$4)</f>
        <v>999</v>
      </c>
    </row>
    <row r="19" customFormat="false" ht="15" hidden="false" customHeight="false" outlineLevel="0" collapsed="false">
      <c r="A19" s="3" t="s">
        <v>125</v>
      </c>
      <c r="B19" s="4" t="s">
        <v>126</v>
      </c>
      <c r="C19" s="20" t="n">
        <v>30000</v>
      </c>
      <c r="D19" s="20" t="n">
        <v>39900</v>
      </c>
      <c r="E19" s="20" t="n">
        <v>45000</v>
      </c>
      <c r="F19" s="18" t="s">
        <v>96</v>
      </c>
      <c r="G19" s="4" t="s">
        <v>127</v>
      </c>
      <c r="H19" s="18" t="s">
        <v>98</v>
      </c>
      <c r="I19" s="13" t="n">
        <f aca="false">INDEX(C19:E19,$C$4)</f>
        <v>39900</v>
      </c>
    </row>
    <row r="20" customFormat="false" ht="28.35" hidden="false" customHeight="false" outlineLevel="0" collapsed="false">
      <c r="A20" s="3" t="s">
        <v>128</v>
      </c>
      <c r="B20" s="4" t="s">
        <v>129</v>
      </c>
      <c r="C20" s="20" t="n">
        <v>75000</v>
      </c>
      <c r="D20" s="20" t="n">
        <v>90000</v>
      </c>
      <c r="E20" s="20" t="n">
        <v>120000</v>
      </c>
      <c r="F20" s="18" t="s">
        <v>96</v>
      </c>
      <c r="G20" s="4" t="s">
        <v>128</v>
      </c>
      <c r="H20" s="18" t="s">
        <v>98</v>
      </c>
      <c r="I20" s="13" t="n">
        <f aca="false">INDEX(C20:E20,$C$4)</f>
        <v>90000</v>
      </c>
    </row>
    <row r="21" customFormat="false" ht="15" hidden="false" customHeight="false" outlineLevel="0" collapsed="false">
      <c r="A21" s="3" t="s">
        <v>130</v>
      </c>
      <c r="B21" s="4" t="s">
        <v>131</v>
      </c>
      <c r="C21" s="20" t="n">
        <v>65000</v>
      </c>
      <c r="D21" s="20" t="n">
        <v>80000</v>
      </c>
      <c r="E21" s="20" t="n">
        <v>100000</v>
      </c>
      <c r="F21" s="18" t="s">
        <v>96</v>
      </c>
      <c r="G21" s="4" t="s">
        <v>132</v>
      </c>
      <c r="H21" s="18" t="s">
        <v>98</v>
      </c>
      <c r="I21" s="13" t="n">
        <f aca="false">INDEX(C21:E21,$C$4)</f>
        <v>80000</v>
      </c>
    </row>
    <row r="22" customFormat="false" ht="15" hidden="false" customHeight="false" outlineLevel="0" collapsed="false">
      <c r="A22" s="3" t="s">
        <v>133</v>
      </c>
      <c r="B22" s="4" t="s">
        <v>134</v>
      </c>
      <c r="C22" s="20" t="n">
        <v>5000</v>
      </c>
      <c r="D22" s="20" t="n">
        <v>10000</v>
      </c>
      <c r="E22" s="20" t="n">
        <v>14000</v>
      </c>
      <c r="F22" s="18" t="s">
        <v>96</v>
      </c>
      <c r="G22" s="4" t="s">
        <v>135</v>
      </c>
      <c r="H22" s="18" t="s">
        <v>98</v>
      </c>
      <c r="I22" s="13" t="n">
        <f aca="false">INDEX(C22:E22,$C$4)</f>
        <v>10000</v>
      </c>
    </row>
    <row r="23" customFormat="false" ht="15" hidden="false" customHeight="false" outlineLevel="0" collapsed="false">
      <c r="A23" s="3" t="s">
        <v>136</v>
      </c>
      <c r="B23" s="4" t="s">
        <v>137</v>
      </c>
      <c r="C23" s="20" t="n">
        <v>3000</v>
      </c>
      <c r="D23" s="20" t="n">
        <v>4999</v>
      </c>
      <c r="E23" s="20" t="n">
        <v>6500</v>
      </c>
      <c r="F23" s="18" t="s">
        <v>96</v>
      </c>
      <c r="G23" s="4" t="s">
        <v>138</v>
      </c>
      <c r="H23" s="18" t="s">
        <v>98</v>
      </c>
      <c r="I23" s="13" t="n">
        <f aca="false">INDEX(C23:E23,$C$4)</f>
        <v>4999</v>
      </c>
    </row>
    <row r="24" customFormat="false" ht="15" hidden="false" customHeight="false" outlineLevel="0" collapsed="false">
      <c r="A24" s="3" t="s">
        <v>139</v>
      </c>
      <c r="B24" s="4" t="s">
        <v>140</v>
      </c>
      <c r="C24" s="20" t="n">
        <v>4999</v>
      </c>
      <c r="D24" s="20" t="n">
        <v>9999</v>
      </c>
      <c r="E24" s="20" t="n">
        <v>12499</v>
      </c>
      <c r="F24" s="18" t="s">
        <v>141</v>
      </c>
      <c r="G24" s="4" t="s">
        <v>142</v>
      </c>
      <c r="H24" s="18" t="s">
        <v>98</v>
      </c>
      <c r="I24" s="13" t="n">
        <f aca="false">INDEX(C24:E24,$C$4)</f>
        <v>9999</v>
      </c>
    </row>
    <row r="25" customFormat="false" ht="28.35" hidden="false" customHeight="false" outlineLevel="0" collapsed="false">
      <c r="A25" s="3" t="s">
        <v>143</v>
      </c>
      <c r="B25" s="4" t="s">
        <v>144</v>
      </c>
      <c r="C25" s="20" t="n">
        <v>65000</v>
      </c>
      <c r="D25" s="20" t="n">
        <v>80000</v>
      </c>
      <c r="E25" s="20" t="n">
        <v>100000</v>
      </c>
      <c r="F25" s="18" t="s">
        <v>96</v>
      </c>
      <c r="G25" s="4" t="s">
        <v>145</v>
      </c>
      <c r="H25" s="18" t="s">
        <v>98</v>
      </c>
      <c r="I25" s="13" t="n">
        <f aca="false">INDEX(C25:E25,$C$4)</f>
        <v>80000</v>
      </c>
    </row>
    <row r="26" customFormat="false" ht="15" hidden="false" customHeight="false" outlineLevel="0" collapsed="false">
      <c r="A26" s="15" t="s">
        <v>146</v>
      </c>
      <c r="B26" s="16"/>
      <c r="C26" s="16"/>
      <c r="D26" s="16"/>
      <c r="E26" s="16"/>
      <c r="F26" s="16"/>
      <c r="G26" s="16"/>
      <c r="H26" s="16"/>
      <c r="I26" s="16"/>
    </row>
    <row r="27" customFormat="false" ht="28.35" hidden="false" customHeight="false" outlineLevel="0" collapsed="false">
      <c r="A27" s="3" t="s">
        <v>147</v>
      </c>
      <c r="B27" s="4" t="s">
        <v>148</v>
      </c>
      <c r="C27" s="25" t="n">
        <v>6</v>
      </c>
      <c r="D27" s="25" t="n">
        <v>10</v>
      </c>
      <c r="E27" s="25" t="n">
        <v>15</v>
      </c>
      <c r="F27" s="18" t="s">
        <v>149</v>
      </c>
      <c r="G27" s="4" t="s">
        <v>147</v>
      </c>
      <c r="H27" s="18" t="s">
        <v>98</v>
      </c>
      <c r="I27" s="26" t="n">
        <f aca="false">INDEX(C27:E27,$C$4)</f>
        <v>10</v>
      </c>
    </row>
    <row r="28" customFormat="false" ht="15" hidden="false" customHeight="false" outlineLevel="0" collapsed="false">
      <c r="A28" s="3" t="s">
        <v>150</v>
      </c>
      <c r="B28" s="4" t="s">
        <v>151</v>
      </c>
      <c r="C28" s="21" t="n">
        <v>0.5</v>
      </c>
      <c r="D28" s="21" t="n">
        <v>0.6</v>
      </c>
      <c r="E28" s="21" t="n">
        <v>0.7</v>
      </c>
      <c r="F28" s="18" t="s">
        <v>104</v>
      </c>
      <c r="G28" s="4" t="s">
        <v>150</v>
      </c>
      <c r="H28" s="18" t="s">
        <v>98</v>
      </c>
      <c r="I28" s="22" t="n">
        <f aca="false">INDEX(C28:E28,$C$4)</f>
        <v>0.6</v>
      </c>
    </row>
    <row r="29" customFormat="false" ht="15" hidden="false" customHeight="false" outlineLevel="0" collapsed="false">
      <c r="A29" s="3" t="s">
        <v>152</v>
      </c>
      <c r="B29" s="4" t="s">
        <v>153</v>
      </c>
      <c r="C29" s="21" t="n">
        <v>0.3</v>
      </c>
      <c r="D29" s="21" t="n">
        <v>0.3</v>
      </c>
      <c r="E29" s="21" t="n">
        <v>0.3</v>
      </c>
      <c r="F29" s="18" t="s">
        <v>104</v>
      </c>
      <c r="G29" s="4" t="s">
        <v>154</v>
      </c>
      <c r="H29" s="18" t="s">
        <v>98</v>
      </c>
      <c r="I29" s="22" t="n">
        <f aca="false">INDEX(C29:E29,$C$4)</f>
        <v>0.3</v>
      </c>
    </row>
    <row r="30" customFormat="false" ht="15" hidden="false" customHeight="false" outlineLevel="0" collapsed="false">
      <c r="A30" s="3" t="s">
        <v>155</v>
      </c>
      <c r="B30" s="4" t="s">
        <v>156</v>
      </c>
      <c r="C30" s="21" t="n">
        <v>0.2</v>
      </c>
      <c r="D30" s="21" t="n">
        <v>0.2</v>
      </c>
      <c r="E30" s="21" t="n">
        <v>0.2</v>
      </c>
      <c r="F30" s="18" t="s">
        <v>104</v>
      </c>
      <c r="G30" s="4" t="s">
        <v>154</v>
      </c>
      <c r="H30" s="18" t="s">
        <v>98</v>
      </c>
      <c r="I30" s="22" t="n">
        <f aca="false">INDEX(C30:E30,$C$4)</f>
        <v>0.2</v>
      </c>
    </row>
    <row r="31" customFormat="false" ht="15" hidden="false" customHeight="false" outlineLevel="0" collapsed="false">
      <c r="A31" s="3" t="s">
        <v>157</v>
      </c>
      <c r="B31" s="4" t="s">
        <v>158</v>
      </c>
      <c r="C31" s="21" t="n">
        <v>0.2</v>
      </c>
      <c r="D31" s="21" t="n">
        <v>0.2</v>
      </c>
      <c r="E31" s="21" t="n">
        <v>0.2</v>
      </c>
      <c r="F31" s="18" t="s">
        <v>104</v>
      </c>
      <c r="G31" s="4" t="s">
        <v>154</v>
      </c>
      <c r="H31" s="18" t="s">
        <v>98</v>
      </c>
      <c r="I31" s="22" t="n">
        <f aca="false">INDEX(C31:E31,$C$4)</f>
        <v>0.2</v>
      </c>
    </row>
    <row r="32" customFormat="false" ht="15" hidden="false" customHeight="false" outlineLevel="0" collapsed="false">
      <c r="A32" s="3" t="s">
        <v>159</v>
      </c>
      <c r="B32" s="4" t="s">
        <v>160</v>
      </c>
      <c r="C32" s="21" t="n">
        <v>0.2</v>
      </c>
      <c r="D32" s="21" t="n">
        <v>0.2</v>
      </c>
      <c r="E32" s="21" t="n">
        <v>0.2</v>
      </c>
      <c r="F32" s="18" t="s">
        <v>104</v>
      </c>
      <c r="G32" s="4" t="s">
        <v>154</v>
      </c>
      <c r="H32" s="18" t="s">
        <v>98</v>
      </c>
      <c r="I32" s="22" t="n">
        <f aca="false">INDEX(C32:E32,$C$4)</f>
        <v>0.2</v>
      </c>
    </row>
    <row r="33" customFormat="false" ht="15" hidden="false" customHeight="false" outlineLevel="0" collapsed="false">
      <c r="A33" s="3" t="s">
        <v>161</v>
      </c>
      <c r="B33" s="4" t="s">
        <v>162</v>
      </c>
      <c r="C33" s="21" t="n">
        <v>0.1</v>
      </c>
      <c r="D33" s="21" t="n">
        <v>0.1</v>
      </c>
      <c r="E33" s="21" t="n">
        <v>0.1</v>
      </c>
      <c r="F33" s="18" t="s">
        <v>104</v>
      </c>
      <c r="G33" s="4" t="s">
        <v>154</v>
      </c>
      <c r="H33" s="18" t="s">
        <v>98</v>
      </c>
      <c r="I33" s="22" t="n">
        <f aca="false">INDEX(C33:E33,$C$4)</f>
        <v>0.1</v>
      </c>
    </row>
    <row r="34" customFormat="false" ht="15" hidden="false" customHeight="false" outlineLevel="0" collapsed="false">
      <c r="A34" s="3" t="s">
        <v>163</v>
      </c>
      <c r="B34" s="4" t="s">
        <v>164</v>
      </c>
      <c r="C34" s="20" t="n">
        <v>600</v>
      </c>
      <c r="D34" s="20" t="n">
        <v>300</v>
      </c>
      <c r="E34" s="20" t="n">
        <v>150</v>
      </c>
      <c r="F34" s="18" t="s">
        <v>165</v>
      </c>
      <c r="G34" s="4" t="s">
        <v>166</v>
      </c>
      <c r="H34" s="18" t="s">
        <v>98</v>
      </c>
      <c r="I34" s="13" t="n">
        <f aca="false">INDEX(C34:E34,$C$4)</f>
        <v>300</v>
      </c>
    </row>
    <row r="35" customFormat="false" ht="15" hidden="false" customHeight="false" outlineLevel="0" collapsed="false">
      <c r="A35" s="3" t="s">
        <v>167</v>
      </c>
      <c r="B35" s="4" t="s">
        <v>168</v>
      </c>
      <c r="C35" s="20" t="n">
        <v>500</v>
      </c>
      <c r="D35" s="20" t="n">
        <v>250</v>
      </c>
      <c r="E35" s="20" t="n">
        <v>120</v>
      </c>
      <c r="F35" s="18" t="s">
        <v>165</v>
      </c>
      <c r="G35" s="4" t="s">
        <v>167</v>
      </c>
      <c r="H35" s="18" t="s">
        <v>98</v>
      </c>
      <c r="I35" s="13" t="n">
        <f aca="false">INDEX(C35:E35,$C$4)</f>
        <v>250</v>
      </c>
    </row>
    <row r="36" customFormat="false" ht="15" hidden="false" customHeight="false" outlineLevel="0" collapsed="false">
      <c r="A36" s="3" t="s">
        <v>169</v>
      </c>
      <c r="B36" s="4" t="s">
        <v>170</v>
      </c>
      <c r="C36" s="20" t="n">
        <v>800</v>
      </c>
      <c r="D36" s="20" t="n">
        <v>500</v>
      </c>
      <c r="E36" s="20" t="n">
        <v>300</v>
      </c>
      <c r="F36" s="18" t="s">
        <v>165</v>
      </c>
      <c r="G36" s="4" t="s">
        <v>169</v>
      </c>
      <c r="H36" s="18" t="s">
        <v>98</v>
      </c>
      <c r="I36" s="13" t="n">
        <f aca="false">INDEX(C36:E36,$C$4)</f>
        <v>500</v>
      </c>
    </row>
    <row r="37" customFormat="false" ht="15" hidden="false" customHeight="false" outlineLevel="0" collapsed="false">
      <c r="A37" s="3" t="s">
        <v>171</v>
      </c>
      <c r="B37" s="4" t="s">
        <v>172</v>
      </c>
      <c r="C37" s="20" t="n">
        <v>700</v>
      </c>
      <c r="D37" s="20" t="n">
        <v>400</v>
      </c>
      <c r="E37" s="20" t="n">
        <v>200</v>
      </c>
      <c r="F37" s="18" t="s">
        <v>173</v>
      </c>
      <c r="G37" s="4" t="s">
        <v>171</v>
      </c>
      <c r="H37" s="18" t="s">
        <v>98</v>
      </c>
      <c r="I37" s="13" t="n">
        <f aca="false">INDEX(C37:E37,$C$4)</f>
        <v>400</v>
      </c>
    </row>
    <row r="38" customFormat="false" ht="15" hidden="false" customHeight="false" outlineLevel="0" collapsed="false">
      <c r="A38" s="3" t="s">
        <v>174</v>
      </c>
      <c r="B38" s="4" t="s">
        <v>175</v>
      </c>
      <c r="C38" s="20" t="n">
        <v>300</v>
      </c>
      <c r="D38" s="20" t="n">
        <v>150</v>
      </c>
      <c r="E38" s="20" t="n">
        <v>50</v>
      </c>
      <c r="F38" s="18" t="s">
        <v>165</v>
      </c>
      <c r="G38" s="4" t="s">
        <v>174</v>
      </c>
      <c r="H38" s="18" t="s">
        <v>98</v>
      </c>
      <c r="I38" s="13" t="n">
        <f aca="false">INDEX(C38:E38,$C$4)</f>
        <v>150</v>
      </c>
    </row>
    <row r="39" customFormat="false" ht="15" hidden="false" customHeight="false" outlineLevel="0" collapsed="false">
      <c r="A39" s="3" t="s">
        <v>176</v>
      </c>
      <c r="B39" s="4" t="s">
        <v>177</v>
      </c>
      <c r="C39" s="20" t="n">
        <v>400</v>
      </c>
      <c r="D39" s="20" t="n">
        <v>200</v>
      </c>
      <c r="E39" s="20" t="n">
        <v>100</v>
      </c>
      <c r="F39" s="18" t="s">
        <v>165</v>
      </c>
      <c r="G39" s="4" t="s">
        <v>176</v>
      </c>
      <c r="H39" s="18" t="s">
        <v>98</v>
      </c>
      <c r="I39" s="13" t="n">
        <f aca="false">INDEX(C39:E39,$C$4)</f>
        <v>200</v>
      </c>
    </row>
    <row r="40" customFormat="false" ht="15" hidden="false" customHeight="false" outlineLevel="0" collapsed="false">
      <c r="A40" s="3" t="s">
        <v>178</v>
      </c>
      <c r="B40" s="4" t="s">
        <v>179</v>
      </c>
      <c r="C40" s="21" t="n">
        <v>0.7</v>
      </c>
      <c r="D40" s="21" t="n">
        <v>0.5</v>
      </c>
      <c r="E40" s="21" t="n">
        <v>0.3</v>
      </c>
      <c r="F40" s="18" t="s">
        <v>104</v>
      </c>
      <c r="G40" s="4" t="s">
        <v>180</v>
      </c>
      <c r="H40" s="18" t="s">
        <v>98</v>
      </c>
      <c r="I40" s="22" t="n">
        <f aca="false">INDEX(C40:E40,$C$4)</f>
        <v>0.5</v>
      </c>
    </row>
    <row r="41" customFormat="false" ht="15" hidden="false" customHeight="false" outlineLevel="0" collapsed="false">
      <c r="A41" s="3" t="s">
        <v>181</v>
      </c>
      <c r="B41" s="4" t="s">
        <v>182</v>
      </c>
      <c r="C41" s="21" t="n">
        <v>0.8</v>
      </c>
      <c r="D41" s="21" t="n">
        <v>0.6</v>
      </c>
      <c r="E41" s="21" t="n">
        <v>0.4</v>
      </c>
      <c r="F41" s="18" t="s">
        <v>104</v>
      </c>
      <c r="G41" s="4" t="s">
        <v>183</v>
      </c>
      <c r="H41" s="18" t="s">
        <v>98</v>
      </c>
      <c r="I41" s="22" t="n">
        <f aca="false">INDEX(C41:E41,$C$4)</f>
        <v>0.6</v>
      </c>
    </row>
    <row r="42" customFormat="false" ht="15" hidden="false" customHeight="false" outlineLevel="0" collapsed="false">
      <c r="A42" s="3" t="s">
        <v>184</v>
      </c>
      <c r="B42" s="4" t="s">
        <v>185</v>
      </c>
      <c r="C42" s="21" t="n">
        <v>0.35</v>
      </c>
      <c r="D42" s="21" t="n">
        <v>0.4</v>
      </c>
      <c r="E42" s="21" t="n">
        <v>0.45</v>
      </c>
      <c r="F42" s="18" t="s">
        <v>104</v>
      </c>
      <c r="G42" s="4" t="s">
        <v>186</v>
      </c>
      <c r="H42" s="18" t="s">
        <v>98</v>
      </c>
      <c r="I42" s="22" t="n">
        <f aca="false">INDEX(C42:E42,$C$4)</f>
        <v>0.4</v>
      </c>
    </row>
    <row r="43" customFormat="false" ht="15" hidden="false" customHeight="false" outlineLevel="0" collapsed="false">
      <c r="A43" s="3" t="s">
        <v>183</v>
      </c>
      <c r="B43" s="4" t="s">
        <v>187</v>
      </c>
      <c r="C43" s="21" t="n">
        <v>0.45</v>
      </c>
      <c r="D43" s="21" t="n">
        <v>0.55</v>
      </c>
      <c r="E43" s="21" t="n">
        <v>0.65</v>
      </c>
      <c r="F43" s="18" t="s">
        <v>104</v>
      </c>
      <c r="G43" s="4" t="s">
        <v>186</v>
      </c>
      <c r="H43" s="18" t="s">
        <v>98</v>
      </c>
      <c r="I43" s="22" t="n">
        <f aca="false">INDEX(C43:E43,$C$4)</f>
        <v>0.55</v>
      </c>
    </row>
    <row r="44" customFormat="false" ht="15" hidden="false" customHeight="false" outlineLevel="0" collapsed="false">
      <c r="A44" s="3" t="s">
        <v>188</v>
      </c>
      <c r="B44" s="4" t="s">
        <v>189</v>
      </c>
      <c r="C44" s="21" t="n">
        <v>0.25</v>
      </c>
      <c r="D44" s="21" t="n">
        <v>0.3</v>
      </c>
      <c r="E44" s="21" t="n">
        <v>0.35</v>
      </c>
      <c r="F44" s="18" t="s">
        <v>104</v>
      </c>
      <c r="G44" s="4" t="s">
        <v>186</v>
      </c>
      <c r="H44" s="18" t="s">
        <v>98</v>
      </c>
      <c r="I44" s="22" t="n">
        <f aca="false">INDEX(C44:E44,$C$4)</f>
        <v>0.3</v>
      </c>
    </row>
    <row r="45" customFormat="false" ht="15" hidden="false" customHeight="false" outlineLevel="0" collapsed="false">
      <c r="A45" s="3" t="s">
        <v>190</v>
      </c>
      <c r="B45" s="4" t="s">
        <v>191</v>
      </c>
      <c r="C45" s="21" t="n">
        <v>0.75</v>
      </c>
      <c r="D45" s="21" t="n">
        <v>0.8</v>
      </c>
      <c r="E45" s="21" t="n">
        <v>0.85</v>
      </c>
      <c r="F45" s="18" t="s">
        <v>104</v>
      </c>
      <c r="G45" s="4" t="s">
        <v>186</v>
      </c>
      <c r="H45" s="18" t="s">
        <v>98</v>
      </c>
      <c r="I45" s="22" t="n">
        <f aca="false">INDEX(C45:E45,$C$4)</f>
        <v>0.8</v>
      </c>
    </row>
    <row r="46" customFormat="false" ht="15" hidden="false" customHeight="false" outlineLevel="0" collapsed="false">
      <c r="A46" s="3" t="s">
        <v>192</v>
      </c>
      <c r="B46" s="4" t="s">
        <v>193</v>
      </c>
      <c r="C46" s="21" t="n">
        <v>0.4</v>
      </c>
      <c r="D46" s="21" t="n">
        <v>0.45</v>
      </c>
      <c r="E46" s="21" t="n">
        <v>0.5</v>
      </c>
      <c r="F46" s="18" t="s">
        <v>104</v>
      </c>
      <c r="G46" s="4" t="s">
        <v>194</v>
      </c>
      <c r="H46" s="18" t="s">
        <v>98</v>
      </c>
      <c r="I46" s="22" t="n">
        <f aca="false">INDEX(C46:E46,$C$4)</f>
        <v>0.45</v>
      </c>
    </row>
    <row r="47" customFormat="false" ht="15" hidden="false" customHeight="false" outlineLevel="0" collapsed="false">
      <c r="A47" s="3" t="s">
        <v>195</v>
      </c>
      <c r="B47" s="4" t="s">
        <v>196</v>
      </c>
      <c r="C47" s="21" t="n">
        <v>0.5</v>
      </c>
      <c r="D47" s="21" t="n">
        <v>0.6</v>
      </c>
      <c r="E47" s="21" t="n">
        <v>0.65</v>
      </c>
      <c r="F47" s="18" t="s">
        <v>104</v>
      </c>
      <c r="G47" s="4" t="s">
        <v>194</v>
      </c>
      <c r="H47" s="18" t="s">
        <v>98</v>
      </c>
      <c r="I47" s="22" t="n">
        <f aca="false">INDEX(C47:E47,$C$4)</f>
        <v>0.6</v>
      </c>
    </row>
    <row r="48" customFormat="false" ht="15" hidden="false" customHeight="false" outlineLevel="0" collapsed="false">
      <c r="A48" s="3" t="s">
        <v>197</v>
      </c>
      <c r="B48" s="4" t="s">
        <v>198</v>
      </c>
      <c r="C48" s="21" t="n">
        <v>0.28</v>
      </c>
      <c r="D48" s="21" t="n">
        <v>0.32</v>
      </c>
      <c r="E48" s="21" t="n">
        <v>0.35</v>
      </c>
      <c r="F48" s="18" t="s">
        <v>104</v>
      </c>
      <c r="G48" s="4" t="s">
        <v>194</v>
      </c>
      <c r="H48" s="18" t="s">
        <v>98</v>
      </c>
      <c r="I48" s="22" t="n">
        <f aca="false">INDEX(C48:E48,$C$4)</f>
        <v>0.32</v>
      </c>
    </row>
    <row r="49" customFormat="false" ht="15" hidden="false" customHeight="false" outlineLevel="0" collapsed="false">
      <c r="A49" s="3" t="s">
        <v>199</v>
      </c>
      <c r="B49" s="4" t="s">
        <v>200</v>
      </c>
      <c r="C49" s="21" t="n">
        <v>0.75</v>
      </c>
      <c r="D49" s="21" t="n">
        <v>0.8</v>
      </c>
      <c r="E49" s="21" t="n">
        <v>0.85</v>
      </c>
      <c r="F49" s="18" t="s">
        <v>104</v>
      </c>
      <c r="G49" s="4" t="s">
        <v>194</v>
      </c>
      <c r="H49" s="18" t="s">
        <v>98</v>
      </c>
      <c r="I49" s="22" t="n">
        <f aca="false">INDEX(C49:E49,$C$4)</f>
        <v>0.8</v>
      </c>
    </row>
    <row r="50" customFormat="false" ht="15" hidden="false" customHeight="false" outlineLevel="0" collapsed="false">
      <c r="A50" s="3" t="s">
        <v>201</v>
      </c>
      <c r="B50" s="4" t="s">
        <v>202</v>
      </c>
      <c r="C50" s="21" t="n">
        <v>0.3</v>
      </c>
      <c r="D50" s="21" t="n">
        <v>0.38</v>
      </c>
      <c r="E50" s="21" t="n">
        <v>0.45</v>
      </c>
      <c r="F50" s="18" t="s">
        <v>104</v>
      </c>
      <c r="G50" s="4" t="s">
        <v>203</v>
      </c>
      <c r="H50" s="18" t="s">
        <v>98</v>
      </c>
      <c r="I50" s="22" t="n">
        <f aca="false">INDEX(C50:E50,$C$4)</f>
        <v>0.38</v>
      </c>
    </row>
    <row r="51" customFormat="false" ht="15" hidden="false" customHeight="false" outlineLevel="0" collapsed="false">
      <c r="A51" s="3" t="s">
        <v>204</v>
      </c>
      <c r="B51" s="4" t="s">
        <v>205</v>
      </c>
      <c r="C51" s="21" t="n">
        <v>0.45</v>
      </c>
      <c r="D51" s="21" t="n">
        <v>0.55</v>
      </c>
      <c r="E51" s="21" t="n">
        <v>0.65</v>
      </c>
      <c r="F51" s="18" t="s">
        <v>104</v>
      </c>
      <c r="G51" s="4" t="s">
        <v>203</v>
      </c>
      <c r="H51" s="18" t="s">
        <v>98</v>
      </c>
      <c r="I51" s="22" t="n">
        <f aca="false">INDEX(C51:E51,$C$4)</f>
        <v>0.55</v>
      </c>
    </row>
    <row r="52" customFormat="false" ht="15" hidden="false" customHeight="false" outlineLevel="0" collapsed="false">
      <c r="A52" s="3" t="s">
        <v>206</v>
      </c>
      <c r="B52" s="4" t="s">
        <v>207</v>
      </c>
      <c r="C52" s="21" t="n">
        <v>0.25</v>
      </c>
      <c r="D52" s="21" t="n">
        <v>0.3</v>
      </c>
      <c r="E52" s="21" t="n">
        <v>0.35</v>
      </c>
      <c r="F52" s="18" t="s">
        <v>104</v>
      </c>
      <c r="G52" s="4" t="s">
        <v>203</v>
      </c>
      <c r="H52" s="18" t="s">
        <v>98</v>
      </c>
      <c r="I52" s="22" t="n">
        <f aca="false">INDEX(C52:E52,$C$4)</f>
        <v>0.3</v>
      </c>
    </row>
    <row r="53" customFormat="false" ht="15" hidden="false" customHeight="false" outlineLevel="0" collapsed="false">
      <c r="A53" s="3" t="s">
        <v>208</v>
      </c>
      <c r="B53" s="4" t="s">
        <v>209</v>
      </c>
      <c r="C53" s="21" t="n">
        <v>0.75</v>
      </c>
      <c r="D53" s="21" t="n">
        <v>0.8</v>
      </c>
      <c r="E53" s="21" t="n">
        <v>0.85</v>
      </c>
      <c r="F53" s="18" t="s">
        <v>104</v>
      </c>
      <c r="G53" s="4" t="s">
        <v>203</v>
      </c>
      <c r="H53" s="18" t="s">
        <v>98</v>
      </c>
      <c r="I53" s="22" t="n">
        <f aca="false">INDEX(C53:E53,$C$4)</f>
        <v>0.8</v>
      </c>
    </row>
    <row r="54" customFormat="false" ht="15" hidden="false" customHeight="false" outlineLevel="0" collapsed="false">
      <c r="A54" s="3" t="s">
        <v>210</v>
      </c>
      <c r="B54" s="4" t="s">
        <v>211</v>
      </c>
      <c r="C54" s="21" t="n">
        <v>0.6</v>
      </c>
      <c r="D54" s="21" t="n">
        <v>0.7</v>
      </c>
      <c r="E54" s="21" t="n">
        <v>0.8</v>
      </c>
      <c r="F54" s="18" t="s">
        <v>104</v>
      </c>
      <c r="G54" s="4" t="s">
        <v>212</v>
      </c>
      <c r="H54" s="18" t="s">
        <v>98</v>
      </c>
      <c r="I54" s="22" t="n">
        <f aca="false">INDEX(C54:E54,$C$4)</f>
        <v>0.7</v>
      </c>
    </row>
    <row r="55" customFormat="false" ht="15" hidden="false" customHeight="false" outlineLevel="0" collapsed="false">
      <c r="A55" s="3" t="s">
        <v>213</v>
      </c>
      <c r="B55" s="4" t="s">
        <v>214</v>
      </c>
      <c r="C55" s="21" t="n">
        <v>0.7</v>
      </c>
      <c r="D55" s="21" t="n">
        <v>0.75</v>
      </c>
      <c r="E55" s="21" t="n">
        <v>0.8</v>
      </c>
      <c r="F55" s="18" t="s">
        <v>104</v>
      </c>
      <c r="G55" s="4" t="s">
        <v>212</v>
      </c>
      <c r="H55" s="18" t="s">
        <v>98</v>
      </c>
      <c r="I55" s="22" t="n">
        <f aca="false">INDEX(C55:E55,$C$4)</f>
        <v>0.75</v>
      </c>
    </row>
    <row r="56" customFormat="false" ht="15" hidden="false" customHeight="false" outlineLevel="0" collapsed="false">
      <c r="A56" s="3" t="s">
        <v>215</v>
      </c>
      <c r="B56" s="4" t="s">
        <v>216</v>
      </c>
      <c r="C56" s="21" t="n">
        <v>0.5</v>
      </c>
      <c r="D56" s="21" t="n">
        <v>0.55</v>
      </c>
      <c r="E56" s="21" t="n">
        <v>0.6</v>
      </c>
      <c r="F56" s="18" t="s">
        <v>104</v>
      </c>
      <c r="G56" s="4" t="s">
        <v>212</v>
      </c>
      <c r="H56" s="18" t="s">
        <v>98</v>
      </c>
      <c r="I56" s="22" t="n">
        <f aca="false">INDEX(C56:E56,$C$4)</f>
        <v>0.55</v>
      </c>
    </row>
    <row r="57" customFormat="false" ht="15" hidden="false" customHeight="false" outlineLevel="0" collapsed="false">
      <c r="A57" s="3" t="s">
        <v>217</v>
      </c>
      <c r="B57" s="4" t="s">
        <v>218</v>
      </c>
      <c r="C57" s="21" t="n">
        <v>0.8</v>
      </c>
      <c r="D57" s="21" t="n">
        <v>0.87</v>
      </c>
      <c r="E57" s="21" t="n">
        <v>0.92</v>
      </c>
      <c r="F57" s="18" t="s">
        <v>104</v>
      </c>
      <c r="G57" s="4" t="s">
        <v>212</v>
      </c>
      <c r="H57" s="18" t="s">
        <v>98</v>
      </c>
      <c r="I57" s="22" t="n">
        <f aca="false">INDEX(C57:E57,$C$4)</f>
        <v>0.87</v>
      </c>
    </row>
    <row r="58" customFormat="false" ht="15" hidden="false" customHeight="false" outlineLevel="0" collapsed="false">
      <c r="A58" s="3" t="s">
        <v>219</v>
      </c>
      <c r="B58" s="4" t="s">
        <v>220</v>
      </c>
      <c r="C58" s="21" t="n">
        <v>0.75</v>
      </c>
      <c r="D58" s="21" t="n">
        <v>0.82</v>
      </c>
      <c r="E58" s="21" t="n">
        <v>0.9</v>
      </c>
      <c r="F58" s="18" t="s">
        <v>104</v>
      </c>
      <c r="G58" s="4" t="s">
        <v>221</v>
      </c>
      <c r="H58" s="18" t="s">
        <v>98</v>
      </c>
      <c r="I58" s="22" t="n">
        <f aca="false">INDEX(C58:E58,$C$4)</f>
        <v>0.82</v>
      </c>
    </row>
    <row r="59" customFormat="false" ht="15" hidden="false" customHeight="false" outlineLevel="0" collapsed="false">
      <c r="A59" s="3" t="s">
        <v>222</v>
      </c>
      <c r="B59" s="4" t="s">
        <v>223</v>
      </c>
      <c r="C59" s="21" t="n">
        <v>0.5</v>
      </c>
      <c r="D59" s="21" t="n">
        <v>0.65</v>
      </c>
      <c r="E59" s="21" t="n">
        <v>0.8</v>
      </c>
      <c r="F59" s="18" t="s">
        <v>104</v>
      </c>
      <c r="G59" s="4" t="s">
        <v>221</v>
      </c>
      <c r="H59" s="18" t="s">
        <v>98</v>
      </c>
      <c r="I59" s="22" t="n">
        <f aca="false">INDEX(C59:E59,$C$4)</f>
        <v>0.65</v>
      </c>
    </row>
    <row r="60" customFormat="false" ht="15" hidden="false" customHeight="false" outlineLevel="0" collapsed="false">
      <c r="A60" s="3" t="s">
        <v>224</v>
      </c>
      <c r="B60" s="4" t="s">
        <v>225</v>
      </c>
      <c r="C60" s="21" t="n">
        <v>0.16</v>
      </c>
      <c r="D60" s="21" t="n">
        <v>0.2</v>
      </c>
      <c r="E60" s="21" t="n">
        <v>0.25</v>
      </c>
      <c r="F60" s="18" t="s">
        <v>104</v>
      </c>
      <c r="G60" s="4" t="s">
        <v>221</v>
      </c>
      <c r="H60" s="18" t="s">
        <v>98</v>
      </c>
      <c r="I60" s="22" t="n">
        <f aca="false">INDEX(C60:E60,$C$4)</f>
        <v>0.2</v>
      </c>
    </row>
    <row r="61" customFormat="false" ht="28.35" hidden="false" customHeight="false" outlineLevel="0" collapsed="false">
      <c r="A61" s="3" t="s">
        <v>226</v>
      </c>
      <c r="B61" s="4" t="s">
        <v>227</v>
      </c>
      <c r="C61" s="27" t="n">
        <v>0.5</v>
      </c>
      <c r="D61" s="27" t="n">
        <v>0.67</v>
      </c>
      <c r="E61" s="27" t="n">
        <v>0.77</v>
      </c>
      <c r="F61" s="18" t="s">
        <v>228</v>
      </c>
      <c r="G61" s="4" t="s">
        <v>229</v>
      </c>
      <c r="H61" s="18" t="s">
        <v>98</v>
      </c>
      <c r="I61" s="28" t="n">
        <f aca="false">INDEX(C61:E61,$C$4)</f>
        <v>0.67</v>
      </c>
    </row>
    <row r="62" customFormat="false" ht="28.35" hidden="false" customHeight="false" outlineLevel="0" collapsed="false">
      <c r="A62" s="3" t="s">
        <v>230</v>
      </c>
      <c r="B62" s="4" t="s">
        <v>231</v>
      </c>
      <c r="C62" s="27" t="n">
        <v>1.5</v>
      </c>
      <c r="D62" s="27" t="n">
        <v>1.25</v>
      </c>
      <c r="E62" s="27" t="n">
        <v>1</v>
      </c>
      <c r="F62" s="18" t="s">
        <v>228</v>
      </c>
      <c r="G62" s="4" t="s">
        <v>232</v>
      </c>
      <c r="H62" s="18" t="s">
        <v>98</v>
      </c>
      <c r="I62" s="28" t="n">
        <f aca="false">INDEX(C62:E62,$C$4)</f>
        <v>1.25</v>
      </c>
    </row>
    <row r="63" customFormat="false" ht="15" hidden="false" customHeight="false" outlineLevel="0" collapsed="false">
      <c r="A63" s="3" t="s">
        <v>233</v>
      </c>
      <c r="B63" s="4" t="s">
        <v>234</v>
      </c>
      <c r="C63" s="21" t="n">
        <v>0.25</v>
      </c>
      <c r="D63" s="21" t="n">
        <v>0.35</v>
      </c>
      <c r="E63" s="21" t="n">
        <v>0.45</v>
      </c>
      <c r="F63" s="18" t="s">
        <v>104</v>
      </c>
      <c r="G63" s="4" t="s">
        <v>235</v>
      </c>
      <c r="H63" s="18" t="s">
        <v>98</v>
      </c>
      <c r="I63" s="22" t="n">
        <f aca="false">INDEX(C63:E63,$C$4)</f>
        <v>0.35</v>
      </c>
    </row>
    <row r="64" customFormat="false" ht="15" hidden="false" customHeight="false" outlineLevel="0" collapsed="false">
      <c r="A64" s="3" t="s">
        <v>236</v>
      </c>
      <c r="B64" s="4" t="s">
        <v>237</v>
      </c>
      <c r="C64" s="21" t="n">
        <v>0.2</v>
      </c>
      <c r="D64" s="21" t="n">
        <v>0.3</v>
      </c>
      <c r="E64" s="21" t="n">
        <v>0.4</v>
      </c>
      <c r="F64" s="18" t="s">
        <v>104</v>
      </c>
      <c r="G64" s="4" t="s">
        <v>235</v>
      </c>
      <c r="H64" s="18" t="s">
        <v>98</v>
      </c>
      <c r="I64" s="22" t="n">
        <f aca="false">INDEX(C64:E64,$C$4)</f>
        <v>0.3</v>
      </c>
    </row>
    <row r="65" customFormat="false" ht="15" hidden="false" customHeight="false" outlineLevel="0" collapsed="false">
      <c r="A65" s="3" t="s">
        <v>238</v>
      </c>
      <c r="B65" s="4" t="s">
        <v>239</v>
      </c>
      <c r="C65" s="21" t="n">
        <v>0.15</v>
      </c>
      <c r="D65" s="21" t="n">
        <v>0.25</v>
      </c>
      <c r="E65" s="21" t="n">
        <v>0.35</v>
      </c>
      <c r="F65" s="18" t="s">
        <v>104</v>
      </c>
      <c r="G65" s="4" t="s">
        <v>238</v>
      </c>
      <c r="H65" s="18" t="s">
        <v>98</v>
      </c>
      <c r="I65" s="22" t="n">
        <f aca="false">INDEX(C65:E65,$C$4)</f>
        <v>0.25</v>
      </c>
    </row>
    <row r="66" customFormat="false" ht="15" hidden="false" customHeight="false" outlineLevel="0" collapsed="false">
      <c r="A66" s="3" t="s">
        <v>240</v>
      </c>
      <c r="B66" s="4" t="s">
        <v>241</v>
      </c>
      <c r="C66" s="21" t="n">
        <v>0.1</v>
      </c>
      <c r="D66" s="21" t="n">
        <v>0.17</v>
      </c>
      <c r="E66" s="21" t="n">
        <v>0.25</v>
      </c>
      <c r="F66" s="18" t="s">
        <v>104</v>
      </c>
      <c r="G66" s="4" t="s">
        <v>240</v>
      </c>
      <c r="H66" s="18" t="s">
        <v>98</v>
      </c>
      <c r="I66" s="22" t="n">
        <f aca="false">INDEX(C66:E66,$C$4)</f>
        <v>0.17</v>
      </c>
    </row>
    <row r="67" customFormat="false" ht="15" hidden="false" customHeight="false" outlineLevel="0" collapsed="false">
      <c r="A67" s="3" t="s">
        <v>242</v>
      </c>
      <c r="B67" s="4" t="s">
        <v>243</v>
      </c>
      <c r="C67" s="21" t="n">
        <v>0.25</v>
      </c>
      <c r="D67" s="21" t="n">
        <v>0.3</v>
      </c>
      <c r="E67" s="21" t="n">
        <v>0.4</v>
      </c>
      <c r="F67" s="18" t="s">
        <v>104</v>
      </c>
      <c r="G67" s="4" t="s">
        <v>242</v>
      </c>
      <c r="H67" s="18" t="s">
        <v>98</v>
      </c>
      <c r="I67" s="22" t="n">
        <f aca="false">INDEX(C67:E67,$C$4)</f>
        <v>0.3</v>
      </c>
    </row>
    <row r="68" customFormat="false" ht="15" hidden="false" customHeight="false" outlineLevel="0" collapsed="false">
      <c r="A68" s="3" t="s">
        <v>244</v>
      </c>
      <c r="B68" s="4" t="s">
        <v>245</v>
      </c>
      <c r="C68" s="21" t="n">
        <v>0.01</v>
      </c>
      <c r="D68" s="21" t="n">
        <v>0.03</v>
      </c>
      <c r="E68" s="21" t="n">
        <v>0.05</v>
      </c>
      <c r="F68" s="18" t="s">
        <v>104</v>
      </c>
      <c r="G68" s="4" t="s">
        <v>244</v>
      </c>
      <c r="H68" s="18" t="s">
        <v>98</v>
      </c>
      <c r="I68" s="22" t="n">
        <f aca="false">INDEX(C68:E68,$C$4)</f>
        <v>0.03</v>
      </c>
    </row>
    <row r="69" customFormat="false" ht="15" hidden="false" customHeight="false" outlineLevel="0" collapsed="false">
      <c r="A69" s="3" t="s">
        <v>246</v>
      </c>
      <c r="B69" s="4" t="s">
        <v>247</v>
      </c>
      <c r="C69" s="21" t="n">
        <v>0.85</v>
      </c>
      <c r="D69" s="21" t="n">
        <v>0.9</v>
      </c>
      <c r="E69" s="21" t="n">
        <v>0.95</v>
      </c>
      <c r="F69" s="18" t="s">
        <v>104</v>
      </c>
      <c r="G69" s="4" t="s">
        <v>246</v>
      </c>
      <c r="H69" s="18" t="s">
        <v>98</v>
      </c>
      <c r="I69" s="22" t="n">
        <f aca="false">INDEX(C69:E69,$C$4)</f>
        <v>0.9</v>
      </c>
    </row>
    <row r="70" customFormat="false" ht="15" hidden="false" customHeight="false" outlineLevel="0" collapsed="false">
      <c r="A70" s="3" t="s">
        <v>248</v>
      </c>
      <c r="B70" s="4" t="s">
        <v>249</v>
      </c>
      <c r="C70" s="25" t="n">
        <v>0.2</v>
      </c>
      <c r="D70" s="25" t="n">
        <v>0.4</v>
      </c>
      <c r="E70" s="25" t="n">
        <v>0.6</v>
      </c>
      <c r="F70" s="18" t="s">
        <v>250</v>
      </c>
      <c r="G70" s="4" t="s">
        <v>248</v>
      </c>
      <c r="H70" s="18" t="s">
        <v>98</v>
      </c>
      <c r="I70" s="26" t="n">
        <f aca="false">INDEX(C70:E70,$C$4)</f>
        <v>0.4</v>
      </c>
    </row>
    <row r="71" customFormat="false" ht="15" hidden="false" customHeight="false" outlineLevel="0" collapsed="false">
      <c r="A71" s="3" t="s">
        <v>251</v>
      </c>
      <c r="B71" s="4" t="s">
        <v>252</v>
      </c>
      <c r="C71" s="20" t="n">
        <v>5000</v>
      </c>
      <c r="D71" s="20" t="n">
        <v>3000</v>
      </c>
      <c r="E71" s="20" t="n">
        <v>2000</v>
      </c>
      <c r="F71" s="18" t="s">
        <v>96</v>
      </c>
      <c r="G71" s="4" t="s">
        <v>253</v>
      </c>
      <c r="H71" s="18" t="s">
        <v>98</v>
      </c>
      <c r="I71" s="13" t="n">
        <f aca="false">INDEX(C71:E71,$C$4)</f>
        <v>3000</v>
      </c>
    </row>
    <row r="72" customFormat="false" ht="15" hidden="false" customHeight="false" outlineLevel="0" collapsed="false">
      <c r="A72" s="3" t="s">
        <v>254</v>
      </c>
      <c r="B72" s="4" t="s">
        <v>255</v>
      </c>
      <c r="C72" s="21" t="n">
        <v>0.5</v>
      </c>
      <c r="D72" s="21" t="n">
        <v>0.35</v>
      </c>
      <c r="E72" s="21" t="n">
        <v>0.2</v>
      </c>
      <c r="F72" s="18" t="s">
        <v>104</v>
      </c>
      <c r="G72" s="4" t="s">
        <v>256</v>
      </c>
      <c r="H72" s="18" t="s">
        <v>98</v>
      </c>
      <c r="I72" s="22" t="n">
        <f aca="false">INDEX(C72:E72,$C$4)</f>
        <v>0.35</v>
      </c>
    </row>
    <row r="73" customFormat="false" ht="15" hidden="false" customHeight="false" outlineLevel="0" collapsed="false">
      <c r="A73" s="3" t="s">
        <v>257</v>
      </c>
      <c r="B73" s="4" t="s">
        <v>258</v>
      </c>
      <c r="C73" s="21" t="n">
        <v>0.07</v>
      </c>
      <c r="D73" s="21" t="n">
        <v>0.05</v>
      </c>
      <c r="E73" s="21" t="n">
        <v>0.03</v>
      </c>
      <c r="F73" s="18" t="s">
        <v>104</v>
      </c>
      <c r="G73" s="4" t="s">
        <v>257</v>
      </c>
      <c r="H73" s="18" t="s">
        <v>98</v>
      </c>
      <c r="I73" s="22" t="n">
        <f aca="false">INDEX(C73:E73,$C$4)</f>
        <v>0.05</v>
      </c>
    </row>
    <row r="74" customFormat="false" ht="15" hidden="false" customHeight="false" outlineLevel="0" collapsed="false">
      <c r="A74" s="3" t="s">
        <v>259</v>
      </c>
      <c r="B74" s="4" t="s">
        <v>260</v>
      </c>
      <c r="C74" s="21" t="n">
        <v>0.2</v>
      </c>
      <c r="D74" s="21" t="n">
        <v>0.3</v>
      </c>
      <c r="E74" s="21" t="n">
        <v>0.45</v>
      </c>
      <c r="F74" s="18" t="s">
        <v>104</v>
      </c>
      <c r="G74" s="4" t="s">
        <v>259</v>
      </c>
      <c r="H74" s="18" t="s">
        <v>98</v>
      </c>
      <c r="I74" s="22" t="n">
        <f aca="false">INDEX(C74:E74,$C$4)</f>
        <v>0.3</v>
      </c>
    </row>
    <row r="75" customFormat="false" ht="15" hidden="false" customHeight="false" outlineLevel="0" collapsed="false">
      <c r="A75" s="3" t="s">
        <v>261</v>
      </c>
      <c r="B75" s="4" t="s">
        <v>262</v>
      </c>
      <c r="C75" s="21" t="n">
        <v>0.05</v>
      </c>
      <c r="D75" s="21" t="n">
        <v>0.1</v>
      </c>
      <c r="E75" s="21" t="n">
        <v>0.2</v>
      </c>
      <c r="F75" s="18" t="s">
        <v>104</v>
      </c>
      <c r="G75" s="4" t="s">
        <v>259</v>
      </c>
      <c r="H75" s="18" t="s">
        <v>98</v>
      </c>
      <c r="I75" s="22" t="n">
        <f aca="false">INDEX(C75:E75,$C$4)</f>
        <v>0.1</v>
      </c>
    </row>
    <row r="76" customFormat="false" ht="15" hidden="false" customHeight="false" outlineLevel="0" collapsed="false">
      <c r="A76" s="3" t="s">
        <v>263</v>
      </c>
      <c r="B76" s="4" t="s">
        <v>264</v>
      </c>
      <c r="C76" s="21" t="n">
        <v>0.15</v>
      </c>
      <c r="D76" s="21" t="n">
        <v>0.25</v>
      </c>
      <c r="E76" s="21" t="n">
        <v>0.35</v>
      </c>
      <c r="F76" s="18" t="s">
        <v>104</v>
      </c>
      <c r="G76" s="4" t="s">
        <v>265</v>
      </c>
      <c r="H76" s="18" t="s">
        <v>98</v>
      </c>
      <c r="I76" s="22" t="n">
        <f aca="false">INDEX(C76:E76,$C$4)</f>
        <v>0.25</v>
      </c>
    </row>
    <row r="77" customFormat="false" ht="15" hidden="false" customHeight="false" outlineLevel="0" collapsed="false">
      <c r="A77" s="3" t="s">
        <v>266</v>
      </c>
      <c r="B77" s="4" t="s">
        <v>267</v>
      </c>
      <c r="C77" s="17" t="n">
        <v>25</v>
      </c>
      <c r="D77" s="17" t="n">
        <v>30</v>
      </c>
      <c r="E77" s="17" t="n">
        <v>40</v>
      </c>
      <c r="F77" s="18" t="s">
        <v>268</v>
      </c>
      <c r="G77" s="4" t="s">
        <v>266</v>
      </c>
      <c r="H77" s="18" t="s">
        <v>98</v>
      </c>
      <c r="I77" s="19" t="n">
        <f aca="false">INDEX(C77:E77,$C$4)</f>
        <v>30</v>
      </c>
    </row>
    <row r="78" customFormat="false" ht="15" hidden="false" customHeight="false" outlineLevel="0" collapsed="false">
      <c r="A78" s="3" t="s">
        <v>269</v>
      </c>
      <c r="B78" s="4" t="s">
        <v>270</v>
      </c>
      <c r="C78" s="21" t="n">
        <v>0.024</v>
      </c>
      <c r="D78" s="21" t="n">
        <v>0.02</v>
      </c>
      <c r="E78" s="21" t="n">
        <v>0.018</v>
      </c>
      <c r="F78" s="18" t="s">
        <v>104</v>
      </c>
      <c r="G78" s="4" t="s">
        <v>271</v>
      </c>
      <c r="H78" s="18" t="s">
        <v>272</v>
      </c>
      <c r="I78" s="22" t="n">
        <f aca="false">INDEX(C78:E78,$C$4)</f>
        <v>0.02</v>
      </c>
    </row>
    <row r="79" customFormat="false" ht="28.35" hidden="false" customHeight="false" outlineLevel="0" collapsed="false">
      <c r="A79" s="3" t="s">
        <v>273</v>
      </c>
      <c r="B79" s="4" t="s">
        <v>274</v>
      </c>
      <c r="C79" s="17" t="n">
        <v>25</v>
      </c>
      <c r="D79" s="17" t="n">
        <v>40</v>
      </c>
      <c r="E79" s="17" t="n">
        <v>60</v>
      </c>
      <c r="F79" s="18" t="s">
        <v>275</v>
      </c>
      <c r="G79" s="4" t="s">
        <v>276</v>
      </c>
      <c r="H79" s="18" t="s">
        <v>98</v>
      </c>
      <c r="I79" s="19" t="n">
        <f aca="false">INDEX(C79:E79,$C$4)</f>
        <v>40</v>
      </c>
    </row>
    <row r="80" customFormat="false" ht="28.35" hidden="false" customHeight="false" outlineLevel="0" collapsed="false">
      <c r="A80" s="3" t="s">
        <v>277</v>
      </c>
      <c r="B80" s="4" t="s">
        <v>278</v>
      </c>
      <c r="C80" s="17" t="n">
        <v>5</v>
      </c>
      <c r="D80" s="17" t="n">
        <v>8</v>
      </c>
      <c r="E80" s="17" t="n">
        <v>12</v>
      </c>
      <c r="F80" s="18" t="s">
        <v>275</v>
      </c>
      <c r="G80" s="4" t="s">
        <v>277</v>
      </c>
      <c r="H80" s="18" t="s">
        <v>98</v>
      </c>
      <c r="I80" s="19" t="n">
        <f aca="false">INDEX(C80:E80,$C$4)</f>
        <v>8</v>
      </c>
    </row>
    <row r="81" customFormat="false" ht="15" hidden="false" customHeight="false" outlineLevel="0" collapsed="false">
      <c r="A81" s="15" t="s">
        <v>279</v>
      </c>
      <c r="B81" s="16"/>
      <c r="C81" s="16"/>
      <c r="D81" s="16"/>
      <c r="E81" s="16"/>
      <c r="F81" s="16"/>
      <c r="G81" s="16"/>
      <c r="H81" s="16"/>
      <c r="I81" s="16"/>
    </row>
    <row r="82" customFormat="false" ht="15" hidden="false" customHeight="false" outlineLevel="0" collapsed="false">
      <c r="A82" s="3" t="s">
        <v>280</v>
      </c>
      <c r="B82" s="4" t="s">
        <v>281</v>
      </c>
      <c r="C82" s="20" t="n">
        <v>150</v>
      </c>
      <c r="D82" s="20" t="n">
        <v>100</v>
      </c>
      <c r="E82" s="20" t="n">
        <v>60</v>
      </c>
      <c r="F82" s="18" t="s">
        <v>282</v>
      </c>
      <c r="G82" s="4" t="s">
        <v>283</v>
      </c>
      <c r="H82" s="18" t="s">
        <v>98</v>
      </c>
      <c r="I82" s="13" t="n">
        <f aca="false">INDEX(C82:E82,$C$4)</f>
        <v>100</v>
      </c>
    </row>
    <row r="83" customFormat="false" ht="28.35" hidden="false" customHeight="false" outlineLevel="0" collapsed="false">
      <c r="A83" s="3" t="s">
        <v>284</v>
      </c>
      <c r="B83" s="4" t="s">
        <v>285</v>
      </c>
      <c r="C83" s="25" t="n">
        <v>1</v>
      </c>
      <c r="D83" s="25" t="n">
        <v>1</v>
      </c>
      <c r="E83" s="25" t="n">
        <v>1</v>
      </c>
      <c r="F83" s="18" t="s">
        <v>286</v>
      </c>
      <c r="G83" s="4" t="s">
        <v>287</v>
      </c>
      <c r="H83" s="18" t="s">
        <v>98</v>
      </c>
      <c r="I83" s="26" t="n">
        <f aca="false">INDEX(C83:E83,$C$4)</f>
        <v>1</v>
      </c>
    </row>
    <row r="84" customFormat="false" ht="15" hidden="false" customHeight="false" outlineLevel="0" collapsed="false">
      <c r="A84" s="3" t="s">
        <v>288</v>
      </c>
      <c r="B84" s="4" t="s">
        <v>289</v>
      </c>
      <c r="C84" s="17" t="n">
        <v>30</v>
      </c>
      <c r="D84" s="17" t="n">
        <v>30</v>
      </c>
      <c r="E84" s="17" t="n">
        <v>40</v>
      </c>
      <c r="F84" s="18" t="s">
        <v>290</v>
      </c>
      <c r="G84" s="4" t="s">
        <v>291</v>
      </c>
      <c r="H84" s="18" t="s">
        <v>98</v>
      </c>
      <c r="I84" s="19" t="n">
        <f aca="false">INDEX(C84:E84,$C$4)</f>
        <v>30</v>
      </c>
    </row>
    <row r="85" customFormat="false" ht="15" hidden="false" customHeight="false" outlineLevel="0" collapsed="false">
      <c r="A85" s="3" t="s">
        <v>292</v>
      </c>
      <c r="B85" s="4" t="s">
        <v>293</v>
      </c>
      <c r="C85" s="17" t="n">
        <v>25</v>
      </c>
      <c r="D85" s="17" t="n">
        <v>32</v>
      </c>
      <c r="E85" s="17" t="n">
        <v>40</v>
      </c>
      <c r="F85" s="18" t="s">
        <v>294</v>
      </c>
      <c r="G85" s="4" t="s">
        <v>295</v>
      </c>
      <c r="H85" s="18" t="s">
        <v>98</v>
      </c>
      <c r="I85" s="19" t="n">
        <f aca="false">INDEX(C85:E85,$C$4)</f>
        <v>32</v>
      </c>
    </row>
    <row r="86" customFormat="false" ht="15" hidden="false" customHeight="false" outlineLevel="0" collapsed="false">
      <c r="A86" s="3" t="s">
        <v>296</v>
      </c>
      <c r="B86" s="4" t="s">
        <v>297</v>
      </c>
      <c r="C86" s="20" t="n">
        <v>999</v>
      </c>
      <c r="D86" s="20" t="n">
        <v>1499</v>
      </c>
      <c r="E86" s="20" t="n">
        <v>1499</v>
      </c>
      <c r="F86" s="18" t="s">
        <v>96</v>
      </c>
      <c r="G86" s="4" t="s">
        <v>298</v>
      </c>
      <c r="H86" s="18" t="s">
        <v>98</v>
      </c>
      <c r="I86" s="13" t="n">
        <f aca="false">INDEX(C86:E86,$C$4)</f>
        <v>1499</v>
      </c>
    </row>
    <row r="87" customFormat="false" ht="15" hidden="false" customHeight="false" outlineLevel="0" collapsed="false">
      <c r="A87" s="3" t="s">
        <v>299</v>
      </c>
      <c r="B87" s="4" t="s">
        <v>300</v>
      </c>
      <c r="C87" s="20" t="n">
        <v>60000</v>
      </c>
      <c r="D87" s="20" t="n">
        <v>52000</v>
      </c>
      <c r="E87" s="20" t="n">
        <v>45000</v>
      </c>
      <c r="F87" s="18" t="s">
        <v>301</v>
      </c>
      <c r="G87" s="4" t="s">
        <v>302</v>
      </c>
      <c r="H87" s="18" t="s">
        <v>98</v>
      </c>
      <c r="I87" s="13" t="n">
        <f aca="false">INDEX(C87:E87,$C$4)</f>
        <v>52000</v>
      </c>
    </row>
    <row r="88" customFormat="false" ht="15" hidden="false" customHeight="false" outlineLevel="0" collapsed="false">
      <c r="A88" s="3" t="s">
        <v>303</v>
      </c>
      <c r="B88" s="4" t="s">
        <v>304</v>
      </c>
      <c r="C88" s="21" t="n">
        <v>0.08</v>
      </c>
      <c r="D88" s="21" t="n">
        <v>0.11</v>
      </c>
      <c r="E88" s="21" t="n">
        <v>0.15</v>
      </c>
      <c r="F88" s="18" t="s">
        <v>104</v>
      </c>
      <c r="G88" s="4" t="s">
        <v>305</v>
      </c>
      <c r="H88" s="18" t="s">
        <v>98</v>
      </c>
      <c r="I88" s="22" t="n">
        <f aca="false">INDEX(C88:E88,$C$4)</f>
        <v>0.11</v>
      </c>
    </row>
    <row r="89" customFormat="false" ht="28.35" hidden="false" customHeight="false" outlineLevel="0" collapsed="false">
      <c r="A89" s="3" t="s">
        <v>306</v>
      </c>
      <c r="B89" s="4" t="s">
        <v>307</v>
      </c>
      <c r="C89" s="27" t="n">
        <v>0</v>
      </c>
      <c r="D89" s="27" t="n">
        <v>0.5</v>
      </c>
      <c r="E89" s="27" t="n">
        <v>1</v>
      </c>
      <c r="F89" s="18" t="s">
        <v>308</v>
      </c>
      <c r="G89" s="4" t="s">
        <v>309</v>
      </c>
      <c r="H89" s="18" t="s">
        <v>98</v>
      </c>
      <c r="I89" s="28" t="n">
        <f aca="false">INDEX(C89:E89,$C$4)</f>
        <v>0.5</v>
      </c>
    </row>
    <row r="90" customFormat="false" ht="28.35" hidden="false" customHeight="false" outlineLevel="0" collapsed="false">
      <c r="A90" s="3" t="s">
        <v>310</v>
      </c>
      <c r="B90" s="4" t="s">
        <v>311</v>
      </c>
      <c r="C90" s="17" t="n">
        <v>3</v>
      </c>
      <c r="D90" s="17" t="n">
        <v>2</v>
      </c>
      <c r="E90" s="17" t="n">
        <v>1</v>
      </c>
      <c r="F90" s="18" t="s">
        <v>312</v>
      </c>
      <c r="G90" s="4" t="s">
        <v>313</v>
      </c>
      <c r="H90" s="18" t="s">
        <v>98</v>
      </c>
      <c r="I90" s="19" t="n">
        <f aca="false">INDEX(C90:E90,$C$4)</f>
        <v>2</v>
      </c>
    </row>
    <row r="91" customFormat="false" ht="15" hidden="false" customHeight="false" outlineLevel="0" collapsed="false">
      <c r="A91" s="3" t="s">
        <v>314</v>
      </c>
      <c r="B91" s="4" t="s">
        <v>315</v>
      </c>
      <c r="C91" s="25" t="n">
        <v>0.3</v>
      </c>
      <c r="D91" s="25" t="n">
        <v>0.5</v>
      </c>
      <c r="E91" s="25" t="n">
        <v>0.8</v>
      </c>
      <c r="F91" s="18" t="s">
        <v>316</v>
      </c>
      <c r="G91" s="4" t="s">
        <v>317</v>
      </c>
      <c r="H91" s="18" t="s">
        <v>98</v>
      </c>
      <c r="I91" s="26" t="n">
        <f aca="false">INDEX(C91:E91,$C$4)</f>
        <v>0.5</v>
      </c>
    </row>
    <row r="92" customFormat="false" ht="15" hidden="false" customHeight="false" outlineLevel="0" collapsed="false">
      <c r="A92" s="3" t="s">
        <v>318</v>
      </c>
      <c r="B92" s="4" t="s">
        <v>319</v>
      </c>
      <c r="C92" s="21" t="n">
        <v>0.25</v>
      </c>
      <c r="D92" s="21" t="n">
        <v>0.3</v>
      </c>
      <c r="E92" s="21" t="n">
        <v>0.4</v>
      </c>
      <c r="F92" s="18" t="s">
        <v>104</v>
      </c>
      <c r="G92" s="4" t="s">
        <v>320</v>
      </c>
      <c r="H92" s="18" t="s">
        <v>98</v>
      </c>
      <c r="I92" s="22" t="n">
        <f aca="false">INDEX(C92:E92,$C$4)</f>
        <v>0.3</v>
      </c>
    </row>
    <row r="93" customFormat="false" ht="28.35" hidden="false" customHeight="false" outlineLevel="0" collapsed="false">
      <c r="A93" s="3" t="s">
        <v>321</v>
      </c>
      <c r="B93" s="4" t="s">
        <v>322</v>
      </c>
      <c r="C93" s="20" t="n">
        <v>600</v>
      </c>
      <c r="D93" s="20" t="n">
        <v>960</v>
      </c>
      <c r="E93" s="20" t="n">
        <v>1400</v>
      </c>
      <c r="F93" s="18" t="s">
        <v>323</v>
      </c>
      <c r="G93" s="4" t="s">
        <v>324</v>
      </c>
      <c r="H93" s="18" t="s">
        <v>98</v>
      </c>
      <c r="I93" s="13" t="n">
        <f aca="false">INDEX(C93:E93,$C$4)</f>
        <v>960</v>
      </c>
    </row>
    <row r="94" customFormat="false" ht="28.35" hidden="false" customHeight="false" outlineLevel="0" collapsed="false">
      <c r="A94" s="3" t="s">
        <v>325</v>
      </c>
      <c r="B94" s="4" t="s">
        <v>326</v>
      </c>
      <c r="C94" s="17" t="n">
        <v>10</v>
      </c>
      <c r="D94" s="17" t="n">
        <v>7</v>
      </c>
      <c r="E94" s="17" t="n">
        <v>5</v>
      </c>
      <c r="F94" s="18" t="s">
        <v>327</v>
      </c>
      <c r="G94" s="4" t="s">
        <v>328</v>
      </c>
      <c r="H94" s="18" t="s">
        <v>98</v>
      </c>
      <c r="I94" s="19" t="n">
        <f aca="false">INDEX(C94:E94,$C$4)</f>
        <v>7</v>
      </c>
    </row>
    <row r="95" customFormat="false" ht="28.35" hidden="false" customHeight="false" outlineLevel="0" collapsed="false">
      <c r="A95" s="3" t="s">
        <v>329</v>
      </c>
      <c r="B95" s="4" t="s">
        <v>330</v>
      </c>
      <c r="C95" s="17" t="n">
        <v>4</v>
      </c>
      <c r="D95" s="17" t="n">
        <v>3</v>
      </c>
      <c r="E95" s="17" t="n">
        <v>2</v>
      </c>
      <c r="F95" s="18" t="s">
        <v>327</v>
      </c>
      <c r="G95" s="4" t="s">
        <v>331</v>
      </c>
      <c r="H95" s="18" t="s">
        <v>98</v>
      </c>
      <c r="I95" s="19" t="n">
        <f aca="false">INDEX(C95:E95,$C$4)</f>
        <v>3</v>
      </c>
    </row>
    <row r="96" customFormat="false" ht="15" hidden="false" customHeight="false" outlineLevel="0" collapsed="false">
      <c r="A96" s="15" t="s">
        <v>332</v>
      </c>
      <c r="B96" s="16"/>
      <c r="C96" s="16"/>
      <c r="D96" s="16"/>
      <c r="E96" s="16"/>
      <c r="F96" s="16"/>
      <c r="G96" s="16"/>
      <c r="H96" s="16"/>
      <c r="I96" s="16"/>
    </row>
    <row r="97" customFormat="false" ht="15" hidden="false" customHeight="false" outlineLevel="0" collapsed="false">
      <c r="A97" s="3" t="s">
        <v>333</v>
      </c>
      <c r="B97" s="4" t="s">
        <v>334</v>
      </c>
      <c r="C97" s="20" t="n">
        <v>7000</v>
      </c>
      <c r="D97" s="20" t="n">
        <v>6000</v>
      </c>
      <c r="E97" s="20" t="n">
        <v>5000</v>
      </c>
      <c r="F97" s="18" t="s">
        <v>111</v>
      </c>
      <c r="G97" s="4" t="s">
        <v>335</v>
      </c>
      <c r="H97" s="18" t="s">
        <v>98</v>
      </c>
      <c r="I97" s="13" t="n">
        <f aca="false">INDEX(C97:E97,$C$4)</f>
        <v>6000</v>
      </c>
    </row>
    <row r="98" customFormat="false" ht="15" hidden="false" customHeight="false" outlineLevel="0" collapsed="false">
      <c r="A98" s="3" t="s">
        <v>336</v>
      </c>
      <c r="B98" s="4" t="s">
        <v>337</v>
      </c>
      <c r="C98" s="20" t="n">
        <v>2500</v>
      </c>
      <c r="D98" s="20" t="n">
        <v>2000</v>
      </c>
      <c r="E98" s="20" t="n">
        <v>1500</v>
      </c>
      <c r="F98" s="18" t="s">
        <v>111</v>
      </c>
      <c r="G98" s="4" t="s">
        <v>338</v>
      </c>
      <c r="H98" s="18" t="s">
        <v>98</v>
      </c>
      <c r="I98" s="13" t="n">
        <f aca="false">INDEX(C98:E98,$C$4)</f>
        <v>2000</v>
      </c>
    </row>
    <row r="99" customFormat="false" ht="28.35" hidden="false" customHeight="false" outlineLevel="0" collapsed="false">
      <c r="A99" s="3" t="s">
        <v>339</v>
      </c>
      <c r="B99" s="4" t="s">
        <v>340</v>
      </c>
      <c r="C99" s="20" t="n">
        <v>9000</v>
      </c>
      <c r="D99" s="20" t="n">
        <v>7500</v>
      </c>
      <c r="E99" s="20" t="n">
        <v>6000</v>
      </c>
      <c r="F99" s="18" t="s">
        <v>111</v>
      </c>
      <c r="G99" s="4" t="s">
        <v>341</v>
      </c>
      <c r="H99" s="18" t="s">
        <v>98</v>
      </c>
      <c r="I99" s="13" t="n">
        <f aca="false">INDEX(C99:E99,$C$4)</f>
        <v>7500</v>
      </c>
    </row>
    <row r="100" customFormat="false" ht="15" hidden="false" customHeight="false" outlineLevel="0" collapsed="false">
      <c r="A100" s="3" t="s">
        <v>342</v>
      </c>
      <c r="B100" s="4" t="s">
        <v>343</v>
      </c>
      <c r="C100" s="20" t="n">
        <v>1200</v>
      </c>
      <c r="D100" s="20" t="n">
        <v>1000</v>
      </c>
      <c r="E100" s="20" t="n">
        <v>800</v>
      </c>
      <c r="F100" s="18" t="s">
        <v>344</v>
      </c>
      <c r="G100" s="4" t="s">
        <v>345</v>
      </c>
      <c r="H100" s="18" t="s">
        <v>98</v>
      </c>
      <c r="I100" s="13" t="n">
        <f aca="false">INDEX(C100:E100,$C$4)</f>
        <v>1000</v>
      </c>
    </row>
    <row r="101" customFormat="false" ht="15" hidden="false" customHeight="false" outlineLevel="0" collapsed="false">
      <c r="A101" s="3" t="s">
        <v>346</v>
      </c>
      <c r="B101" s="4" t="s">
        <v>347</v>
      </c>
      <c r="C101" s="20" t="n">
        <v>500</v>
      </c>
      <c r="D101" s="20" t="n">
        <v>400</v>
      </c>
      <c r="E101" s="20" t="n">
        <v>300</v>
      </c>
      <c r="F101" s="18" t="s">
        <v>344</v>
      </c>
      <c r="G101" s="4" t="s">
        <v>345</v>
      </c>
      <c r="H101" s="18" t="s">
        <v>98</v>
      </c>
      <c r="I101" s="13" t="n">
        <f aca="false">INDEX(C101:E101,$C$4)</f>
        <v>400</v>
      </c>
    </row>
    <row r="102" customFormat="false" ht="28.35" hidden="false" customHeight="false" outlineLevel="0" collapsed="false">
      <c r="A102" s="3" t="s">
        <v>348</v>
      </c>
      <c r="B102" s="4" t="s">
        <v>349</v>
      </c>
      <c r="C102" s="20" t="n">
        <v>300</v>
      </c>
      <c r="D102" s="20" t="n">
        <v>250</v>
      </c>
      <c r="E102" s="20" t="n">
        <v>200</v>
      </c>
      <c r="F102" s="18" t="s">
        <v>173</v>
      </c>
      <c r="G102" s="4" t="s">
        <v>345</v>
      </c>
      <c r="H102" s="18" t="s">
        <v>98</v>
      </c>
      <c r="I102" s="13" t="n">
        <f aca="false">INDEX(C102:E102,$C$4)</f>
        <v>250</v>
      </c>
    </row>
    <row r="103" customFormat="false" ht="15" hidden="false" customHeight="false" outlineLevel="0" collapsed="false">
      <c r="A103" s="3" t="s">
        <v>350</v>
      </c>
      <c r="B103" s="4" t="s">
        <v>351</v>
      </c>
      <c r="C103" s="20" t="n">
        <v>2500</v>
      </c>
      <c r="D103" s="20" t="n">
        <v>2000</v>
      </c>
      <c r="E103" s="20" t="n">
        <v>1500</v>
      </c>
      <c r="F103" s="18" t="s">
        <v>352</v>
      </c>
      <c r="G103" s="4" t="s">
        <v>353</v>
      </c>
      <c r="H103" s="18" t="s">
        <v>98</v>
      </c>
      <c r="I103" s="13" t="n">
        <f aca="false">INDEX(C103:E103,$C$4)</f>
        <v>2000</v>
      </c>
    </row>
    <row r="104" customFormat="false" ht="15" hidden="false" customHeight="false" outlineLevel="0" collapsed="false">
      <c r="A104" s="3" t="s">
        <v>354</v>
      </c>
      <c r="B104" s="4" t="s">
        <v>355</v>
      </c>
      <c r="C104" s="20" t="n">
        <v>75000</v>
      </c>
      <c r="D104" s="20" t="n">
        <v>60000</v>
      </c>
      <c r="E104" s="20" t="n">
        <v>55000</v>
      </c>
      <c r="F104" s="18" t="s">
        <v>356</v>
      </c>
      <c r="G104" s="4" t="s">
        <v>357</v>
      </c>
      <c r="H104" s="18" t="s">
        <v>98</v>
      </c>
      <c r="I104" s="13" t="n">
        <f aca="false">INDEX(C104:E104,$C$4)</f>
        <v>60000</v>
      </c>
    </row>
    <row r="105" customFormat="false" ht="15" hidden="false" customHeight="false" outlineLevel="0" collapsed="false">
      <c r="A105" s="3" t="s">
        <v>358</v>
      </c>
      <c r="B105" s="4" t="s">
        <v>359</v>
      </c>
      <c r="C105" s="20" t="n">
        <v>45000</v>
      </c>
      <c r="D105" s="20" t="n">
        <v>38000</v>
      </c>
      <c r="E105" s="20" t="n">
        <v>32000</v>
      </c>
      <c r="F105" s="18" t="s">
        <v>356</v>
      </c>
      <c r="G105" s="4" t="s">
        <v>360</v>
      </c>
      <c r="H105" s="18" t="s">
        <v>98</v>
      </c>
      <c r="I105" s="13" t="n">
        <f aca="false">INDEX(C105:E105,$C$4)</f>
        <v>38000</v>
      </c>
    </row>
    <row r="106" customFormat="false" ht="15" hidden="false" customHeight="false" outlineLevel="0" collapsed="false">
      <c r="A106" s="3" t="s">
        <v>361</v>
      </c>
      <c r="B106" s="4" t="s">
        <v>362</v>
      </c>
      <c r="C106" s="20" t="n">
        <v>20000</v>
      </c>
      <c r="D106" s="20" t="n">
        <v>18000</v>
      </c>
      <c r="E106" s="20" t="n">
        <v>16000</v>
      </c>
      <c r="F106" s="18" t="s">
        <v>356</v>
      </c>
      <c r="G106" s="4" t="s">
        <v>363</v>
      </c>
      <c r="H106" s="18" t="s">
        <v>98</v>
      </c>
      <c r="I106" s="13" t="n">
        <f aca="false">INDEX(C106:E106,$C$4)</f>
        <v>18000</v>
      </c>
    </row>
    <row r="107" customFormat="false" ht="15" hidden="false" customHeight="false" outlineLevel="0" collapsed="false">
      <c r="A107" s="3" t="s">
        <v>364</v>
      </c>
      <c r="B107" s="4" t="s">
        <v>365</v>
      </c>
      <c r="C107" s="17" t="n">
        <v>2</v>
      </c>
      <c r="D107" s="17" t="n">
        <v>2</v>
      </c>
      <c r="E107" s="17" t="n">
        <v>2</v>
      </c>
      <c r="F107" s="18" t="s">
        <v>366</v>
      </c>
      <c r="G107" s="4" t="s">
        <v>345</v>
      </c>
      <c r="H107" s="18" t="s">
        <v>98</v>
      </c>
      <c r="I107" s="19" t="n">
        <f aca="false">INDEX(C107:E107,$C$4)</f>
        <v>2</v>
      </c>
    </row>
    <row r="108" customFormat="false" ht="28.35" hidden="false" customHeight="false" outlineLevel="0" collapsed="false">
      <c r="A108" s="3" t="s">
        <v>367</v>
      </c>
      <c r="B108" s="4" t="s">
        <v>368</v>
      </c>
      <c r="C108" s="25" t="n">
        <v>8</v>
      </c>
      <c r="D108" s="25" t="n">
        <v>10</v>
      </c>
      <c r="E108" s="25" t="n">
        <v>11</v>
      </c>
      <c r="F108" s="18" t="s">
        <v>369</v>
      </c>
      <c r="G108" s="4" t="s">
        <v>370</v>
      </c>
      <c r="H108" s="18" t="s">
        <v>98</v>
      </c>
      <c r="I108" s="26" t="n">
        <f aca="false">INDEX(C108:E108,$C$4)</f>
        <v>10</v>
      </c>
    </row>
    <row r="109" customFormat="false" ht="15" hidden="false" customHeight="false" outlineLevel="0" collapsed="false">
      <c r="A109" s="3" t="s">
        <v>371</v>
      </c>
      <c r="B109" s="4" t="s">
        <v>372</v>
      </c>
      <c r="C109" s="25" t="n">
        <v>3</v>
      </c>
      <c r="D109" s="25" t="n">
        <v>3</v>
      </c>
      <c r="E109" s="25" t="n">
        <v>3</v>
      </c>
      <c r="F109" s="18" t="s">
        <v>373</v>
      </c>
      <c r="G109" s="4" t="s">
        <v>374</v>
      </c>
      <c r="H109" s="18" t="s">
        <v>375</v>
      </c>
      <c r="I109" s="26" t="n">
        <f aca="false">INDEX(C109:E109,$C$4)</f>
        <v>3</v>
      </c>
    </row>
    <row r="110" customFormat="false" ht="28.35" hidden="false" customHeight="false" outlineLevel="0" collapsed="false">
      <c r="A110" s="3" t="s">
        <v>376</v>
      </c>
      <c r="B110" s="4" t="s">
        <v>377</v>
      </c>
      <c r="C110" s="25" t="n">
        <v>2.5</v>
      </c>
      <c r="D110" s="25" t="n">
        <v>2.5</v>
      </c>
      <c r="E110" s="25" t="n">
        <v>2.5</v>
      </c>
      <c r="F110" s="18" t="s">
        <v>373</v>
      </c>
      <c r="G110" s="4" t="s">
        <v>378</v>
      </c>
      <c r="H110" s="18" t="s">
        <v>375</v>
      </c>
      <c r="I110" s="26" t="n">
        <f aca="false">INDEX(C110:E110,$C$4)</f>
        <v>2.5</v>
      </c>
    </row>
    <row r="111" customFormat="false" ht="15" hidden="false" customHeight="false" outlineLevel="0" collapsed="false">
      <c r="A111" s="3" t="s">
        <v>379</v>
      </c>
      <c r="B111" s="4" t="s">
        <v>380</v>
      </c>
      <c r="C111" s="20" t="n">
        <v>8000</v>
      </c>
      <c r="D111" s="20" t="n">
        <v>18000</v>
      </c>
      <c r="E111" s="20" t="n">
        <v>30000</v>
      </c>
      <c r="F111" s="18" t="s">
        <v>356</v>
      </c>
      <c r="G111" s="4" t="s">
        <v>381</v>
      </c>
      <c r="H111" s="18" t="s">
        <v>375</v>
      </c>
      <c r="I111" s="13" t="n">
        <f aca="false">INDEX(C111:E111,$C$4)</f>
        <v>18000</v>
      </c>
    </row>
    <row r="112" customFormat="false" ht="15" hidden="false" customHeight="false" outlineLevel="0" collapsed="false">
      <c r="A112" s="3" t="s">
        <v>382</v>
      </c>
      <c r="B112" s="4" t="s">
        <v>383</v>
      </c>
      <c r="C112" s="20" t="n">
        <v>20000</v>
      </c>
      <c r="D112" s="20" t="n">
        <v>25000</v>
      </c>
      <c r="E112" s="20" t="n">
        <v>25000</v>
      </c>
      <c r="F112" s="18" t="s">
        <v>356</v>
      </c>
      <c r="G112" s="4" t="s">
        <v>384</v>
      </c>
      <c r="H112" s="18" t="s">
        <v>375</v>
      </c>
      <c r="I112" s="13" t="n">
        <f aca="false">INDEX(C112:E112,$C$4)</f>
        <v>25000</v>
      </c>
    </row>
    <row r="113" customFormat="false" ht="28.35" hidden="false" customHeight="false" outlineLevel="0" collapsed="false">
      <c r="A113" s="3" t="s">
        <v>385</v>
      </c>
      <c r="B113" s="4" t="s">
        <v>386</v>
      </c>
      <c r="C113" s="20" t="n">
        <v>0</v>
      </c>
      <c r="D113" s="20" t="n">
        <v>35000</v>
      </c>
      <c r="E113" s="20" t="n">
        <v>75000</v>
      </c>
      <c r="F113" s="18" t="s">
        <v>356</v>
      </c>
      <c r="G113" s="4" t="s">
        <v>387</v>
      </c>
      <c r="H113" s="18" t="s">
        <v>375</v>
      </c>
      <c r="I113" s="13" t="n">
        <f aca="false">INDEX(C113:E113,$C$4)</f>
        <v>35000</v>
      </c>
    </row>
    <row r="114" customFormat="false" ht="15" hidden="false" customHeight="false" outlineLevel="0" collapsed="false">
      <c r="A114" s="3" t="s">
        <v>388</v>
      </c>
      <c r="B114" s="4" t="s">
        <v>389</v>
      </c>
      <c r="C114" s="20" t="n">
        <v>12000</v>
      </c>
      <c r="D114" s="20" t="n">
        <v>20000</v>
      </c>
      <c r="E114" s="20" t="n">
        <v>25000</v>
      </c>
      <c r="F114" s="18" t="s">
        <v>356</v>
      </c>
      <c r="G114" s="4" t="s">
        <v>387</v>
      </c>
      <c r="H114" s="18" t="s">
        <v>375</v>
      </c>
      <c r="I114" s="13" t="n">
        <f aca="false">INDEX(C114:E114,$C$4)</f>
        <v>20000</v>
      </c>
    </row>
    <row r="115" customFormat="false" ht="15" hidden="false" customHeight="false" outlineLevel="0" collapsed="false">
      <c r="A115" s="3" t="s">
        <v>390</v>
      </c>
      <c r="B115" s="4" t="s">
        <v>391</v>
      </c>
      <c r="C115" s="20" t="n">
        <v>0</v>
      </c>
      <c r="D115" s="20" t="n">
        <v>20000</v>
      </c>
      <c r="E115" s="20" t="n">
        <v>35000</v>
      </c>
      <c r="F115" s="18" t="s">
        <v>356</v>
      </c>
      <c r="G115" s="4" t="s">
        <v>387</v>
      </c>
      <c r="H115" s="18" t="s">
        <v>375</v>
      </c>
      <c r="I115" s="13" t="n">
        <f aca="false">INDEX(C115:E115,$C$4)</f>
        <v>20000</v>
      </c>
    </row>
    <row r="116" customFormat="false" ht="15" hidden="false" customHeight="false" outlineLevel="0" collapsed="false">
      <c r="A116" s="3" t="s">
        <v>392</v>
      </c>
      <c r="B116" s="4" t="s">
        <v>393</v>
      </c>
      <c r="C116" s="20" t="n">
        <v>50000</v>
      </c>
      <c r="D116" s="20" t="n">
        <v>120000</v>
      </c>
      <c r="E116" s="20" t="n">
        <v>250000</v>
      </c>
      <c r="F116" s="18" t="s">
        <v>96</v>
      </c>
      <c r="G116" s="4" t="s">
        <v>387</v>
      </c>
      <c r="H116" s="18" t="s">
        <v>375</v>
      </c>
      <c r="I116" s="13" t="n">
        <f aca="false">INDEX(C116:E116,$C$4)</f>
        <v>120000</v>
      </c>
    </row>
    <row r="117" customFormat="false" ht="15" hidden="false" customHeight="false" outlineLevel="0" collapsed="false">
      <c r="A117" s="3" t="s">
        <v>394</v>
      </c>
      <c r="B117" s="4" t="s">
        <v>395</v>
      </c>
      <c r="C117" s="20" t="n">
        <v>0</v>
      </c>
      <c r="D117" s="20" t="n">
        <v>15000</v>
      </c>
      <c r="E117" s="20" t="n">
        <v>25000</v>
      </c>
      <c r="F117" s="18" t="s">
        <v>356</v>
      </c>
      <c r="G117" s="4" t="s">
        <v>387</v>
      </c>
      <c r="H117" s="18" t="s">
        <v>375</v>
      </c>
      <c r="I117" s="13" t="n">
        <f aca="false">INDEX(C117:E117,$C$4)</f>
        <v>15000</v>
      </c>
    </row>
  </sheetData>
  <dataValidations count="1">
    <dataValidation allowBlank="false" errorStyle="stop" operator="between" showDropDown="false" showErrorMessage="false" showInputMessage="false" sqref="C3" type="list">
      <formula1>"Conservative,Base,Aggressive"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397</v>
      </c>
    </row>
    <row r="3" customFormat="false" ht="15" hidden="false" customHeight="false" outlineLevel="0" collapsed="false">
      <c r="A3" s="0" t="s">
        <v>82</v>
      </c>
      <c r="B3" s="29" t="n">
        <f aca="false">Assumptions!$C$4</f>
        <v>2</v>
      </c>
      <c r="C3" s="0" t="str">
        <f aca="false">CHOOSE(B3,"Conservative","Base","Aggressive")</f>
        <v>Base</v>
      </c>
    </row>
    <row r="5" customFormat="false" ht="41.75" hidden="false" customHeight="false" outlineLevel="0" collapsed="false">
      <c r="A5" s="5" t="s">
        <v>398</v>
      </c>
      <c r="B5" s="5" t="s">
        <v>399</v>
      </c>
      <c r="C5" s="5" t="s">
        <v>400</v>
      </c>
      <c r="D5" s="5" t="s">
        <v>401</v>
      </c>
      <c r="E5" s="5" t="s">
        <v>402</v>
      </c>
      <c r="F5" s="5" t="s">
        <v>403</v>
      </c>
      <c r="G5" s="5" t="s">
        <v>404</v>
      </c>
      <c r="H5" s="5" t="s">
        <v>405</v>
      </c>
      <c r="I5" s="5" t="s">
        <v>406</v>
      </c>
    </row>
    <row r="6" customFormat="false" ht="15" hidden="false" customHeight="false" outlineLevel="0" collapsed="false">
      <c r="A6" s="15" t="s">
        <v>407</v>
      </c>
      <c r="B6" s="16"/>
      <c r="C6" s="16"/>
      <c r="D6" s="16"/>
      <c r="E6" s="16"/>
      <c r="F6" s="16"/>
      <c r="G6" s="16"/>
      <c r="H6" s="16"/>
      <c r="I6" s="16"/>
    </row>
    <row r="7" customFormat="false" ht="15" hidden="false" customHeight="false" outlineLevel="0" collapsed="false">
      <c r="A7" s="6" t="s">
        <v>408</v>
      </c>
      <c r="H7" s="30" t="n">
        <f aca="false">INDEX(Assumptions!$C$27:$E$27,$B$3)</f>
        <v>10</v>
      </c>
      <c r="I7" s="2" t="s">
        <v>409</v>
      </c>
    </row>
    <row r="8" customFormat="false" ht="15" hidden="false" customHeight="false" outlineLevel="0" collapsed="false">
      <c r="A8" s="6" t="s">
        <v>410</v>
      </c>
      <c r="B8" s="11" t="n">
        <f aca="false">INDEX(Assumptions!$C$29:$E$29,$B$3)</f>
        <v>0.3</v>
      </c>
      <c r="C8" s="11" t="n">
        <f aca="false">INDEX(Assumptions!$C$30:$E$30,$B$3)</f>
        <v>0.2</v>
      </c>
      <c r="D8" s="11" t="n">
        <f aca="false">INDEX(Assumptions!$C$31:$E$31,$B$3)</f>
        <v>0.2</v>
      </c>
      <c r="E8" s="11" t="n">
        <f aca="false">INDEX(Assumptions!$C$32:$E$32,$B$3)</f>
        <v>0.2</v>
      </c>
      <c r="F8" s="11" t="n">
        <f aca="false">INDEX(Assumptions!$C$33:$E$33,$B$3)</f>
        <v>0.1</v>
      </c>
      <c r="H8" s="11" t="n">
        <f aca="false">SUM(B8:F8)</f>
        <v>1</v>
      </c>
      <c r="I8" s="2"/>
    </row>
    <row r="9" customFormat="false" ht="15" hidden="false" customHeight="false" outlineLevel="0" collapsed="false">
      <c r="A9" s="15" t="s">
        <v>411</v>
      </c>
      <c r="B9" s="16"/>
      <c r="C9" s="16"/>
      <c r="D9" s="16"/>
      <c r="E9" s="16"/>
      <c r="F9" s="16"/>
      <c r="G9" s="16"/>
      <c r="H9" s="16"/>
      <c r="I9" s="16"/>
    </row>
    <row r="10" customFormat="false" ht="15" hidden="false" customHeight="false" outlineLevel="0" collapsed="false">
      <c r="A10" s="6" t="s">
        <v>412</v>
      </c>
      <c r="B10" s="11" t="n">
        <f aca="false">INDEX(Assumptions!$C$42:$E$42,$B$3)</f>
        <v>0.4</v>
      </c>
      <c r="C10" s="11" t="n">
        <f aca="false">INDEX(Assumptions!$C$46:$E$46,$B$3)</f>
        <v>0.45</v>
      </c>
      <c r="D10" s="11" t="n">
        <f aca="false">INDEX(Assumptions!$C$50:$E$50,$B$3)</f>
        <v>0.38</v>
      </c>
      <c r="E10" s="11" t="n">
        <f aca="false">INDEX(Assumptions!$C$54:$E$54,$B$3)</f>
        <v>0.7</v>
      </c>
      <c r="F10" s="11" t="n">
        <f aca="false">INDEX(Assumptions!$C$58:$E$58,$B$3)</f>
        <v>0.82</v>
      </c>
      <c r="I10" s="2" t="s">
        <v>413</v>
      </c>
    </row>
    <row r="11" customFormat="false" ht="15" hidden="false" customHeight="false" outlineLevel="0" collapsed="false">
      <c r="A11" s="6" t="s">
        <v>414</v>
      </c>
      <c r="B11" s="11" t="n">
        <f aca="false">INDEX(Assumptions!$C$43:$E$43,$B$3)</f>
        <v>0.55</v>
      </c>
      <c r="C11" s="11" t="n">
        <f aca="false">INDEX(Assumptions!$C$47:$E$47,$B$3)</f>
        <v>0.6</v>
      </c>
      <c r="D11" s="11" t="n">
        <f aca="false">INDEX(Assumptions!$C$51:$E$51,$B$3)</f>
        <v>0.55</v>
      </c>
      <c r="E11" s="11" t="n">
        <f aca="false">INDEX(Assumptions!$C$55:$E$55,$B$3)</f>
        <v>0.75</v>
      </c>
      <c r="F11" s="11" t="n">
        <f aca="false">INDEX(Assumptions!$C$59:$E$59,$B$3)</f>
        <v>0.65</v>
      </c>
      <c r="I11" s="2"/>
    </row>
    <row r="12" customFormat="false" ht="15" hidden="false" customHeight="false" outlineLevel="0" collapsed="false">
      <c r="A12" s="6" t="s">
        <v>415</v>
      </c>
      <c r="B12" s="11" t="n">
        <f aca="false">INDEX(Assumptions!$C$44:$E$44,$B$3)</f>
        <v>0.3</v>
      </c>
      <c r="C12" s="11" t="n">
        <f aca="false">INDEX(Assumptions!$C$48:$E$48,$B$3)</f>
        <v>0.32</v>
      </c>
      <c r="D12" s="11" t="n">
        <f aca="false">INDEX(Assumptions!$C$52:$E$52,$B$3)</f>
        <v>0.3</v>
      </c>
      <c r="E12" s="11" t="n">
        <f aca="false">INDEX(Assumptions!$C$56:$E$56,$B$3)</f>
        <v>0.55</v>
      </c>
      <c r="F12" s="11" t="n">
        <f aca="false">INDEX(Assumptions!$C$60:$E$60,$B$3)</f>
        <v>0.2</v>
      </c>
      <c r="I12" s="2"/>
    </row>
    <row r="13" customFormat="false" ht="15" hidden="false" customHeight="false" outlineLevel="0" collapsed="false">
      <c r="A13" s="6" t="s">
        <v>416</v>
      </c>
      <c r="B13" s="11" t="n">
        <f aca="false">INDEX(Assumptions!$C$45:$E$45,$B$3)</f>
        <v>0.8</v>
      </c>
      <c r="C13" s="11" t="n">
        <f aca="false">INDEX(Assumptions!$C$49:$E$49,$B$3)</f>
        <v>0.8</v>
      </c>
      <c r="D13" s="11" t="n">
        <f aca="false">INDEX(Assumptions!$C$53:$E$53,$B$3)</f>
        <v>0.8</v>
      </c>
      <c r="E13" s="11" t="n">
        <f aca="false">INDEX(Assumptions!$C$57:$E$57,$B$3)</f>
        <v>0.87</v>
      </c>
      <c r="F13" s="11" t="n">
        <f aca="false">1</f>
        <v>1</v>
      </c>
      <c r="I13" s="2"/>
    </row>
    <row r="14" customFormat="false" ht="15" hidden="false" customHeight="false" outlineLevel="0" collapsed="false">
      <c r="A14" s="3" t="s">
        <v>28</v>
      </c>
      <c r="B14" s="31" t="n">
        <f aca="false">B10*B11*B12*B13</f>
        <v>0.0528</v>
      </c>
      <c r="C14" s="31" t="n">
        <f aca="false">C10*C11*C12*C13</f>
        <v>0.06912</v>
      </c>
      <c r="D14" s="31" t="n">
        <f aca="false">D10*D11*D12*D13</f>
        <v>0.05016</v>
      </c>
      <c r="E14" s="31" t="n">
        <f aca="false">E10*E11*E12*E13</f>
        <v>0.2512125</v>
      </c>
      <c r="F14" s="31" t="n">
        <f aca="false">F10*F11*F12*F13</f>
        <v>0.1066</v>
      </c>
      <c r="G14" s="9" t="n">
        <f aca="false">IFERROR(G16/G17,0)</f>
        <v>0.054695652173913</v>
      </c>
      <c r="H14" s="31" t="n">
        <f aca="false">H16/H17</f>
        <v>0.0662334273734022</v>
      </c>
      <c r="I14" s="2" t="s">
        <v>417</v>
      </c>
    </row>
    <row r="15" customFormat="false" ht="15" hidden="false" customHeight="false" outlineLevel="0" collapsed="false">
      <c r="A15" s="15" t="s">
        <v>418</v>
      </c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6" t="s">
        <v>419</v>
      </c>
      <c r="B16" s="7" t="n">
        <f aca="false">$H$7*B8</f>
        <v>3</v>
      </c>
      <c r="C16" s="7" t="n">
        <f aca="false">$H$7*C8</f>
        <v>2</v>
      </c>
      <c r="D16" s="7" t="n">
        <f aca="false">$H$7*D8</f>
        <v>2</v>
      </c>
      <c r="E16" s="7" t="n">
        <f aca="false">$H$7*E8</f>
        <v>2</v>
      </c>
      <c r="F16" s="7" t="n">
        <f aca="false">$H$7*F8</f>
        <v>1</v>
      </c>
      <c r="G16" s="7" t="n">
        <f aca="false">G37+G39</f>
        <v>2.516</v>
      </c>
      <c r="H16" s="30" t="n">
        <f aca="false">SUM(B16:G16)</f>
        <v>12.516</v>
      </c>
      <c r="I16" s="2"/>
    </row>
    <row r="17" customFormat="false" ht="15" hidden="false" customHeight="false" outlineLevel="0" collapsed="false">
      <c r="A17" s="6" t="s">
        <v>420</v>
      </c>
      <c r="B17" s="7" t="n">
        <f aca="false">IFERROR(B16/B14,0)</f>
        <v>56.8181818181818</v>
      </c>
      <c r="C17" s="7" t="n">
        <f aca="false">IFERROR(C16/C14,0)</f>
        <v>28.9351851851852</v>
      </c>
      <c r="D17" s="7" t="n">
        <f aca="false">IFERROR(D16/D14,0)</f>
        <v>39.8724082934609</v>
      </c>
      <c r="E17" s="7" t="n">
        <f aca="false">IFERROR(E16/E14,0)</f>
        <v>7.9613872717321</v>
      </c>
      <c r="F17" s="7" t="n">
        <f aca="false">IFERROR(F16/F14,0)</f>
        <v>9.38086303939962</v>
      </c>
      <c r="G17" s="7" t="n">
        <f aca="false">G36+G38</f>
        <v>46</v>
      </c>
      <c r="H17" s="30" t="n">
        <f aca="false">SUM(B17:G17)</f>
        <v>188.96802560796</v>
      </c>
      <c r="I17" s="2" t="s">
        <v>421</v>
      </c>
    </row>
    <row r="18" customFormat="false" ht="15" hidden="false" customHeight="false" outlineLevel="0" collapsed="false">
      <c r="A18" s="6" t="s">
        <v>422</v>
      </c>
      <c r="B18" s="7" t="n">
        <f aca="false">B17*B10</f>
        <v>22.7272727272727</v>
      </c>
      <c r="C18" s="7" t="n">
        <f aca="false">C17*C10</f>
        <v>13.0208333333333</v>
      </c>
      <c r="D18" s="7" t="n">
        <f aca="false">D17*D10</f>
        <v>15.1515151515151</v>
      </c>
      <c r="E18" s="7" t="n">
        <f aca="false">E17*E10</f>
        <v>5.57297109021247</v>
      </c>
      <c r="F18" s="7" t="n">
        <f aca="false">F17*F10</f>
        <v>7.69230769230769</v>
      </c>
      <c r="H18" s="30" t="n">
        <f aca="false">SUM(B18:G18)</f>
        <v>64.1648999946414</v>
      </c>
      <c r="I18" s="2"/>
    </row>
    <row r="19" customFormat="false" ht="15" hidden="false" customHeight="false" outlineLevel="0" collapsed="false">
      <c r="A19" s="6" t="s">
        <v>423</v>
      </c>
      <c r="B19" s="7" t="n">
        <f aca="false">B18*B11</f>
        <v>12.5</v>
      </c>
      <c r="C19" s="7" t="n">
        <f aca="false">C18*C11</f>
        <v>7.8125</v>
      </c>
      <c r="D19" s="7" t="n">
        <f aca="false">D18*D11</f>
        <v>8.33333333333333</v>
      </c>
      <c r="E19" s="7" t="n">
        <f aca="false">E18*E11</f>
        <v>4.17972831765935</v>
      </c>
      <c r="F19" s="7" t="n">
        <f aca="false">F18*F11</f>
        <v>5</v>
      </c>
      <c r="H19" s="30" t="n">
        <f aca="false">SUM(B19:G19)</f>
        <v>37.8255616509927</v>
      </c>
      <c r="I19" s="2"/>
    </row>
    <row r="20" customFormat="false" ht="15" hidden="false" customHeight="false" outlineLevel="0" collapsed="false">
      <c r="A20" s="6" t="s">
        <v>424</v>
      </c>
      <c r="B20" s="7" t="n">
        <f aca="false">B19*B12</f>
        <v>3.75</v>
      </c>
      <c r="C20" s="7" t="n">
        <f aca="false">C19*C12</f>
        <v>2.5</v>
      </c>
      <c r="D20" s="7" t="n">
        <f aca="false">D19*D12</f>
        <v>2.5</v>
      </c>
      <c r="E20" s="7" t="n">
        <f aca="false">E19*E12</f>
        <v>2.29885057471264</v>
      </c>
      <c r="F20" s="7" t="n">
        <f aca="false">F19*F12</f>
        <v>1</v>
      </c>
      <c r="H20" s="30" t="n">
        <f aca="false">SUM(B20:G20)</f>
        <v>12.0488505747126</v>
      </c>
      <c r="I20" s="2"/>
    </row>
    <row r="21" customFormat="false" ht="15" hidden="false" customHeight="false" outlineLevel="0" collapsed="false">
      <c r="A21" s="6" t="s">
        <v>425</v>
      </c>
      <c r="B21" s="7" t="n">
        <f aca="false">B20*B13</f>
        <v>3</v>
      </c>
      <c r="C21" s="7" t="n">
        <f aca="false">C20*C13</f>
        <v>2</v>
      </c>
      <c r="D21" s="7" t="n">
        <f aca="false">D20*D13</f>
        <v>2</v>
      </c>
      <c r="E21" s="7" t="n">
        <f aca="false">E20*E13</f>
        <v>2</v>
      </c>
      <c r="F21" s="7" t="n">
        <f aca="false">F20*F13</f>
        <v>1</v>
      </c>
      <c r="G21" s="7" t="n">
        <f aca="false">G16</f>
        <v>2.516</v>
      </c>
      <c r="H21" s="30" t="n">
        <f aca="false">SUM(B21:G21)</f>
        <v>12.516</v>
      </c>
      <c r="I21" s="2"/>
    </row>
    <row r="22" customFormat="false" ht="15" hidden="false" customHeight="false" outlineLevel="0" collapsed="false">
      <c r="A22" s="15" t="s">
        <v>426</v>
      </c>
      <c r="B22" s="16"/>
      <c r="C22" s="16"/>
      <c r="D22" s="16"/>
      <c r="E22" s="16"/>
      <c r="F22" s="16"/>
      <c r="G22" s="16"/>
      <c r="H22" s="16"/>
      <c r="I22" s="16"/>
    </row>
    <row r="23" customFormat="false" ht="15" hidden="false" customHeight="false" outlineLevel="0" collapsed="false">
      <c r="A23" s="6" t="s">
        <v>427</v>
      </c>
      <c r="B23" s="10" t="n">
        <f aca="false">(1-INDEX(Assumptions!$C$76:$E$76,$B$3))*INDEX(Assumptions!$C$34:$E$34,$B$3)+INDEX(Assumptions!$C$76:$E$76,$B$3)*INDEX(Assumptions!$C$35:$E$35,$B$3)</f>
        <v>287.5</v>
      </c>
      <c r="C23" s="10" t="n">
        <f aca="false">INDEX(Assumptions!$C$36:$E$36,$B$3)</f>
        <v>500</v>
      </c>
      <c r="F23" s="10" t="n">
        <f aca="false">INDEX(Assumptions!$C$37:$E$37,$B$3)</f>
        <v>400</v>
      </c>
      <c r="I23" s="2" t="s">
        <v>428</v>
      </c>
    </row>
    <row r="24" customFormat="false" ht="15" hidden="false" customHeight="false" outlineLevel="0" collapsed="false">
      <c r="A24" s="6" t="s">
        <v>429</v>
      </c>
      <c r="B24" s="10" t="n">
        <f aca="false">B17*B23</f>
        <v>16335.2272727273</v>
      </c>
      <c r="C24" s="10" t="n">
        <f aca="false">C17*C23</f>
        <v>14467.5925925926</v>
      </c>
      <c r="D24" s="10" t="n">
        <f aca="false">INDEX(Assumptions!$C$114:$E$114,$B$3)+INDEX(Assumptions!$C$117:$E$117,$B$3)</f>
        <v>35000</v>
      </c>
      <c r="E24" s="10" t="n">
        <f aca="false">E16*INDEX(Assumptions!$C$71:$E$71,$B$3)</f>
        <v>6000</v>
      </c>
      <c r="F24" s="10" t="n">
        <f aca="false">F17*(F23+INDEX(Assumptions!$C$102:$E$102,$B$3))-F17*INDEX(Assumptions!$C$18:$E$18,$B$3)/(1+INDEX(Assumptions!$C$15:$E$15,$B$3))</f>
        <v>-1844.37307215315</v>
      </c>
      <c r="G24" s="10" t="n">
        <f aca="false">G40</f>
        <v>8674.57627118644</v>
      </c>
      <c r="H24" s="32" t="n">
        <f aca="false">SUM(B24:G24)</f>
        <v>78633.0230643532</v>
      </c>
      <c r="I24" s="2" t="s">
        <v>430</v>
      </c>
    </row>
    <row r="25" customFormat="false" ht="15" hidden="false" customHeight="false" outlineLevel="0" collapsed="false">
      <c r="A25" s="6" t="s">
        <v>431</v>
      </c>
      <c r="F25" s="10" t="n">
        <f aca="false">-F17*INDEX(Assumptions!$C$18:$E$18,$B$3)/(1+INDEX(Assumptions!$C$15:$E$15,$B$3))</f>
        <v>-7941.9340477629</v>
      </c>
      <c r="I25" s="2" t="s">
        <v>432</v>
      </c>
    </row>
    <row r="26" customFormat="false" ht="15" hidden="false" customHeight="false" outlineLevel="0" collapsed="false">
      <c r="A26" s="15" t="s">
        <v>433</v>
      </c>
      <c r="B26" s="16"/>
      <c r="C26" s="16"/>
      <c r="D26" s="16"/>
      <c r="E26" s="16"/>
      <c r="F26" s="16"/>
      <c r="G26" s="16"/>
      <c r="H26" s="16"/>
      <c r="I26" s="16"/>
    </row>
    <row r="27" customFormat="false" ht="15" hidden="false" customHeight="false" outlineLevel="0" collapsed="false">
      <c r="A27" s="6" t="s">
        <v>434</v>
      </c>
      <c r="H27" s="10" t="n">
        <f aca="false">IF(INDEX(Assumptions!$C$94:$E$94,$B$3)&lt;=7,INDEX(Assumptions!$C$21:$E$21,$B$3),INDEX(Assumptions!$C$10:$E$10,$B$3))</f>
        <v>80000</v>
      </c>
      <c r="I27" s="2" t="s">
        <v>435</v>
      </c>
    </row>
    <row r="28" customFormat="false" ht="15" hidden="false" customHeight="false" outlineLevel="0" collapsed="false">
      <c r="A28" s="6" t="s">
        <v>436</v>
      </c>
      <c r="B28" s="10" t="n">
        <f aca="false">(INDEX(Assumptions!$C$28:$E$28,$B$3)*$H$27+(1-INDEX(Assumptions!$C$28:$E$28,$B$3))*INDEX(Assumptions!$C$19:$E$19,$B$3))/(1+INDEX(Assumptions!$C$15:$E$15,$B$3)*INDEX(Assumptions!$C$16:$E$16,$B$3))</f>
        <v>54203.3898305085</v>
      </c>
      <c r="C28" s="10" t="n">
        <f aca="false">(INDEX(Assumptions!$C$28:$E$28,$B$3)*$H$27+(1-INDEX(Assumptions!$C$28:$E$28,$B$3))*INDEX(Assumptions!$C$19:$E$19,$B$3))/(1+INDEX(Assumptions!$C$15:$E$15,$B$3)*INDEX(Assumptions!$C$16:$E$16,$B$3))</f>
        <v>54203.3898305085</v>
      </c>
      <c r="D28" s="10" t="n">
        <f aca="false">(INDEX(Assumptions!$C$28:$E$28,$B$3)*$H$27+(1-INDEX(Assumptions!$C$28:$E$28,$B$3))*INDEX(Assumptions!$C$19:$E$19,$B$3))/(1+INDEX(Assumptions!$C$15:$E$15,$B$3)*INDEX(Assumptions!$C$16:$E$16,$B$3))</f>
        <v>54203.3898305085</v>
      </c>
      <c r="E28" s="10" t="n">
        <f aca="false">(INDEX(Assumptions!$C$28:$E$28,$B$3)*$H$27+(1-INDEX(Assumptions!$C$28:$E$28,$B$3))*INDEX(Assumptions!$C$19:$E$19,$B$3))/(1+INDEX(Assumptions!$C$15:$E$15,$B$3)*INDEX(Assumptions!$C$16:$E$16,$B$3))</f>
        <v>54203.3898305085</v>
      </c>
      <c r="F28" s="10" t="n">
        <f aca="false">(INDEX(Assumptions!$C$28:$E$28,$B$3)*$H$27+(1-INDEX(Assumptions!$C$28:$E$28,$B$3))*INDEX(Assumptions!$C$19:$E$19,$B$3)-INDEX(Assumptions!$C$18:$E$18,$B$3))/(1+INDEX(Assumptions!$C$15:$E$15,$B$3)*INDEX(Assumptions!$C$16:$E$16,$B$3))</f>
        <v>53356.779661017</v>
      </c>
      <c r="G28" s="10" t="n">
        <f aca="false">(INDEX(Assumptions!$C$28:$E$28,$B$3)*$H$27+(1-INDEX(Assumptions!$C$28:$E$28,$B$3))*INDEX(Assumptions!$C$19:$E$19,$B$3))/(1+INDEX(Assumptions!$C$15:$E$15,$B$3)*INDEX(Assumptions!$C$16:$E$16,$B$3))</f>
        <v>54203.3898305085</v>
      </c>
      <c r="H28" s="32" t="n">
        <f aca="false">SUMPRODUCT(B28:G28,B16:G16)/H16</f>
        <v>54135.7475990055</v>
      </c>
      <c r="I28" s="2" t="s">
        <v>437</v>
      </c>
    </row>
    <row r="29" customFormat="false" ht="15" hidden="false" customHeight="false" outlineLevel="0" collapsed="false">
      <c r="A29" s="6" t="s">
        <v>438</v>
      </c>
      <c r="H29" s="10" t="n">
        <f aca="false">(INDEX(Assumptions!$C$105:$E$105,$B$3)+INDEX(Assumptions!$C$106:$E$106,$B$3))/INDEX(Assumptions!$C$107:$E$107,$B$3)/INDEX(Assumptions!$C$108:$E$108,$B$3)</f>
        <v>2800</v>
      </c>
      <c r="I29" s="2" t="s">
        <v>439</v>
      </c>
    </row>
    <row r="30" customFormat="false" ht="15" hidden="false" customHeight="false" outlineLevel="0" collapsed="false">
      <c r="A30" s="6" t="s">
        <v>440</v>
      </c>
      <c r="B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B28*INDEX(Assumptions!$C$78:$E$78,$B$3)</f>
        <v>12355.9322033898</v>
      </c>
      <c r="C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C28*INDEX(Assumptions!$C$78:$E$78,$B$3)</f>
        <v>12355.9322033898</v>
      </c>
      <c r="D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D28*INDEX(Assumptions!$C$78:$E$78,$B$3)</f>
        <v>12355.9322033898</v>
      </c>
      <c r="E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E28*INDEX(Assumptions!$C$78:$E$78,$B$3)</f>
        <v>12355.9322033898</v>
      </c>
      <c r="F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F28*INDEX(Assumptions!$C$78:$E$78,$B$3)</f>
        <v>12339</v>
      </c>
      <c r="G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G28*INDEX(Assumptions!$C$78:$E$78,$B$3)</f>
        <v>12355.9322033898</v>
      </c>
      <c r="H30" s="10" t="n">
        <f aca="false">SUMPRODUCT(B30:G30,B16:G16)/H16</f>
        <v>12354.5793587598</v>
      </c>
      <c r="I30" s="2" t="s">
        <v>441</v>
      </c>
    </row>
    <row r="31" customFormat="false" ht="15" hidden="false" customHeight="false" outlineLevel="0" collapsed="false">
      <c r="A31" s="3" t="s">
        <v>442</v>
      </c>
      <c r="B31" s="32" t="n">
        <f aca="false">B28-B30</f>
        <v>41847.4576271187</v>
      </c>
      <c r="C31" s="32" t="n">
        <f aca="false">C28-C30</f>
        <v>41847.4576271187</v>
      </c>
      <c r="D31" s="32" t="n">
        <f aca="false">D28-D30</f>
        <v>41847.4576271187</v>
      </c>
      <c r="E31" s="32" t="n">
        <f aca="false">E28-E30</f>
        <v>41847.4576271187</v>
      </c>
      <c r="F31" s="32" t="n">
        <f aca="false">F28-F30</f>
        <v>41017.779661017</v>
      </c>
      <c r="G31" s="32" t="n">
        <f aca="false">G28-G30</f>
        <v>41847.4576271187</v>
      </c>
      <c r="H31" s="32" t="n">
        <f aca="false">H28-H30</f>
        <v>41781.1682402457</v>
      </c>
      <c r="I31" s="2"/>
    </row>
    <row r="32" customFormat="false" ht="15" hidden="false" customHeight="false" outlineLevel="0" collapsed="false">
      <c r="A32" s="6" t="s">
        <v>443</v>
      </c>
      <c r="B32" s="11" t="n">
        <f aca="false">IFERROR(B31/B28,0)</f>
        <v>0.772045028142589</v>
      </c>
      <c r="C32" s="11" t="n">
        <f aca="false">IFERROR(C31/C28,0)</f>
        <v>0.772045028142589</v>
      </c>
      <c r="D32" s="11" t="n">
        <f aca="false">IFERROR(D31/D28,0)</f>
        <v>0.772045028142589</v>
      </c>
      <c r="E32" s="11" t="n">
        <f aca="false">IFERROR(E31/E28,0)</f>
        <v>0.772045028142589</v>
      </c>
      <c r="F32" s="11" t="n">
        <f aca="false">IFERROR(F31/F28,0)</f>
        <v>0.768745413827608</v>
      </c>
      <c r="G32" s="11" t="n">
        <f aca="false">IFERROR(G31/G28,0)</f>
        <v>0.772045028142589</v>
      </c>
      <c r="H32" s="11" t="n">
        <f aca="false">H31/H28</f>
        <v>0.771785189884646</v>
      </c>
      <c r="I32" s="2"/>
    </row>
    <row r="33" customFormat="false" ht="15" hidden="false" customHeight="false" outlineLevel="0" collapsed="false">
      <c r="A33" s="6" t="s">
        <v>444</v>
      </c>
      <c r="H33" s="10" t="n">
        <f aca="false">(1-INDEX(Assumptions!$C$28:$E$28,$B$3))*INDEX(Assumptions!$C$92:$E$92,$B$3)*((INDEX(Assumptions!$C$21:$E$21,$B$3)-INDEX(Assumptions!$C$19:$E$19,$B$3))/(1+INDEX(Assumptions!$C$15:$E$15,$B$3)*INDEX(Assumptions!$C$16:$E$16,$B$3))-INDEX(Assumptions!$C$97:$E$97,$B$3)-2*$H$29)+INDEX(Assumptions!$C$91:$E$91,$B$3)*(INDEX(Assumptions!$C$22:$E$22,$B$3)/(1+INDEX(Assumptions!$C$15:$E$15,$B$3)*INDEX(Assumptions!$C$16:$E$16,$B$3))-INDEX(Assumptions!$C$100:$E$100,$B$3))+INDEX(Assumptions!$C$69:$E$69,$B$3)*INDEX(Assumptions!$C$74:$E$74,$B$3)*(INDEX(Assumptions!$C$24:$E$24,$B$3)/(1+INDEX(Assumptions!$C$15:$E$15,$B$3)*INDEX(Assumptions!$C$16:$E$16,$B$3))-INDEX(Assumptions!$C$103:$E$103,$B$3))+INDEX(Assumptions!$C$28:$E$28,$B$3)*IF(INDEX(Assumptions!$C$94:$E$94,$B$3)&lt;=7,INDEX(Assumptions!$C$93:$E$93,$B$3),0)</f>
        <v>8747.16101694915</v>
      </c>
      <c r="I33" s="2" t="s">
        <v>445</v>
      </c>
    </row>
    <row r="34" customFormat="false" ht="15" hidden="false" customHeight="false" outlineLevel="0" collapsed="false">
      <c r="A34" s="3" t="s">
        <v>446</v>
      </c>
      <c r="B34" s="32" t="n">
        <f aca="false">B31+$H$33</f>
        <v>50594.6186440678</v>
      </c>
      <c r="C34" s="32" t="n">
        <f aca="false">C31+$H$33</f>
        <v>50594.6186440678</v>
      </c>
      <c r="D34" s="32" t="n">
        <f aca="false">D31+$H$33</f>
        <v>50594.6186440678</v>
      </c>
      <c r="E34" s="32" t="n">
        <f aca="false">E31+$H$33</f>
        <v>50594.6186440678</v>
      </c>
      <c r="F34" s="32" t="n">
        <f aca="false">F31+$H$33</f>
        <v>49764.9406779661</v>
      </c>
      <c r="G34" s="32" t="n">
        <f aca="false">G31+$H$33</f>
        <v>50594.6186440678</v>
      </c>
      <c r="H34" s="32" t="n">
        <f aca="false">H31+H33</f>
        <v>50528.3292571949</v>
      </c>
      <c r="I34" s="2"/>
    </row>
    <row r="35" customFormat="false" ht="15" hidden="false" customHeight="false" outlineLevel="0" collapsed="false">
      <c r="A35" s="15" t="s">
        <v>447</v>
      </c>
      <c r="B35" s="16"/>
      <c r="C35" s="16"/>
      <c r="D35" s="16"/>
      <c r="E35" s="16"/>
      <c r="F35" s="16"/>
      <c r="G35" s="16"/>
      <c r="H35" s="16"/>
      <c r="I35" s="16"/>
    </row>
    <row r="36" customFormat="false" ht="15" hidden="false" customHeight="false" outlineLevel="0" collapsed="false">
      <c r="A36" s="6" t="s">
        <v>448</v>
      </c>
      <c r="G36" s="7" t="n">
        <f aca="false">INDEX(Assumptions!$C$83:$E$83,$B$3)*INDEX(Assumptions!$C$84:$E$84,$B$3)</f>
        <v>30</v>
      </c>
      <c r="I36" s="2" t="s">
        <v>449</v>
      </c>
    </row>
    <row r="37" customFormat="false" ht="15" hidden="false" customHeight="false" outlineLevel="0" collapsed="false">
      <c r="A37" s="6" t="s">
        <v>450</v>
      </c>
      <c r="G37" s="12" t="n">
        <f aca="false">G36*INDEX(Assumptions!$C$63:$E$63,$B$3)*INDEX(Assumptions!$C$64:$E$64,$B$3)*INDEX(Assumptions!$C$44:$E$44,$B$3)*INDEX(Assumptions!$C$45:$E$45,$B$3)</f>
        <v>0.756</v>
      </c>
      <c r="I37" s="2" t="s">
        <v>451</v>
      </c>
    </row>
    <row r="38" customFormat="false" ht="15" hidden="false" customHeight="false" outlineLevel="0" collapsed="false">
      <c r="A38" s="6" t="s">
        <v>452</v>
      </c>
      <c r="G38" s="7" t="n">
        <f aca="false">INDEX(Assumptions!$C$89:$E$89,$B$3)*INDEX(Assumptions!$C$85:$E$85,$B$3)</f>
        <v>16</v>
      </c>
      <c r="I38" s="2" t="s">
        <v>292</v>
      </c>
    </row>
    <row r="39" customFormat="false" ht="15" hidden="false" customHeight="false" outlineLevel="0" collapsed="false">
      <c r="A39" s="6" t="s">
        <v>453</v>
      </c>
      <c r="G39" s="12" t="n">
        <f aca="false">G38*INDEX(Assumptions!$C$88:$E$88,$B$3)</f>
        <v>1.76</v>
      </c>
      <c r="I39" s="2"/>
    </row>
    <row r="40" customFormat="false" ht="15" hidden="false" customHeight="false" outlineLevel="0" collapsed="false">
      <c r="A40" s="6" t="s">
        <v>454</v>
      </c>
      <c r="G40" s="10" t="n">
        <f aca="false">G36*INDEX(Assumptions!$C$82:$E$82,$B$3)+INDEX(Assumptions!$C$89:$E$89,$B$3)*(INDEX(Assumptions!$C$87:$E$87,$B$3)-INDEX(Assumptions!$C$85:$E$85,$B$3)*INDEX(Assumptions!$C$86:$E$86,$B$3)/(1+INDEX(Assumptions!$C$15:$E$15,$B$3)))</f>
        <v>8674.57627118644</v>
      </c>
      <c r="I40" s="2"/>
    </row>
    <row r="41" customFormat="false" ht="15" hidden="false" customHeight="false" outlineLevel="0" collapsed="false">
      <c r="A41" s="15" t="s">
        <v>455</v>
      </c>
      <c r="B41" s="16"/>
      <c r="C41" s="16"/>
      <c r="D41" s="16"/>
      <c r="E41" s="16"/>
      <c r="F41" s="16"/>
      <c r="G41" s="16"/>
      <c r="H41" s="16"/>
      <c r="I41" s="16"/>
    </row>
    <row r="42" customFormat="false" ht="15" hidden="false" customHeight="false" outlineLevel="0" collapsed="false">
      <c r="A42" s="3" t="s">
        <v>456</v>
      </c>
      <c r="B42" s="32" t="n">
        <f aca="false">IFERROR(B24/B16,0)</f>
        <v>5445.07575757576</v>
      </c>
      <c r="C42" s="32" t="n">
        <f aca="false">IFERROR(C24/C16,0)</f>
        <v>7233.7962962963</v>
      </c>
      <c r="D42" s="32" t="n">
        <f aca="false">IFERROR(D24/D16,0)</f>
        <v>17500</v>
      </c>
      <c r="E42" s="32" t="n">
        <f aca="false">IFERROR(E24/E16,0)</f>
        <v>3000</v>
      </c>
      <c r="F42" s="32" t="n">
        <f aca="false">IFERROR(F24/F16,0)</f>
        <v>-1844.37307215315</v>
      </c>
      <c r="G42" s="32" t="n">
        <f aca="false">IFERROR(G24/G16,0)</f>
        <v>3447.76481366711</v>
      </c>
      <c r="H42" s="32" t="n">
        <f aca="false">H24/H16</f>
        <v>6282.60011699849</v>
      </c>
      <c r="I42" s="2"/>
    </row>
    <row r="43" customFormat="false" ht="15" hidden="false" customHeight="false" outlineLevel="0" collapsed="false">
      <c r="A43" s="6" t="s">
        <v>457</v>
      </c>
      <c r="B43" s="11" t="n">
        <f aca="false">IFERROR(B42/B28,0)</f>
        <v>0.100456369511248</v>
      </c>
      <c r="C43" s="11" t="n">
        <f aca="false">IFERROR(C42/C28,0)</f>
        <v>0.133456529543928</v>
      </c>
      <c r="D43" s="11" t="n">
        <f aca="false">IFERROR(D42/D28,0)</f>
        <v>0.32285803627267</v>
      </c>
      <c r="E43" s="11" t="n">
        <f aca="false">IFERROR(E42/E28,0)</f>
        <v>0.0553470919324578</v>
      </c>
      <c r="F43" s="11" t="n">
        <f aca="false">IFERROR(F42/F28,0)</f>
        <v>-0.0345667988936121</v>
      </c>
      <c r="G43" s="11" t="n">
        <f aca="false">IFERROR(G42/G28,0)</f>
        <v>0.0636079187011755</v>
      </c>
      <c r="H43" s="11" t="n">
        <f aca="false">H42/H28</f>
        <v>0.116052708157556</v>
      </c>
      <c r="I43" s="2"/>
    </row>
    <row r="44" customFormat="false" ht="15" hidden="false" customHeight="false" outlineLevel="0" collapsed="false">
      <c r="A44" s="6" t="s">
        <v>458</v>
      </c>
      <c r="B44" s="12" t="n">
        <f aca="false">IF(B42&lt;=0,"n/m (self-funding)",B34/B42)</f>
        <v>9.29181170228445</v>
      </c>
      <c r="C44" s="12" t="n">
        <f aca="false">IF(C42&lt;=0,"n/m (self-funding)",C34/C42)</f>
        <v>6.99420008135594</v>
      </c>
      <c r="D44" s="12" t="n">
        <f aca="false">IF(D42&lt;=0,"n/m (self-funding)",D34/D42)</f>
        <v>2.8911210653753</v>
      </c>
      <c r="E44" s="12" t="n">
        <f aca="false">IF(E42&lt;=0,"n/m (self-funding)",E34/E42)</f>
        <v>16.8648728813559</v>
      </c>
      <c r="F44" s="12" t="str">
        <f aca="false">IF(F42&lt;=0,"n/m (self-funding)",F34/F42)</f>
        <v>n/m (self-funding)</v>
      </c>
      <c r="G44" s="12" t="n">
        <f aca="false">IF(G42&lt;=0,"n/m (self-funding)",G34/G42)</f>
        <v>14.6746142438453</v>
      </c>
      <c r="H44" s="33" t="n">
        <f aca="false">H34/H42</f>
        <v>8.04258242068966</v>
      </c>
      <c r="I44" s="2"/>
    </row>
    <row r="45" customFormat="false" ht="15" hidden="false" customHeight="false" outlineLevel="0" collapsed="false">
      <c r="A45" s="6" t="s">
        <v>459</v>
      </c>
      <c r="B45" s="7" t="n">
        <f aca="false">IF(B42&lt;=0,0,B42/(B31/INDEX(Assumptions!$C$90:$E$90,$B$3)))</f>
        <v>0.26023448335113</v>
      </c>
      <c r="C45" s="7" t="n">
        <f aca="false">IF(C42&lt;=0,0,C42/(C31/INDEX(Assumptions!$C$90:$E$90,$B$3)))</f>
        <v>0.345722139717684</v>
      </c>
      <c r="D45" s="7" t="n">
        <f aca="false">IF(D42&lt;=0,0,D42/(D31/INDEX(Assumptions!$C$90:$E$90,$B$3)))</f>
        <v>0.836371000405022</v>
      </c>
      <c r="E45" s="7" t="n">
        <f aca="false">IF(E42&lt;=0,0,E42/(E31/INDEX(Assumptions!$C$90:$E$90,$B$3)))</f>
        <v>0.143377885783718</v>
      </c>
      <c r="F45" s="7" t="n">
        <f aca="false">IF(F42&lt;=0,0,F42/(F31/INDEX(Assumptions!$C$90:$E$90,$B$3)))</f>
        <v>0</v>
      </c>
      <c r="G45" s="7" t="n">
        <f aca="false">IF(G42&lt;=0,0,G42/(G31/INDEX(Assumptions!$C$90:$E$90,$B$3)))</f>
        <v>0.164777743221028</v>
      </c>
      <c r="H45" s="30" t="n">
        <f aca="false">H42/(H31/INDEX(Assumptions!$C$90:$E$90,$B$3))</f>
        <v>0.30073836523062</v>
      </c>
      <c r="I45" s="2" t="s">
        <v>460</v>
      </c>
    </row>
    <row r="46" customFormat="false" ht="15" hidden="false" customHeight="false" outlineLevel="0" collapsed="false">
      <c r="A46" s="3" t="s">
        <v>461</v>
      </c>
      <c r="H46" s="32" t="n">
        <f aca="false">(B24+C24+F24+G24)/(B16+C16+F16+G16)</f>
        <v>4419.09617946843</v>
      </c>
      <c r="I46" s="2" t="s">
        <v>462</v>
      </c>
    </row>
    <row r="47" customFormat="false" ht="15" hidden="false" customHeight="false" outlineLevel="0" collapsed="false">
      <c r="A47" s="3" t="s">
        <v>463</v>
      </c>
      <c r="H47" s="32" t="n">
        <f aca="false">(B24+C24+E24+F24)/H7</f>
        <v>3495.84467931667</v>
      </c>
      <c r="I47" s="2" t="s">
        <v>464</v>
      </c>
    </row>
    <row r="48" customFormat="false" ht="15" hidden="false" customHeight="false" outlineLevel="0" collapsed="false">
      <c r="A48" s="3" t="s">
        <v>465</v>
      </c>
      <c r="H48" s="32" t="n">
        <f aca="false">(B24+C24+F24)/(B16+C16+F16)</f>
        <v>4826.40779886112</v>
      </c>
      <c r="I48" s="2" t="s">
        <v>466</v>
      </c>
    </row>
    <row r="49" customFormat="false" ht="15" hidden="false" customHeight="false" outlineLevel="0" collapsed="false">
      <c r="A49" s="6" t="s">
        <v>467</v>
      </c>
      <c r="H49" s="8" t="n">
        <f aca="false">H17*2.5+H58*0.5</f>
        <v>564.537711078723</v>
      </c>
      <c r="I49" s="2" t="s">
        <v>468</v>
      </c>
    </row>
    <row r="50" customFormat="false" ht="15" hidden="false" customHeight="false" outlineLevel="0" collapsed="false">
      <c r="A50" s="6" t="s">
        <v>469</v>
      </c>
      <c r="H50" s="33" t="n">
        <f aca="false">H49/(INDEX(Assumptions!$C$77:$E$77,$B$3)*24)</f>
        <v>0.784080154276004</v>
      </c>
      <c r="I50" s="2"/>
    </row>
    <row r="51" customFormat="false" ht="15" hidden="false" customHeight="false" outlineLevel="0" collapsed="false">
      <c r="A51" s="6" t="s">
        <v>470</v>
      </c>
      <c r="H51" s="32" t="n">
        <f aca="false">(H24+MAX(1,ROUNDUP(H50,0))*INDEX(Assumptions!$C$112:$E$112,$B$3)+INDEX(Assumptions!$C$115:$E$115,$B$3)+INDEX(Assumptions!$C$111:$E$111,$B$3))/H16</f>
        <v>11316.1571639784</v>
      </c>
      <c r="I51" s="2" t="s">
        <v>471</v>
      </c>
    </row>
    <row r="52" customFormat="false" ht="15" hidden="false" customHeight="false" outlineLevel="0" collapsed="false">
      <c r="A52" s="6" t="s">
        <v>472</v>
      </c>
      <c r="H52" s="32" t="n">
        <f aca="false">B24+C24+F24+G24</f>
        <v>37633.0230643532</v>
      </c>
      <c r="I52" s="2"/>
    </row>
    <row r="53" customFormat="false" ht="15" hidden="false" customHeight="false" outlineLevel="0" collapsed="false">
      <c r="A53" s="6" t="s">
        <v>473</v>
      </c>
      <c r="D53" s="7" t="n">
        <f aca="false">D17-INDEX(Assumptions!$C$79:$E$79,$B$3)</f>
        <v>-0.127591706539086</v>
      </c>
      <c r="E53" s="7" t="n">
        <f aca="false">E17-INDEX(Assumptions!$C$80:$E$80,$B$3)</f>
        <v>-0.038612728267899</v>
      </c>
      <c r="I53" s="2" t="s">
        <v>474</v>
      </c>
    </row>
    <row r="55" customFormat="false" ht="15" hidden="false" customHeight="false" outlineLevel="0" collapsed="false">
      <c r="A55" s="15" t="s">
        <v>475</v>
      </c>
      <c r="B55" s="16"/>
      <c r="C55" s="16"/>
      <c r="D55" s="16"/>
      <c r="E55" s="16"/>
      <c r="F55" s="16"/>
      <c r="G55" s="16"/>
      <c r="H55" s="16"/>
      <c r="I55" s="16"/>
    </row>
    <row r="56" customFormat="false" ht="15" hidden="false" customHeight="false" outlineLevel="0" collapsed="false">
      <c r="A56" s="6" t="s">
        <v>476</v>
      </c>
      <c r="B56" s="7" t="n">
        <f aca="false">2.4*$H$7</f>
        <v>24</v>
      </c>
      <c r="C56" s="7" t="n">
        <f aca="false">1.5*$H$7</f>
        <v>15</v>
      </c>
      <c r="I56" s="2" t="s">
        <v>477</v>
      </c>
    </row>
    <row r="57" customFormat="false" ht="15" hidden="false" customHeight="false" outlineLevel="0" collapsed="false">
      <c r="A57" s="6" t="s">
        <v>478</v>
      </c>
      <c r="B57" s="11" t="n">
        <f aca="false">INDEX(Assumptions!$C$65:$E$65,$B$3)</f>
        <v>0.25</v>
      </c>
      <c r="C57" s="11" t="n">
        <f aca="false">INDEX(Assumptions!$C$66:$E$66,$B$3)</f>
        <v>0.17</v>
      </c>
      <c r="I57" s="2"/>
    </row>
    <row r="58" customFormat="false" ht="15" hidden="false" customHeight="false" outlineLevel="0" collapsed="false">
      <c r="A58" s="6" t="s">
        <v>479</v>
      </c>
      <c r="B58" s="7" t="n">
        <f aca="false">B56/B57</f>
        <v>96</v>
      </c>
      <c r="C58" s="7" t="n">
        <f aca="false">C56/C57</f>
        <v>88.2352941176471</v>
      </c>
      <c r="H58" s="7" t="n">
        <f aca="false">B58+C58</f>
        <v>184.235294117647</v>
      </c>
      <c r="I58" s="2"/>
    </row>
    <row r="59" customFormat="false" ht="15" hidden="false" customHeight="false" outlineLevel="0" collapsed="false">
      <c r="A59" s="6" t="s">
        <v>480</v>
      </c>
      <c r="B59" s="10" t="n">
        <f aca="false">B58*INDEX(Assumptions!$C$40:$E$40,$B$3)*INDEX(Assumptions!$C$38:$E$38,$B$3)</f>
        <v>7200</v>
      </c>
      <c r="C59" s="10" t="n">
        <f aca="false">C58*INDEX(Assumptions!$C$41:$E$41,$B$3)*INDEX(Assumptions!$C$39:$E$39,$B$3)</f>
        <v>10588.2352941176</v>
      </c>
      <c r="I59" s="2" t="s">
        <v>481</v>
      </c>
    </row>
    <row r="60" customFormat="false" ht="15" hidden="false" customHeight="false" outlineLevel="0" collapsed="false">
      <c r="A60" s="3" t="s">
        <v>482</v>
      </c>
      <c r="B60" s="32" t="n">
        <f aca="false">B59/B56</f>
        <v>300</v>
      </c>
      <c r="C60" s="32" t="n">
        <f aca="false">C59/C56</f>
        <v>705.882352941177</v>
      </c>
      <c r="I60" s="2"/>
    </row>
    <row r="61" customFormat="false" ht="15" hidden="false" customHeight="false" outlineLevel="0" collapsed="false">
      <c r="A61" s="6" t="s">
        <v>483</v>
      </c>
      <c r="I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484</v>
      </c>
    </row>
    <row r="2" customFormat="false" ht="15" hidden="false" customHeight="false" outlineLevel="0" collapsed="false">
      <c r="A2" s="2" t="s">
        <v>397</v>
      </c>
    </row>
    <row r="3" customFormat="false" ht="15" hidden="false" customHeight="false" outlineLevel="0" collapsed="false">
      <c r="A3" s="0" t="s">
        <v>82</v>
      </c>
      <c r="B3" s="29" t="n">
        <v>1</v>
      </c>
      <c r="C3" s="0" t="str">
        <f aca="false">CHOOSE(B3,"Conservative","Base","Aggressive")</f>
        <v>Conservative</v>
      </c>
    </row>
    <row r="5" customFormat="false" ht="41.75" hidden="false" customHeight="false" outlineLevel="0" collapsed="false">
      <c r="A5" s="5" t="s">
        <v>398</v>
      </c>
      <c r="B5" s="5" t="s">
        <v>399</v>
      </c>
      <c r="C5" s="5" t="s">
        <v>400</v>
      </c>
      <c r="D5" s="5" t="s">
        <v>401</v>
      </c>
      <c r="E5" s="5" t="s">
        <v>402</v>
      </c>
      <c r="F5" s="5" t="s">
        <v>403</v>
      </c>
      <c r="G5" s="5" t="s">
        <v>404</v>
      </c>
      <c r="H5" s="5" t="s">
        <v>405</v>
      </c>
      <c r="I5" s="5" t="s">
        <v>406</v>
      </c>
    </row>
    <row r="6" customFormat="false" ht="15" hidden="false" customHeight="false" outlineLevel="0" collapsed="false">
      <c r="A6" s="15" t="s">
        <v>407</v>
      </c>
      <c r="B6" s="16"/>
      <c r="C6" s="16"/>
      <c r="D6" s="16"/>
      <c r="E6" s="16"/>
      <c r="F6" s="16"/>
      <c r="G6" s="16"/>
      <c r="H6" s="16"/>
      <c r="I6" s="16"/>
    </row>
    <row r="7" customFormat="false" ht="15" hidden="false" customHeight="false" outlineLevel="0" collapsed="false">
      <c r="A7" s="6" t="s">
        <v>408</v>
      </c>
      <c r="H7" s="30" t="n">
        <f aca="false">INDEX(Assumptions!$C$27:$E$27,$B$3)</f>
        <v>6</v>
      </c>
      <c r="I7" s="2" t="s">
        <v>409</v>
      </c>
    </row>
    <row r="8" customFormat="false" ht="15" hidden="false" customHeight="false" outlineLevel="0" collapsed="false">
      <c r="A8" s="6" t="s">
        <v>410</v>
      </c>
      <c r="B8" s="11" t="n">
        <f aca="false">INDEX(Assumptions!$C$29:$E$29,$B$3)</f>
        <v>0.3</v>
      </c>
      <c r="C8" s="11" t="n">
        <f aca="false">INDEX(Assumptions!$C$30:$E$30,$B$3)</f>
        <v>0.2</v>
      </c>
      <c r="D8" s="11" t="n">
        <f aca="false">INDEX(Assumptions!$C$31:$E$31,$B$3)</f>
        <v>0.2</v>
      </c>
      <c r="E8" s="11" t="n">
        <f aca="false">INDEX(Assumptions!$C$32:$E$32,$B$3)</f>
        <v>0.2</v>
      </c>
      <c r="F8" s="11" t="n">
        <f aca="false">INDEX(Assumptions!$C$33:$E$33,$B$3)</f>
        <v>0.1</v>
      </c>
      <c r="H8" s="11" t="n">
        <f aca="false">SUM(B8:F8)</f>
        <v>1</v>
      </c>
      <c r="I8" s="2"/>
    </row>
    <row r="9" customFormat="false" ht="15" hidden="false" customHeight="false" outlineLevel="0" collapsed="false">
      <c r="A9" s="15" t="s">
        <v>411</v>
      </c>
      <c r="B9" s="16"/>
      <c r="C9" s="16"/>
      <c r="D9" s="16"/>
      <c r="E9" s="16"/>
      <c r="F9" s="16"/>
      <c r="G9" s="16"/>
      <c r="H9" s="16"/>
      <c r="I9" s="16"/>
    </row>
    <row r="10" customFormat="false" ht="15" hidden="false" customHeight="false" outlineLevel="0" collapsed="false">
      <c r="A10" s="6" t="s">
        <v>412</v>
      </c>
      <c r="B10" s="11" t="n">
        <f aca="false">INDEX(Assumptions!$C$42:$E$42,$B$3)</f>
        <v>0.35</v>
      </c>
      <c r="C10" s="11" t="n">
        <f aca="false">INDEX(Assumptions!$C$46:$E$46,$B$3)</f>
        <v>0.4</v>
      </c>
      <c r="D10" s="11" t="n">
        <f aca="false">INDEX(Assumptions!$C$50:$E$50,$B$3)</f>
        <v>0.3</v>
      </c>
      <c r="E10" s="11" t="n">
        <f aca="false">INDEX(Assumptions!$C$54:$E$54,$B$3)</f>
        <v>0.6</v>
      </c>
      <c r="F10" s="11" t="n">
        <f aca="false">INDEX(Assumptions!$C$58:$E$58,$B$3)</f>
        <v>0.75</v>
      </c>
      <c r="I10" s="2" t="s">
        <v>413</v>
      </c>
    </row>
    <row r="11" customFormat="false" ht="15" hidden="false" customHeight="false" outlineLevel="0" collapsed="false">
      <c r="A11" s="6" t="s">
        <v>414</v>
      </c>
      <c r="B11" s="11" t="n">
        <f aca="false">INDEX(Assumptions!$C$43:$E$43,$B$3)</f>
        <v>0.45</v>
      </c>
      <c r="C11" s="11" t="n">
        <f aca="false">INDEX(Assumptions!$C$47:$E$47,$B$3)</f>
        <v>0.5</v>
      </c>
      <c r="D11" s="11" t="n">
        <f aca="false">INDEX(Assumptions!$C$51:$E$51,$B$3)</f>
        <v>0.45</v>
      </c>
      <c r="E11" s="11" t="n">
        <f aca="false">INDEX(Assumptions!$C$55:$E$55,$B$3)</f>
        <v>0.7</v>
      </c>
      <c r="F11" s="11" t="n">
        <f aca="false">INDEX(Assumptions!$C$59:$E$59,$B$3)</f>
        <v>0.5</v>
      </c>
      <c r="I11" s="2"/>
    </row>
    <row r="12" customFormat="false" ht="15" hidden="false" customHeight="false" outlineLevel="0" collapsed="false">
      <c r="A12" s="6" t="s">
        <v>415</v>
      </c>
      <c r="B12" s="11" t="n">
        <f aca="false">INDEX(Assumptions!$C$44:$E$44,$B$3)</f>
        <v>0.25</v>
      </c>
      <c r="C12" s="11" t="n">
        <f aca="false">INDEX(Assumptions!$C$48:$E$48,$B$3)</f>
        <v>0.28</v>
      </c>
      <c r="D12" s="11" t="n">
        <f aca="false">INDEX(Assumptions!$C$52:$E$52,$B$3)</f>
        <v>0.25</v>
      </c>
      <c r="E12" s="11" t="n">
        <f aca="false">INDEX(Assumptions!$C$56:$E$56,$B$3)</f>
        <v>0.5</v>
      </c>
      <c r="F12" s="11" t="n">
        <f aca="false">INDEX(Assumptions!$C$60:$E$60,$B$3)</f>
        <v>0.16</v>
      </c>
      <c r="I12" s="2"/>
    </row>
    <row r="13" customFormat="false" ht="15" hidden="false" customHeight="false" outlineLevel="0" collapsed="false">
      <c r="A13" s="6" t="s">
        <v>416</v>
      </c>
      <c r="B13" s="11" t="n">
        <f aca="false">INDEX(Assumptions!$C$45:$E$45,$B$3)</f>
        <v>0.75</v>
      </c>
      <c r="C13" s="11" t="n">
        <f aca="false">INDEX(Assumptions!$C$49:$E$49,$B$3)</f>
        <v>0.75</v>
      </c>
      <c r="D13" s="11" t="n">
        <f aca="false">INDEX(Assumptions!$C$53:$E$53,$B$3)</f>
        <v>0.75</v>
      </c>
      <c r="E13" s="11" t="n">
        <f aca="false">INDEX(Assumptions!$C$57:$E$57,$B$3)</f>
        <v>0.8</v>
      </c>
      <c r="F13" s="11" t="n">
        <f aca="false">1</f>
        <v>1</v>
      </c>
      <c r="I13" s="2"/>
    </row>
    <row r="14" customFormat="false" ht="15" hidden="false" customHeight="false" outlineLevel="0" collapsed="false">
      <c r="A14" s="3" t="s">
        <v>28</v>
      </c>
      <c r="B14" s="31" t="n">
        <f aca="false">B10*B11*B12*B13</f>
        <v>0.02953125</v>
      </c>
      <c r="C14" s="31" t="n">
        <f aca="false">C10*C11*C12*C13</f>
        <v>0.042</v>
      </c>
      <c r="D14" s="31" t="n">
        <f aca="false">D10*D11*D12*D13</f>
        <v>0.0253125</v>
      </c>
      <c r="E14" s="31" t="n">
        <f aca="false">E10*E11*E12*E13</f>
        <v>0.168</v>
      </c>
      <c r="F14" s="31" t="n">
        <f aca="false">F10*F11*F12*F13</f>
        <v>0.06</v>
      </c>
      <c r="G14" s="9" t="n">
        <f aca="false">IFERROR(G16/G17,0)</f>
        <v>0.009375</v>
      </c>
      <c r="H14" s="31" t="n">
        <f aca="false">H16/H17</f>
        <v>0.034123490945674</v>
      </c>
      <c r="I14" s="2" t="s">
        <v>417</v>
      </c>
    </row>
    <row r="15" customFormat="false" ht="15" hidden="false" customHeight="false" outlineLevel="0" collapsed="false">
      <c r="A15" s="15" t="s">
        <v>418</v>
      </c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6" t="s">
        <v>419</v>
      </c>
      <c r="B16" s="7" t="n">
        <f aca="false">$H$7*B8</f>
        <v>1.8</v>
      </c>
      <c r="C16" s="7" t="n">
        <f aca="false">$H$7*C8</f>
        <v>1.2</v>
      </c>
      <c r="D16" s="7" t="n">
        <f aca="false">$H$7*D8</f>
        <v>1.2</v>
      </c>
      <c r="E16" s="7" t="n">
        <f aca="false">$H$7*E8</f>
        <v>1.2</v>
      </c>
      <c r="F16" s="7" t="n">
        <f aca="false">$H$7*F8</f>
        <v>0.6</v>
      </c>
      <c r="G16" s="7" t="n">
        <f aca="false">G37+G39</f>
        <v>0.28125</v>
      </c>
      <c r="H16" s="30" t="n">
        <f aca="false">SUM(B16:G16)</f>
        <v>6.28125</v>
      </c>
      <c r="I16" s="2"/>
    </row>
    <row r="17" customFormat="false" ht="15" hidden="false" customHeight="false" outlineLevel="0" collapsed="false">
      <c r="A17" s="6" t="s">
        <v>420</v>
      </c>
      <c r="B17" s="7" t="n">
        <f aca="false">IFERROR(B16/B14,0)</f>
        <v>60.9523809523809</v>
      </c>
      <c r="C17" s="7" t="n">
        <f aca="false">IFERROR(C16/C14,0)</f>
        <v>28.5714285714286</v>
      </c>
      <c r="D17" s="7" t="n">
        <f aca="false">IFERROR(D16/D14,0)</f>
        <v>47.4074074074074</v>
      </c>
      <c r="E17" s="7" t="n">
        <f aca="false">IFERROR(E16/E14,0)</f>
        <v>7.14285714285714</v>
      </c>
      <c r="F17" s="7" t="n">
        <f aca="false">IFERROR(F16/F14,0)</f>
        <v>10</v>
      </c>
      <c r="G17" s="7" t="n">
        <f aca="false">G36+G38</f>
        <v>30</v>
      </c>
      <c r="H17" s="30" t="n">
        <f aca="false">SUM(B17:G17)</f>
        <v>184.074074074074</v>
      </c>
      <c r="I17" s="2" t="s">
        <v>421</v>
      </c>
    </row>
    <row r="18" customFormat="false" ht="15" hidden="false" customHeight="false" outlineLevel="0" collapsed="false">
      <c r="A18" s="6" t="s">
        <v>422</v>
      </c>
      <c r="B18" s="7" t="n">
        <f aca="false">B17*B10</f>
        <v>21.3333333333333</v>
      </c>
      <c r="C18" s="7" t="n">
        <f aca="false">C17*C10</f>
        <v>11.4285714285714</v>
      </c>
      <c r="D18" s="7" t="n">
        <f aca="false">D17*D10</f>
        <v>14.2222222222222</v>
      </c>
      <c r="E18" s="7" t="n">
        <f aca="false">E17*E10</f>
        <v>4.28571428571429</v>
      </c>
      <c r="F18" s="7" t="n">
        <f aca="false">F17*F10</f>
        <v>7.5</v>
      </c>
      <c r="H18" s="30" t="n">
        <f aca="false">SUM(B18:G18)</f>
        <v>58.7698412698413</v>
      </c>
      <c r="I18" s="2"/>
    </row>
    <row r="19" customFormat="false" ht="15" hidden="false" customHeight="false" outlineLevel="0" collapsed="false">
      <c r="A19" s="6" t="s">
        <v>423</v>
      </c>
      <c r="B19" s="7" t="n">
        <f aca="false">B18*B11</f>
        <v>9.6</v>
      </c>
      <c r="C19" s="7" t="n">
        <f aca="false">C18*C11</f>
        <v>5.71428571428571</v>
      </c>
      <c r="D19" s="7" t="n">
        <f aca="false">D18*D11</f>
        <v>6.4</v>
      </c>
      <c r="E19" s="7" t="n">
        <f aca="false">E18*E11</f>
        <v>3</v>
      </c>
      <c r="F19" s="7" t="n">
        <f aca="false">F18*F11</f>
        <v>3.75</v>
      </c>
      <c r="H19" s="30" t="n">
        <f aca="false">SUM(B19:G19)</f>
        <v>28.4642857142857</v>
      </c>
      <c r="I19" s="2"/>
    </row>
    <row r="20" customFormat="false" ht="15" hidden="false" customHeight="false" outlineLevel="0" collapsed="false">
      <c r="A20" s="6" t="s">
        <v>424</v>
      </c>
      <c r="B20" s="7" t="n">
        <f aca="false">B19*B12</f>
        <v>2.4</v>
      </c>
      <c r="C20" s="7" t="n">
        <f aca="false">C19*C12</f>
        <v>1.6</v>
      </c>
      <c r="D20" s="7" t="n">
        <f aca="false">D19*D12</f>
        <v>1.6</v>
      </c>
      <c r="E20" s="7" t="n">
        <f aca="false">E19*E12</f>
        <v>1.5</v>
      </c>
      <c r="F20" s="7" t="n">
        <f aca="false">F19*F12</f>
        <v>0.6</v>
      </c>
      <c r="H20" s="30" t="n">
        <f aca="false">SUM(B20:G20)</f>
        <v>7.7</v>
      </c>
      <c r="I20" s="2"/>
    </row>
    <row r="21" customFormat="false" ht="15" hidden="false" customHeight="false" outlineLevel="0" collapsed="false">
      <c r="A21" s="6" t="s">
        <v>425</v>
      </c>
      <c r="B21" s="7" t="n">
        <f aca="false">B20*B13</f>
        <v>1.8</v>
      </c>
      <c r="C21" s="7" t="n">
        <f aca="false">C20*C13</f>
        <v>1.2</v>
      </c>
      <c r="D21" s="7" t="n">
        <f aca="false">D20*D13</f>
        <v>1.2</v>
      </c>
      <c r="E21" s="7" t="n">
        <f aca="false">E20*E13</f>
        <v>1.2</v>
      </c>
      <c r="F21" s="7" t="n">
        <f aca="false">F20*F13</f>
        <v>0.6</v>
      </c>
      <c r="G21" s="7" t="n">
        <f aca="false">G16</f>
        <v>0.28125</v>
      </c>
      <c r="H21" s="30" t="n">
        <f aca="false">SUM(B21:G21)</f>
        <v>6.28125</v>
      </c>
      <c r="I21" s="2"/>
    </row>
    <row r="22" customFormat="false" ht="15" hidden="false" customHeight="false" outlineLevel="0" collapsed="false">
      <c r="A22" s="15" t="s">
        <v>426</v>
      </c>
      <c r="B22" s="16"/>
      <c r="C22" s="16"/>
      <c r="D22" s="16"/>
      <c r="E22" s="16"/>
      <c r="F22" s="16"/>
      <c r="G22" s="16"/>
      <c r="H22" s="16"/>
      <c r="I22" s="16"/>
    </row>
    <row r="23" customFormat="false" ht="15" hidden="false" customHeight="false" outlineLevel="0" collapsed="false">
      <c r="A23" s="6" t="s">
        <v>427</v>
      </c>
      <c r="B23" s="10" t="n">
        <f aca="false">(1-INDEX(Assumptions!$C$76:$E$76,$B$3))*INDEX(Assumptions!$C$34:$E$34,$B$3)+INDEX(Assumptions!$C$76:$E$76,$B$3)*INDEX(Assumptions!$C$35:$E$35,$B$3)</f>
        <v>585</v>
      </c>
      <c r="C23" s="10" t="n">
        <f aca="false">INDEX(Assumptions!$C$36:$E$36,$B$3)</f>
        <v>800</v>
      </c>
      <c r="F23" s="10" t="n">
        <f aca="false">INDEX(Assumptions!$C$37:$E$37,$B$3)</f>
        <v>700</v>
      </c>
      <c r="I23" s="2" t="s">
        <v>428</v>
      </c>
    </row>
    <row r="24" customFormat="false" ht="15" hidden="false" customHeight="false" outlineLevel="0" collapsed="false">
      <c r="A24" s="6" t="s">
        <v>429</v>
      </c>
      <c r="B24" s="10" t="n">
        <f aca="false">B17*B23</f>
        <v>35657.1428571429</v>
      </c>
      <c r="C24" s="10" t="n">
        <f aca="false">C17*C23</f>
        <v>22857.1428571429</v>
      </c>
      <c r="D24" s="10" t="n">
        <f aca="false">INDEX(Assumptions!$C$114:$E$114,$B$3)+INDEX(Assumptions!$C$117:$E$117,$B$3)</f>
        <v>12000</v>
      </c>
      <c r="E24" s="10" t="n">
        <f aca="false">E16*INDEX(Assumptions!$C$71:$E$71,$B$3)</f>
        <v>6000</v>
      </c>
      <c r="F24" s="10" t="n">
        <f aca="false">F17*(F23+INDEX(Assumptions!$C$102:$E$102,$B$3))-F17*INDEX(Assumptions!$C$18:$E$18,$B$3)/(1+INDEX(Assumptions!$C$15:$E$15,$B$3))</f>
        <v>1533.89830508475</v>
      </c>
      <c r="G24" s="10" t="n">
        <f aca="false">G40</f>
        <v>4500</v>
      </c>
      <c r="H24" s="32" t="n">
        <f aca="false">SUM(B24:G24)</f>
        <v>82548.1840193705</v>
      </c>
      <c r="I24" s="2" t="s">
        <v>430</v>
      </c>
    </row>
    <row r="25" customFormat="false" ht="15" hidden="false" customHeight="false" outlineLevel="0" collapsed="false">
      <c r="A25" s="6" t="s">
        <v>431</v>
      </c>
      <c r="F25" s="10" t="n">
        <f aca="false">-F17*INDEX(Assumptions!$C$18:$E$18,$B$3)/(1+INDEX(Assumptions!$C$15:$E$15,$B$3))</f>
        <v>-8466.10169491526</v>
      </c>
      <c r="I25" s="2" t="s">
        <v>432</v>
      </c>
    </row>
    <row r="26" customFormat="false" ht="15" hidden="false" customHeight="false" outlineLevel="0" collapsed="false">
      <c r="A26" s="15" t="s">
        <v>433</v>
      </c>
      <c r="B26" s="16"/>
      <c r="C26" s="16"/>
      <c r="D26" s="16"/>
      <c r="E26" s="16"/>
      <c r="F26" s="16"/>
      <c r="G26" s="16"/>
      <c r="H26" s="16"/>
      <c r="I26" s="16"/>
    </row>
    <row r="27" customFormat="false" ht="15" hidden="false" customHeight="false" outlineLevel="0" collapsed="false">
      <c r="A27" s="6" t="s">
        <v>434</v>
      </c>
      <c r="H27" s="10" t="n">
        <f aca="false">IF(INDEX(Assumptions!$C$94:$E$94,$B$3)&lt;=7,INDEX(Assumptions!$C$21:$E$21,$B$3),INDEX(Assumptions!$C$10:$E$10,$B$3))</f>
        <v>40000</v>
      </c>
      <c r="I27" s="2" t="s">
        <v>435</v>
      </c>
    </row>
    <row r="28" customFormat="false" ht="15" hidden="false" customHeight="false" outlineLevel="0" collapsed="false">
      <c r="A28" s="6" t="s">
        <v>436</v>
      </c>
      <c r="B28" s="10" t="n">
        <f aca="false">(INDEX(Assumptions!$C$28:$E$28,$B$3)*$H$27+(1-INDEX(Assumptions!$C$28:$E$28,$B$3))*INDEX(Assumptions!$C$19:$E$19,$B$3))/(1+INDEX(Assumptions!$C$15:$E$15,$B$3)*INDEX(Assumptions!$C$16:$E$16,$B$3))</f>
        <v>29661.0169491525</v>
      </c>
      <c r="C28" s="10" t="n">
        <f aca="false">(INDEX(Assumptions!$C$28:$E$28,$B$3)*$H$27+(1-INDEX(Assumptions!$C$28:$E$28,$B$3))*INDEX(Assumptions!$C$19:$E$19,$B$3))/(1+INDEX(Assumptions!$C$15:$E$15,$B$3)*INDEX(Assumptions!$C$16:$E$16,$B$3))</f>
        <v>29661.0169491525</v>
      </c>
      <c r="D28" s="10" t="n">
        <f aca="false">(INDEX(Assumptions!$C$28:$E$28,$B$3)*$H$27+(1-INDEX(Assumptions!$C$28:$E$28,$B$3))*INDEX(Assumptions!$C$19:$E$19,$B$3))/(1+INDEX(Assumptions!$C$15:$E$15,$B$3)*INDEX(Assumptions!$C$16:$E$16,$B$3))</f>
        <v>29661.0169491525</v>
      </c>
      <c r="E28" s="10" t="n">
        <f aca="false">(INDEX(Assumptions!$C$28:$E$28,$B$3)*$H$27+(1-INDEX(Assumptions!$C$28:$E$28,$B$3))*INDEX(Assumptions!$C$19:$E$19,$B$3))/(1+INDEX(Assumptions!$C$15:$E$15,$B$3)*INDEX(Assumptions!$C$16:$E$16,$B$3))</f>
        <v>29661.0169491525</v>
      </c>
      <c r="F28" s="10" t="n">
        <f aca="false">(INDEX(Assumptions!$C$28:$E$28,$B$3)*$H$27+(1-INDEX(Assumptions!$C$28:$E$28,$B$3))*INDEX(Assumptions!$C$19:$E$19,$B$3)-INDEX(Assumptions!$C$18:$E$18,$B$3))/(1+INDEX(Assumptions!$C$15:$E$15,$B$3)*INDEX(Assumptions!$C$16:$E$16,$B$3))</f>
        <v>28814.406779661</v>
      </c>
      <c r="G28" s="10" t="n">
        <f aca="false">(INDEX(Assumptions!$C$28:$E$28,$B$3)*$H$27+(1-INDEX(Assumptions!$C$28:$E$28,$B$3))*INDEX(Assumptions!$C$19:$E$19,$B$3))/(1+INDEX(Assumptions!$C$15:$E$15,$B$3)*INDEX(Assumptions!$C$16:$E$16,$B$3))</f>
        <v>29661.0169491525</v>
      </c>
      <c r="H28" s="32" t="n">
        <f aca="false">SUMPRODUCT(B28:G28,B16:G16)/H16</f>
        <v>29580.1467240071</v>
      </c>
      <c r="I28" s="2" t="s">
        <v>437</v>
      </c>
    </row>
    <row r="29" customFormat="false" ht="15" hidden="false" customHeight="false" outlineLevel="0" collapsed="false">
      <c r="A29" s="6" t="s">
        <v>438</v>
      </c>
      <c r="H29" s="10" t="n">
        <f aca="false">(INDEX(Assumptions!$C$105:$E$105,$B$3)+INDEX(Assumptions!$C$106:$E$106,$B$3))/INDEX(Assumptions!$C$107:$E$107,$B$3)/INDEX(Assumptions!$C$108:$E$108,$B$3)</f>
        <v>4062.5</v>
      </c>
      <c r="I29" s="2" t="s">
        <v>439</v>
      </c>
    </row>
    <row r="30" customFormat="false" ht="15" hidden="false" customHeight="false" outlineLevel="0" collapsed="false">
      <c r="A30" s="6" t="s">
        <v>440</v>
      </c>
      <c r="B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B28*INDEX(Assumptions!$C$78:$E$78,$B$3)</f>
        <v>21680.0847457627</v>
      </c>
      <c r="C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C28*INDEX(Assumptions!$C$78:$E$78,$B$3)</f>
        <v>21680.0847457627</v>
      </c>
      <c r="D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D28*INDEX(Assumptions!$C$78:$E$78,$B$3)</f>
        <v>21680.0847457627</v>
      </c>
      <c r="E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E28*INDEX(Assumptions!$C$78:$E$78,$B$3)</f>
        <v>21680.0847457627</v>
      </c>
      <c r="F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F28*INDEX(Assumptions!$C$78:$E$78,$B$3)</f>
        <v>21659.7661016949</v>
      </c>
      <c r="G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G28*INDEX(Assumptions!$C$78:$E$78,$B$3)</f>
        <v>21680.0847457627</v>
      </c>
      <c r="H30" s="10" t="n">
        <f aca="false">SUMPRODUCT(B30:G30,B16:G16)/H16</f>
        <v>21678.1438603592</v>
      </c>
      <c r="I30" s="2" t="s">
        <v>441</v>
      </c>
    </row>
    <row r="31" customFormat="false" ht="15" hidden="false" customHeight="false" outlineLevel="0" collapsed="false">
      <c r="A31" s="3" t="s">
        <v>442</v>
      </c>
      <c r="B31" s="32" t="n">
        <f aca="false">B28-B30</f>
        <v>7980.93220338984</v>
      </c>
      <c r="C31" s="32" t="n">
        <f aca="false">C28-C30</f>
        <v>7980.93220338984</v>
      </c>
      <c r="D31" s="32" t="n">
        <f aca="false">D28-D30</f>
        <v>7980.93220338984</v>
      </c>
      <c r="E31" s="32" t="n">
        <f aca="false">E28-E30</f>
        <v>7980.93220338984</v>
      </c>
      <c r="F31" s="32" t="n">
        <f aca="false">F28-F30</f>
        <v>7154.64067796611</v>
      </c>
      <c r="G31" s="32" t="n">
        <f aca="false">G28-G30</f>
        <v>7980.93220338984</v>
      </c>
      <c r="H31" s="32" t="n">
        <f aca="false">H28-H30</f>
        <v>7902.00286364787</v>
      </c>
      <c r="I31" s="2"/>
    </row>
    <row r="32" customFormat="false" ht="15" hidden="false" customHeight="false" outlineLevel="0" collapsed="false">
      <c r="A32" s="6" t="s">
        <v>443</v>
      </c>
      <c r="B32" s="11" t="n">
        <f aca="false">IFERROR(B31/B28,0)</f>
        <v>0.269071428571429</v>
      </c>
      <c r="C32" s="11" t="n">
        <f aca="false">IFERROR(C31/C28,0)</f>
        <v>0.269071428571429</v>
      </c>
      <c r="D32" s="11" t="n">
        <f aca="false">IFERROR(D31/D28,0)</f>
        <v>0.269071428571429</v>
      </c>
      <c r="E32" s="11" t="n">
        <f aca="false">IFERROR(E31/E28,0)</f>
        <v>0.269071428571429</v>
      </c>
      <c r="F32" s="11" t="n">
        <f aca="false">IFERROR(F31/F28,0)</f>
        <v>0.248300814681921</v>
      </c>
      <c r="G32" s="11" t="n">
        <f aca="false">IFERROR(G31/G28,0)</f>
        <v>0.269071428571429</v>
      </c>
      <c r="H32" s="11" t="n">
        <f aca="false">H31/H28</f>
        <v>0.267138731169127</v>
      </c>
      <c r="I32" s="2"/>
    </row>
    <row r="33" customFormat="false" ht="15" hidden="false" customHeight="false" outlineLevel="0" collapsed="false">
      <c r="A33" s="6" t="s">
        <v>444</v>
      </c>
      <c r="H33" s="10" t="n">
        <f aca="false">(1-INDEX(Assumptions!$C$28:$E$28,$B$3))*INDEX(Assumptions!$C$92:$E$92,$B$3)*((INDEX(Assumptions!$C$21:$E$21,$B$3)-INDEX(Assumptions!$C$19:$E$19,$B$3))/(1+INDEX(Assumptions!$C$15:$E$15,$B$3)*INDEX(Assumptions!$C$16:$E$16,$B$3))-INDEX(Assumptions!$C$97:$E$97,$B$3)-2*$H$29)+INDEX(Assumptions!$C$91:$E$91,$B$3)*(INDEX(Assumptions!$C$22:$E$22,$B$3)/(1+INDEX(Assumptions!$C$15:$E$15,$B$3)*INDEX(Assumptions!$C$16:$E$16,$B$3))-INDEX(Assumptions!$C$100:$E$100,$B$3))+INDEX(Assumptions!$C$69:$E$69,$B$3)*INDEX(Assumptions!$C$74:$E$74,$B$3)*(INDEX(Assumptions!$C$24:$E$24,$B$3)/(1+INDEX(Assumptions!$C$15:$E$15,$B$3)*INDEX(Assumptions!$C$16:$E$16,$B$3))-INDEX(Assumptions!$C$103:$E$103,$B$3))+INDEX(Assumptions!$C$28:$E$28,$B$3)*IF(INDEX(Assumptions!$C$94:$E$94,$B$3)&lt;=7,INDEX(Assumptions!$C$93:$E$93,$B$3),0)</f>
        <v>3023.38347457627</v>
      </c>
      <c r="I33" s="2" t="s">
        <v>445</v>
      </c>
    </row>
    <row r="34" customFormat="false" ht="15" hidden="false" customHeight="false" outlineLevel="0" collapsed="false">
      <c r="A34" s="3" t="s">
        <v>446</v>
      </c>
      <c r="B34" s="32" t="n">
        <f aca="false">B31+$H$33</f>
        <v>11004.3156779661</v>
      </c>
      <c r="C34" s="32" t="n">
        <f aca="false">C31+$H$33</f>
        <v>11004.3156779661</v>
      </c>
      <c r="D34" s="32" t="n">
        <f aca="false">D31+$H$33</f>
        <v>11004.3156779661</v>
      </c>
      <c r="E34" s="32" t="n">
        <f aca="false">E31+$H$33</f>
        <v>11004.3156779661</v>
      </c>
      <c r="F34" s="32" t="n">
        <f aca="false">F31+$H$33</f>
        <v>10178.0241525424</v>
      </c>
      <c r="G34" s="32" t="n">
        <f aca="false">G31+$H$33</f>
        <v>11004.3156779661</v>
      </c>
      <c r="H34" s="32" t="n">
        <f aca="false">H31+H33</f>
        <v>10925.3863382241</v>
      </c>
      <c r="I34" s="2"/>
    </row>
    <row r="35" customFormat="false" ht="15" hidden="false" customHeight="false" outlineLevel="0" collapsed="false">
      <c r="A35" s="15" t="s">
        <v>447</v>
      </c>
      <c r="B35" s="16"/>
      <c r="C35" s="16"/>
      <c r="D35" s="16"/>
      <c r="E35" s="16"/>
      <c r="F35" s="16"/>
      <c r="G35" s="16"/>
      <c r="H35" s="16"/>
      <c r="I35" s="16"/>
    </row>
    <row r="36" customFormat="false" ht="15" hidden="false" customHeight="false" outlineLevel="0" collapsed="false">
      <c r="A36" s="6" t="s">
        <v>448</v>
      </c>
      <c r="G36" s="7" t="n">
        <f aca="false">INDEX(Assumptions!$C$83:$E$83,$B$3)*INDEX(Assumptions!$C$84:$E$84,$B$3)</f>
        <v>30</v>
      </c>
      <c r="I36" s="2" t="s">
        <v>449</v>
      </c>
    </row>
    <row r="37" customFormat="false" ht="15" hidden="false" customHeight="false" outlineLevel="0" collapsed="false">
      <c r="A37" s="6" t="s">
        <v>450</v>
      </c>
      <c r="G37" s="12" t="n">
        <f aca="false">G36*INDEX(Assumptions!$C$63:$E$63,$B$3)*INDEX(Assumptions!$C$64:$E$64,$B$3)*INDEX(Assumptions!$C$44:$E$44,$B$3)*INDEX(Assumptions!$C$45:$E$45,$B$3)</f>
        <v>0.28125</v>
      </c>
      <c r="I37" s="2" t="s">
        <v>451</v>
      </c>
    </row>
    <row r="38" customFormat="false" ht="15" hidden="false" customHeight="false" outlineLevel="0" collapsed="false">
      <c r="A38" s="6" t="s">
        <v>452</v>
      </c>
      <c r="G38" s="7" t="n">
        <f aca="false">INDEX(Assumptions!$C$89:$E$89,$B$3)*INDEX(Assumptions!$C$85:$E$85,$B$3)</f>
        <v>0</v>
      </c>
      <c r="I38" s="2" t="s">
        <v>292</v>
      </c>
    </row>
    <row r="39" customFormat="false" ht="15" hidden="false" customHeight="false" outlineLevel="0" collapsed="false">
      <c r="A39" s="6" t="s">
        <v>453</v>
      </c>
      <c r="G39" s="12" t="n">
        <f aca="false">G38*INDEX(Assumptions!$C$88:$E$88,$B$3)</f>
        <v>0</v>
      </c>
      <c r="I39" s="2"/>
    </row>
    <row r="40" customFormat="false" ht="15" hidden="false" customHeight="false" outlineLevel="0" collapsed="false">
      <c r="A40" s="6" t="s">
        <v>454</v>
      </c>
      <c r="G40" s="10" t="n">
        <f aca="false">G36*INDEX(Assumptions!$C$82:$E$82,$B$3)+INDEX(Assumptions!$C$89:$E$89,$B$3)*(INDEX(Assumptions!$C$87:$E$87,$B$3)-INDEX(Assumptions!$C$85:$E$85,$B$3)*INDEX(Assumptions!$C$86:$E$86,$B$3)/(1+INDEX(Assumptions!$C$15:$E$15,$B$3)))</f>
        <v>4500</v>
      </c>
      <c r="I40" s="2"/>
    </row>
    <row r="41" customFormat="false" ht="15" hidden="false" customHeight="false" outlineLevel="0" collapsed="false">
      <c r="A41" s="15" t="s">
        <v>455</v>
      </c>
      <c r="B41" s="16"/>
      <c r="C41" s="16"/>
      <c r="D41" s="16"/>
      <c r="E41" s="16"/>
      <c r="F41" s="16"/>
      <c r="G41" s="16"/>
      <c r="H41" s="16"/>
      <c r="I41" s="16"/>
    </row>
    <row r="42" customFormat="false" ht="15" hidden="false" customHeight="false" outlineLevel="0" collapsed="false">
      <c r="A42" s="3" t="s">
        <v>456</v>
      </c>
      <c r="B42" s="32" t="n">
        <f aca="false">IFERROR(B24/B16,0)</f>
        <v>19809.5238095238</v>
      </c>
      <c r="C42" s="32" t="n">
        <f aca="false">IFERROR(C24/C16,0)</f>
        <v>19047.619047619</v>
      </c>
      <c r="D42" s="32" t="n">
        <f aca="false">IFERROR(D24/D16,0)</f>
        <v>10000</v>
      </c>
      <c r="E42" s="32" t="n">
        <f aca="false">IFERROR(E24/E16,0)</f>
        <v>5000</v>
      </c>
      <c r="F42" s="32" t="n">
        <f aca="false">IFERROR(F24/F16,0)</f>
        <v>2556.49717514124</v>
      </c>
      <c r="G42" s="32" t="n">
        <f aca="false">IFERROR(G24/G16,0)</f>
        <v>16000</v>
      </c>
      <c r="H42" s="32" t="n">
        <f aca="false">H24/H16</f>
        <v>13141.9994458699</v>
      </c>
      <c r="I42" s="2"/>
    </row>
    <row r="43" customFormat="false" ht="15" hidden="false" customHeight="false" outlineLevel="0" collapsed="false">
      <c r="A43" s="6" t="s">
        <v>457</v>
      </c>
      <c r="B43" s="11" t="n">
        <f aca="false">IFERROR(B42/B28,0)</f>
        <v>0.667863945578231</v>
      </c>
      <c r="C43" s="11" t="n">
        <f aca="false">IFERROR(C42/C28,0)</f>
        <v>0.642176870748299</v>
      </c>
      <c r="D43" s="11" t="n">
        <f aca="false">IFERROR(D42/D28,0)</f>
        <v>0.337142857142857</v>
      </c>
      <c r="E43" s="11" t="n">
        <f aca="false">IFERROR(E42/E28,0)</f>
        <v>0.168571428571429</v>
      </c>
      <c r="F43" s="11" t="n">
        <f aca="false">IFERROR(F42/F28,0)</f>
        <v>0.0887228806995872</v>
      </c>
      <c r="G43" s="11" t="n">
        <f aca="false">IFERROR(G42/G28,0)</f>
        <v>0.539428571428571</v>
      </c>
      <c r="H43" s="11" t="n">
        <f aca="false">H42/H28</f>
        <v>0.44428445769689</v>
      </c>
      <c r="I43" s="2"/>
    </row>
    <row r="44" customFormat="false" ht="15" hidden="false" customHeight="false" outlineLevel="0" collapsed="false">
      <c r="A44" s="6" t="s">
        <v>458</v>
      </c>
      <c r="B44" s="12" t="n">
        <f aca="false">IF(B42&lt;=0,"n/m (self-funding)",B34/B42)</f>
        <v>0.555506320281943</v>
      </c>
      <c r="C44" s="12" t="n">
        <f aca="false">IF(C42&lt;=0,"n/m (self-funding)",C34/C42)</f>
        <v>0.577726573093221</v>
      </c>
      <c r="D44" s="12" t="n">
        <f aca="false">IF(D42&lt;=0,"n/m (self-funding)",D34/D42)</f>
        <v>1.10043156779661</v>
      </c>
      <c r="E44" s="12" t="n">
        <f aca="false">IF(E42&lt;=0,"n/m (self-funding)",E34/E42)</f>
        <v>2.20086313559322</v>
      </c>
      <c r="F44" s="12" t="n">
        <f aca="false">IF(F42&lt;=0,"n/m (self-funding)",F34/F42)</f>
        <v>3.98123817679558</v>
      </c>
      <c r="G44" s="12" t="n">
        <f aca="false">IF(G42&lt;=0,"n/m (self-funding)",G34/G42)</f>
        <v>0.687769729872882</v>
      </c>
      <c r="H44" s="33" t="n">
        <f aca="false">H34/H42</f>
        <v>0.831333647762222</v>
      </c>
      <c r="I44" s="2"/>
    </row>
    <row r="45" customFormat="false" ht="15" hidden="false" customHeight="false" outlineLevel="0" collapsed="false">
      <c r="A45" s="6" t="s">
        <v>459</v>
      </c>
      <c r="B45" s="7" t="n">
        <f aca="false">IF(B42&lt;=0,0,B42/(B31/INDEX(Assumptions!$C$90:$E$90,$B$3)))</f>
        <v>7.4463195418863</v>
      </c>
      <c r="C45" s="7" t="n">
        <f aca="false">IF(C42&lt;=0,0,C42/(C31/INDEX(Assumptions!$C$90:$E$90,$B$3)))</f>
        <v>7.15992263642913</v>
      </c>
      <c r="D45" s="7" t="n">
        <f aca="false">IF(D42&lt;=0,0,D42/(D31/INDEX(Assumptions!$C$90:$E$90,$B$3)))</f>
        <v>3.7589593841253</v>
      </c>
      <c r="E45" s="7" t="n">
        <f aca="false">IF(E42&lt;=0,0,E42/(E31/INDEX(Assumptions!$C$90:$E$90,$B$3)))</f>
        <v>1.87947969206265</v>
      </c>
      <c r="F45" s="7" t="n">
        <f aca="false">IF(F42&lt;=0,0,F42/(F31/INDEX(Assumptions!$C$90:$E$90,$B$3)))</f>
        <v>1.07196040592831</v>
      </c>
      <c r="G45" s="7" t="n">
        <f aca="false">IF(G42&lt;=0,0,G42/(G31/INDEX(Assumptions!$C$90:$E$90,$B$3)))</f>
        <v>6.01433501460047</v>
      </c>
      <c r="H45" s="30" t="n">
        <f aca="false">H42/(H31/INDEX(Assumptions!$C$90:$E$90,$B$3))</f>
        <v>4.98936776130314</v>
      </c>
      <c r="I45" s="2" t="s">
        <v>460</v>
      </c>
    </row>
    <row r="46" customFormat="false" ht="15" hidden="false" customHeight="false" outlineLevel="0" collapsed="false">
      <c r="A46" s="3" t="s">
        <v>461</v>
      </c>
      <c r="H46" s="32" t="n">
        <f aca="false">(B24+C24+F24+G24)/(B16+C16+F16+G16)</f>
        <v>16630.7720500793</v>
      </c>
      <c r="I46" s="2" t="s">
        <v>462</v>
      </c>
    </row>
    <row r="47" customFormat="false" ht="15" hidden="false" customHeight="false" outlineLevel="0" collapsed="false">
      <c r="A47" s="3" t="s">
        <v>463</v>
      </c>
      <c r="H47" s="32" t="n">
        <f aca="false">(B24+C24+E24+F24)/H7</f>
        <v>11008.0306698951</v>
      </c>
      <c r="I47" s="2" t="s">
        <v>464</v>
      </c>
    </row>
    <row r="48" customFormat="false" ht="15" hidden="false" customHeight="false" outlineLevel="0" collapsed="false">
      <c r="A48" s="3" t="s">
        <v>465</v>
      </c>
      <c r="H48" s="32" t="n">
        <f aca="false">(B24+C24+F24)/(B16+C16+F16)</f>
        <v>16680.0511164918</v>
      </c>
      <c r="I48" s="2" t="s">
        <v>466</v>
      </c>
    </row>
    <row r="49" customFormat="false" ht="15" hidden="false" customHeight="false" outlineLevel="0" collapsed="false">
      <c r="A49" s="6" t="s">
        <v>467</v>
      </c>
      <c r="H49" s="8" t="n">
        <f aca="false">H17*2.5+H58*0.5</f>
        <v>553.185185185185</v>
      </c>
      <c r="I49" s="2" t="s">
        <v>468</v>
      </c>
    </row>
    <row r="50" customFormat="false" ht="15" hidden="false" customHeight="false" outlineLevel="0" collapsed="false">
      <c r="A50" s="6" t="s">
        <v>469</v>
      </c>
      <c r="H50" s="33" t="n">
        <f aca="false">H49/(INDEX(Assumptions!$C$77:$E$77,$B$3)*24)</f>
        <v>0.921975308641975</v>
      </c>
      <c r="I50" s="2"/>
    </row>
    <row r="51" customFormat="false" ht="15" hidden="false" customHeight="false" outlineLevel="0" collapsed="false">
      <c r="A51" s="6" t="s">
        <v>470</v>
      </c>
      <c r="H51" s="32" t="n">
        <f aca="false">(H24+MAX(1,ROUNDUP(H50,0))*INDEX(Assumptions!$C$112:$E$112,$B$3)+INDEX(Assumptions!$C$115:$E$115,$B$3)+INDEX(Assumptions!$C$111:$E$111,$B$3))/H16</f>
        <v>17599.710888656</v>
      </c>
      <c r="I51" s="2" t="s">
        <v>471</v>
      </c>
    </row>
    <row r="52" customFormat="false" ht="15" hidden="false" customHeight="false" outlineLevel="0" collapsed="false">
      <c r="A52" s="6" t="s">
        <v>472</v>
      </c>
      <c r="H52" s="32" t="n">
        <f aca="false">B24+C24+F24+G24</f>
        <v>64548.1840193705</v>
      </c>
      <c r="I52" s="2"/>
    </row>
    <row r="53" customFormat="false" ht="15" hidden="false" customHeight="false" outlineLevel="0" collapsed="false">
      <c r="A53" s="6" t="s">
        <v>473</v>
      </c>
      <c r="D53" s="7" t="n">
        <f aca="false">D17-INDEX(Assumptions!$C$79:$E$79,$B$3)</f>
        <v>22.4074074074074</v>
      </c>
      <c r="E53" s="7" t="n">
        <f aca="false">E17-INDEX(Assumptions!$C$80:$E$80,$B$3)</f>
        <v>2.14285714285714</v>
      </c>
      <c r="I53" s="2" t="s">
        <v>474</v>
      </c>
    </row>
    <row r="55" customFormat="false" ht="15" hidden="false" customHeight="false" outlineLevel="0" collapsed="false">
      <c r="A55" s="15" t="s">
        <v>475</v>
      </c>
      <c r="B55" s="16"/>
      <c r="C55" s="16"/>
      <c r="D55" s="16"/>
      <c r="E55" s="16"/>
      <c r="F55" s="16"/>
      <c r="G55" s="16"/>
      <c r="H55" s="16"/>
      <c r="I55" s="16"/>
    </row>
    <row r="56" customFormat="false" ht="15" hidden="false" customHeight="false" outlineLevel="0" collapsed="false">
      <c r="A56" s="6" t="s">
        <v>476</v>
      </c>
      <c r="B56" s="7" t="n">
        <f aca="false">2.4*$H$7</f>
        <v>14.4</v>
      </c>
      <c r="C56" s="7" t="n">
        <f aca="false">1.5*$H$7</f>
        <v>9</v>
      </c>
      <c r="I56" s="2" t="s">
        <v>477</v>
      </c>
    </row>
    <row r="57" customFormat="false" ht="15" hidden="false" customHeight="false" outlineLevel="0" collapsed="false">
      <c r="A57" s="6" t="s">
        <v>478</v>
      </c>
      <c r="B57" s="11" t="n">
        <f aca="false">INDEX(Assumptions!$C$65:$E$65,$B$3)</f>
        <v>0.15</v>
      </c>
      <c r="C57" s="11" t="n">
        <f aca="false">INDEX(Assumptions!$C$66:$E$66,$B$3)</f>
        <v>0.1</v>
      </c>
      <c r="I57" s="2"/>
    </row>
    <row r="58" customFormat="false" ht="15" hidden="false" customHeight="false" outlineLevel="0" collapsed="false">
      <c r="A58" s="6" t="s">
        <v>479</v>
      </c>
      <c r="B58" s="7" t="n">
        <f aca="false">B56/B57</f>
        <v>96</v>
      </c>
      <c r="C58" s="7" t="n">
        <f aca="false">C56/C57</f>
        <v>90</v>
      </c>
      <c r="H58" s="7" t="n">
        <f aca="false">B58+C58</f>
        <v>186</v>
      </c>
      <c r="I58" s="2"/>
    </row>
    <row r="59" customFormat="false" ht="15" hidden="false" customHeight="false" outlineLevel="0" collapsed="false">
      <c r="A59" s="6" t="s">
        <v>480</v>
      </c>
      <c r="B59" s="10" t="n">
        <f aca="false">B58*INDEX(Assumptions!$C$40:$E$40,$B$3)*INDEX(Assumptions!$C$38:$E$38,$B$3)</f>
        <v>20160</v>
      </c>
      <c r="C59" s="10" t="n">
        <f aca="false">C58*INDEX(Assumptions!$C$41:$E$41,$B$3)*INDEX(Assumptions!$C$39:$E$39,$B$3)</f>
        <v>28800</v>
      </c>
      <c r="I59" s="2" t="s">
        <v>481</v>
      </c>
    </row>
    <row r="60" customFormat="false" ht="15" hidden="false" customHeight="false" outlineLevel="0" collapsed="false">
      <c r="A60" s="3" t="s">
        <v>482</v>
      </c>
      <c r="B60" s="32" t="n">
        <f aca="false">B59/B56</f>
        <v>1400</v>
      </c>
      <c r="C60" s="32" t="n">
        <f aca="false">C59/C56</f>
        <v>3200</v>
      </c>
      <c r="I60" s="2"/>
    </row>
    <row r="61" customFormat="false" ht="15" hidden="false" customHeight="false" outlineLevel="0" collapsed="false">
      <c r="A61" s="6" t="s">
        <v>483</v>
      </c>
      <c r="I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485</v>
      </c>
    </row>
    <row r="2" customFormat="false" ht="15" hidden="false" customHeight="false" outlineLevel="0" collapsed="false">
      <c r="A2" s="2" t="s">
        <v>397</v>
      </c>
    </row>
    <row r="3" customFormat="false" ht="15" hidden="false" customHeight="false" outlineLevel="0" collapsed="false">
      <c r="A3" s="0" t="s">
        <v>82</v>
      </c>
      <c r="B3" s="29" t="n">
        <v>2</v>
      </c>
      <c r="C3" s="0" t="str">
        <f aca="false">CHOOSE(B3,"Conservative","Base","Aggressive")</f>
        <v>Base</v>
      </c>
    </row>
    <row r="5" customFormat="false" ht="41.75" hidden="false" customHeight="false" outlineLevel="0" collapsed="false">
      <c r="A5" s="5" t="s">
        <v>398</v>
      </c>
      <c r="B5" s="5" t="s">
        <v>399</v>
      </c>
      <c r="C5" s="5" t="s">
        <v>400</v>
      </c>
      <c r="D5" s="5" t="s">
        <v>401</v>
      </c>
      <c r="E5" s="5" t="s">
        <v>402</v>
      </c>
      <c r="F5" s="5" t="s">
        <v>403</v>
      </c>
      <c r="G5" s="5" t="s">
        <v>404</v>
      </c>
      <c r="H5" s="5" t="s">
        <v>405</v>
      </c>
      <c r="I5" s="5" t="s">
        <v>406</v>
      </c>
    </row>
    <row r="6" customFormat="false" ht="15" hidden="false" customHeight="false" outlineLevel="0" collapsed="false">
      <c r="A6" s="15" t="s">
        <v>407</v>
      </c>
      <c r="B6" s="16"/>
      <c r="C6" s="16"/>
      <c r="D6" s="16"/>
      <c r="E6" s="16"/>
      <c r="F6" s="16"/>
      <c r="G6" s="16"/>
      <c r="H6" s="16"/>
      <c r="I6" s="16"/>
    </row>
    <row r="7" customFormat="false" ht="15" hidden="false" customHeight="false" outlineLevel="0" collapsed="false">
      <c r="A7" s="6" t="s">
        <v>408</v>
      </c>
      <c r="H7" s="30" t="n">
        <f aca="false">INDEX(Assumptions!$C$27:$E$27,$B$3)</f>
        <v>10</v>
      </c>
      <c r="I7" s="2" t="s">
        <v>409</v>
      </c>
    </row>
    <row r="8" customFormat="false" ht="15" hidden="false" customHeight="false" outlineLevel="0" collapsed="false">
      <c r="A8" s="6" t="s">
        <v>410</v>
      </c>
      <c r="B8" s="11" t="n">
        <f aca="false">INDEX(Assumptions!$C$29:$E$29,$B$3)</f>
        <v>0.3</v>
      </c>
      <c r="C8" s="11" t="n">
        <f aca="false">INDEX(Assumptions!$C$30:$E$30,$B$3)</f>
        <v>0.2</v>
      </c>
      <c r="D8" s="11" t="n">
        <f aca="false">INDEX(Assumptions!$C$31:$E$31,$B$3)</f>
        <v>0.2</v>
      </c>
      <c r="E8" s="11" t="n">
        <f aca="false">INDEX(Assumptions!$C$32:$E$32,$B$3)</f>
        <v>0.2</v>
      </c>
      <c r="F8" s="11" t="n">
        <f aca="false">INDEX(Assumptions!$C$33:$E$33,$B$3)</f>
        <v>0.1</v>
      </c>
      <c r="H8" s="11" t="n">
        <f aca="false">SUM(B8:F8)</f>
        <v>1</v>
      </c>
      <c r="I8" s="2"/>
    </row>
    <row r="9" customFormat="false" ht="15" hidden="false" customHeight="false" outlineLevel="0" collapsed="false">
      <c r="A9" s="15" t="s">
        <v>411</v>
      </c>
      <c r="B9" s="16"/>
      <c r="C9" s="16"/>
      <c r="D9" s="16"/>
      <c r="E9" s="16"/>
      <c r="F9" s="16"/>
      <c r="G9" s="16"/>
      <c r="H9" s="16"/>
      <c r="I9" s="16"/>
    </row>
    <row r="10" customFormat="false" ht="15" hidden="false" customHeight="false" outlineLevel="0" collapsed="false">
      <c r="A10" s="6" t="s">
        <v>412</v>
      </c>
      <c r="B10" s="11" t="n">
        <f aca="false">INDEX(Assumptions!$C$42:$E$42,$B$3)</f>
        <v>0.4</v>
      </c>
      <c r="C10" s="11" t="n">
        <f aca="false">INDEX(Assumptions!$C$46:$E$46,$B$3)</f>
        <v>0.45</v>
      </c>
      <c r="D10" s="11" t="n">
        <f aca="false">INDEX(Assumptions!$C$50:$E$50,$B$3)</f>
        <v>0.38</v>
      </c>
      <c r="E10" s="11" t="n">
        <f aca="false">INDEX(Assumptions!$C$54:$E$54,$B$3)</f>
        <v>0.7</v>
      </c>
      <c r="F10" s="11" t="n">
        <f aca="false">INDEX(Assumptions!$C$58:$E$58,$B$3)</f>
        <v>0.82</v>
      </c>
      <c r="I10" s="2" t="s">
        <v>413</v>
      </c>
    </row>
    <row r="11" customFormat="false" ht="15" hidden="false" customHeight="false" outlineLevel="0" collapsed="false">
      <c r="A11" s="6" t="s">
        <v>414</v>
      </c>
      <c r="B11" s="11" t="n">
        <f aca="false">INDEX(Assumptions!$C$43:$E$43,$B$3)</f>
        <v>0.55</v>
      </c>
      <c r="C11" s="11" t="n">
        <f aca="false">INDEX(Assumptions!$C$47:$E$47,$B$3)</f>
        <v>0.6</v>
      </c>
      <c r="D11" s="11" t="n">
        <f aca="false">INDEX(Assumptions!$C$51:$E$51,$B$3)</f>
        <v>0.55</v>
      </c>
      <c r="E11" s="11" t="n">
        <f aca="false">INDEX(Assumptions!$C$55:$E$55,$B$3)</f>
        <v>0.75</v>
      </c>
      <c r="F11" s="11" t="n">
        <f aca="false">INDEX(Assumptions!$C$59:$E$59,$B$3)</f>
        <v>0.65</v>
      </c>
      <c r="I11" s="2"/>
    </row>
    <row r="12" customFormat="false" ht="15" hidden="false" customHeight="false" outlineLevel="0" collapsed="false">
      <c r="A12" s="6" t="s">
        <v>415</v>
      </c>
      <c r="B12" s="11" t="n">
        <f aca="false">INDEX(Assumptions!$C$44:$E$44,$B$3)</f>
        <v>0.3</v>
      </c>
      <c r="C12" s="11" t="n">
        <f aca="false">INDEX(Assumptions!$C$48:$E$48,$B$3)</f>
        <v>0.32</v>
      </c>
      <c r="D12" s="11" t="n">
        <f aca="false">INDEX(Assumptions!$C$52:$E$52,$B$3)</f>
        <v>0.3</v>
      </c>
      <c r="E12" s="11" t="n">
        <f aca="false">INDEX(Assumptions!$C$56:$E$56,$B$3)</f>
        <v>0.55</v>
      </c>
      <c r="F12" s="11" t="n">
        <f aca="false">INDEX(Assumptions!$C$60:$E$60,$B$3)</f>
        <v>0.2</v>
      </c>
      <c r="I12" s="2"/>
    </row>
    <row r="13" customFormat="false" ht="15" hidden="false" customHeight="false" outlineLevel="0" collapsed="false">
      <c r="A13" s="6" t="s">
        <v>416</v>
      </c>
      <c r="B13" s="11" t="n">
        <f aca="false">INDEX(Assumptions!$C$45:$E$45,$B$3)</f>
        <v>0.8</v>
      </c>
      <c r="C13" s="11" t="n">
        <f aca="false">INDEX(Assumptions!$C$49:$E$49,$B$3)</f>
        <v>0.8</v>
      </c>
      <c r="D13" s="11" t="n">
        <f aca="false">INDEX(Assumptions!$C$53:$E$53,$B$3)</f>
        <v>0.8</v>
      </c>
      <c r="E13" s="11" t="n">
        <f aca="false">INDEX(Assumptions!$C$57:$E$57,$B$3)</f>
        <v>0.87</v>
      </c>
      <c r="F13" s="11" t="n">
        <f aca="false">1</f>
        <v>1</v>
      </c>
      <c r="I13" s="2"/>
    </row>
    <row r="14" customFormat="false" ht="15" hidden="false" customHeight="false" outlineLevel="0" collapsed="false">
      <c r="A14" s="3" t="s">
        <v>28</v>
      </c>
      <c r="B14" s="31" t="n">
        <f aca="false">B10*B11*B12*B13</f>
        <v>0.0528</v>
      </c>
      <c r="C14" s="31" t="n">
        <f aca="false">C10*C11*C12*C13</f>
        <v>0.06912</v>
      </c>
      <c r="D14" s="31" t="n">
        <f aca="false">D10*D11*D12*D13</f>
        <v>0.05016</v>
      </c>
      <c r="E14" s="31" t="n">
        <f aca="false">E10*E11*E12*E13</f>
        <v>0.2512125</v>
      </c>
      <c r="F14" s="31" t="n">
        <f aca="false">F10*F11*F12*F13</f>
        <v>0.1066</v>
      </c>
      <c r="G14" s="9" t="n">
        <f aca="false">IFERROR(G16/G17,0)</f>
        <v>0.054695652173913</v>
      </c>
      <c r="H14" s="31" t="n">
        <f aca="false">H16/H17</f>
        <v>0.0662334273734022</v>
      </c>
      <c r="I14" s="2" t="s">
        <v>417</v>
      </c>
    </row>
    <row r="15" customFormat="false" ht="15" hidden="false" customHeight="false" outlineLevel="0" collapsed="false">
      <c r="A15" s="15" t="s">
        <v>418</v>
      </c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6" t="s">
        <v>419</v>
      </c>
      <c r="B16" s="7" t="n">
        <f aca="false">$H$7*B8</f>
        <v>3</v>
      </c>
      <c r="C16" s="7" t="n">
        <f aca="false">$H$7*C8</f>
        <v>2</v>
      </c>
      <c r="D16" s="7" t="n">
        <f aca="false">$H$7*D8</f>
        <v>2</v>
      </c>
      <c r="E16" s="7" t="n">
        <f aca="false">$H$7*E8</f>
        <v>2</v>
      </c>
      <c r="F16" s="7" t="n">
        <f aca="false">$H$7*F8</f>
        <v>1</v>
      </c>
      <c r="G16" s="7" t="n">
        <f aca="false">G37+G39</f>
        <v>2.516</v>
      </c>
      <c r="H16" s="30" t="n">
        <f aca="false">SUM(B16:G16)</f>
        <v>12.516</v>
      </c>
      <c r="I16" s="2"/>
    </row>
    <row r="17" customFormat="false" ht="15" hidden="false" customHeight="false" outlineLevel="0" collapsed="false">
      <c r="A17" s="6" t="s">
        <v>420</v>
      </c>
      <c r="B17" s="7" t="n">
        <f aca="false">IFERROR(B16/B14,0)</f>
        <v>56.8181818181818</v>
      </c>
      <c r="C17" s="7" t="n">
        <f aca="false">IFERROR(C16/C14,0)</f>
        <v>28.9351851851852</v>
      </c>
      <c r="D17" s="7" t="n">
        <f aca="false">IFERROR(D16/D14,0)</f>
        <v>39.8724082934609</v>
      </c>
      <c r="E17" s="7" t="n">
        <f aca="false">IFERROR(E16/E14,0)</f>
        <v>7.9613872717321</v>
      </c>
      <c r="F17" s="7" t="n">
        <f aca="false">IFERROR(F16/F14,0)</f>
        <v>9.38086303939962</v>
      </c>
      <c r="G17" s="7" t="n">
        <f aca="false">G36+G38</f>
        <v>46</v>
      </c>
      <c r="H17" s="30" t="n">
        <f aca="false">SUM(B17:G17)</f>
        <v>188.96802560796</v>
      </c>
      <c r="I17" s="2" t="s">
        <v>421</v>
      </c>
    </row>
    <row r="18" customFormat="false" ht="15" hidden="false" customHeight="false" outlineLevel="0" collapsed="false">
      <c r="A18" s="6" t="s">
        <v>422</v>
      </c>
      <c r="B18" s="7" t="n">
        <f aca="false">B17*B10</f>
        <v>22.7272727272727</v>
      </c>
      <c r="C18" s="7" t="n">
        <f aca="false">C17*C10</f>
        <v>13.0208333333333</v>
      </c>
      <c r="D18" s="7" t="n">
        <f aca="false">D17*D10</f>
        <v>15.1515151515151</v>
      </c>
      <c r="E18" s="7" t="n">
        <f aca="false">E17*E10</f>
        <v>5.57297109021247</v>
      </c>
      <c r="F18" s="7" t="n">
        <f aca="false">F17*F10</f>
        <v>7.69230769230769</v>
      </c>
      <c r="H18" s="30" t="n">
        <f aca="false">SUM(B18:G18)</f>
        <v>64.1648999946414</v>
      </c>
      <c r="I18" s="2"/>
    </row>
    <row r="19" customFormat="false" ht="15" hidden="false" customHeight="false" outlineLevel="0" collapsed="false">
      <c r="A19" s="6" t="s">
        <v>423</v>
      </c>
      <c r="B19" s="7" t="n">
        <f aca="false">B18*B11</f>
        <v>12.5</v>
      </c>
      <c r="C19" s="7" t="n">
        <f aca="false">C18*C11</f>
        <v>7.8125</v>
      </c>
      <c r="D19" s="7" t="n">
        <f aca="false">D18*D11</f>
        <v>8.33333333333333</v>
      </c>
      <c r="E19" s="7" t="n">
        <f aca="false">E18*E11</f>
        <v>4.17972831765935</v>
      </c>
      <c r="F19" s="7" t="n">
        <f aca="false">F18*F11</f>
        <v>5</v>
      </c>
      <c r="H19" s="30" t="n">
        <f aca="false">SUM(B19:G19)</f>
        <v>37.8255616509927</v>
      </c>
      <c r="I19" s="2"/>
    </row>
    <row r="20" customFormat="false" ht="15" hidden="false" customHeight="false" outlineLevel="0" collapsed="false">
      <c r="A20" s="6" t="s">
        <v>424</v>
      </c>
      <c r="B20" s="7" t="n">
        <f aca="false">B19*B12</f>
        <v>3.75</v>
      </c>
      <c r="C20" s="7" t="n">
        <f aca="false">C19*C12</f>
        <v>2.5</v>
      </c>
      <c r="D20" s="7" t="n">
        <f aca="false">D19*D12</f>
        <v>2.5</v>
      </c>
      <c r="E20" s="7" t="n">
        <f aca="false">E19*E12</f>
        <v>2.29885057471264</v>
      </c>
      <c r="F20" s="7" t="n">
        <f aca="false">F19*F12</f>
        <v>1</v>
      </c>
      <c r="H20" s="30" t="n">
        <f aca="false">SUM(B20:G20)</f>
        <v>12.0488505747126</v>
      </c>
      <c r="I20" s="2"/>
    </row>
    <row r="21" customFormat="false" ht="15" hidden="false" customHeight="false" outlineLevel="0" collapsed="false">
      <c r="A21" s="6" t="s">
        <v>425</v>
      </c>
      <c r="B21" s="7" t="n">
        <f aca="false">B20*B13</f>
        <v>3</v>
      </c>
      <c r="C21" s="7" t="n">
        <f aca="false">C20*C13</f>
        <v>2</v>
      </c>
      <c r="D21" s="7" t="n">
        <f aca="false">D20*D13</f>
        <v>2</v>
      </c>
      <c r="E21" s="7" t="n">
        <f aca="false">E20*E13</f>
        <v>2</v>
      </c>
      <c r="F21" s="7" t="n">
        <f aca="false">F20*F13</f>
        <v>1</v>
      </c>
      <c r="G21" s="7" t="n">
        <f aca="false">G16</f>
        <v>2.516</v>
      </c>
      <c r="H21" s="30" t="n">
        <f aca="false">SUM(B21:G21)</f>
        <v>12.516</v>
      </c>
      <c r="I21" s="2"/>
    </row>
    <row r="22" customFormat="false" ht="15" hidden="false" customHeight="false" outlineLevel="0" collapsed="false">
      <c r="A22" s="15" t="s">
        <v>426</v>
      </c>
      <c r="B22" s="16"/>
      <c r="C22" s="16"/>
      <c r="D22" s="16"/>
      <c r="E22" s="16"/>
      <c r="F22" s="16"/>
      <c r="G22" s="16"/>
      <c r="H22" s="16"/>
      <c r="I22" s="16"/>
    </row>
    <row r="23" customFormat="false" ht="15" hidden="false" customHeight="false" outlineLevel="0" collapsed="false">
      <c r="A23" s="6" t="s">
        <v>427</v>
      </c>
      <c r="B23" s="10" t="n">
        <f aca="false">(1-INDEX(Assumptions!$C$76:$E$76,$B$3))*INDEX(Assumptions!$C$34:$E$34,$B$3)+INDEX(Assumptions!$C$76:$E$76,$B$3)*INDEX(Assumptions!$C$35:$E$35,$B$3)</f>
        <v>287.5</v>
      </c>
      <c r="C23" s="10" t="n">
        <f aca="false">INDEX(Assumptions!$C$36:$E$36,$B$3)</f>
        <v>500</v>
      </c>
      <c r="F23" s="10" t="n">
        <f aca="false">INDEX(Assumptions!$C$37:$E$37,$B$3)</f>
        <v>400</v>
      </c>
      <c r="I23" s="2" t="s">
        <v>428</v>
      </c>
    </row>
    <row r="24" customFormat="false" ht="15" hidden="false" customHeight="false" outlineLevel="0" collapsed="false">
      <c r="A24" s="6" t="s">
        <v>429</v>
      </c>
      <c r="B24" s="10" t="n">
        <f aca="false">B17*B23</f>
        <v>16335.2272727273</v>
      </c>
      <c r="C24" s="10" t="n">
        <f aca="false">C17*C23</f>
        <v>14467.5925925926</v>
      </c>
      <c r="D24" s="10" t="n">
        <f aca="false">INDEX(Assumptions!$C$114:$E$114,$B$3)+INDEX(Assumptions!$C$117:$E$117,$B$3)</f>
        <v>35000</v>
      </c>
      <c r="E24" s="10" t="n">
        <f aca="false">E16*INDEX(Assumptions!$C$71:$E$71,$B$3)</f>
        <v>6000</v>
      </c>
      <c r="F24" s="10" t="n">
        <f aca="false">F17*(F23+INDEX(Assumptions!$C$102:$E$102,$B$3))-F17*INDEX(Assumptions!$C$18:$E$18,$B$3)/(1+INDEX(Assumptions!$C$15:$E$15,$B$3))</f>
        <v>-1844.37307215315</v>
      </c>
      <c r="G24" s="10" t="n">
        <f aca="false">G40</f>
        <v>8674.57627118644</v>
      </c>
      <c r="H24" s="32" t="n">
        <f aca="false">SUM(B24:G24)</f>
        <v>78633.0230643532</v>
      </c>
      <c r="I24" s="2" t="s">
        <v>430</v>
      </c>
    </row>
    <row r="25" customFormat="false" ht="15" hidden="false" customHeight="false" outlineLevel="0" collapsed="false">
      <c r="A25" s="6" t="s">
        <v>431</v>
      </c>
      <c r="F25" s="10" t="n">
        <f aca="false">-F17*INDEX(Assumptions!$C$18:$E$18,$B$3)/(1+INDEX(Assumptions!$C$15:$E$15,$B$3))</f>
        <v>-7941.9340477629</v>
      </c>
      <c r="I25" s="2" t="s">
        <v>432</v>
      </c>
    </row>
    <row r="26" customFormat="false" ht="15" hidden="false" customHeight="false" outlineLevel="0" collapsed="false">
      <c r="A26" s="15" t="s">
        <v>433</v>
      </c>
      <c r="B26" s="16"/>
      <c r="C26" s="16"/>
      <c r="D26" s="16"/>
      <c r="E26" s="16"/>
      <c r="F26" s="16"/>
      <c r="G26" s="16"/>
      <c r="H26" s="16"/>
      <c r="I26" s="16"/>
    </row>
    <row r="27" customFormat="false" ht="15" hidden="false" customHeight="false" outlineLevel="0" collapsed="false">
      <c r="A27" s="6" t="s">
        <v>434</v>
      </c>
      <c r="H27" s="10" t="n">
        <f aca="false">IF(INDEX(Assumptions!$C$94:$E$94,$B$3)&lt;=7,INDEX(Assumptions!$C$21:$E$21,$B$3),INDEX(Assumptions!$C$10:$E$10,$B$3))</f>
        <v>80000</v>
      </c>
      <c r="I27" s="2" t="s">
        <v>435</v>
      </c>
    </row>
    <row r="28" customFormat="false" ht="15" hidden="false" customHeight="false" outlineLevel="0" collapsed="false">
      <c r="A28" s="6" t="s">
        <v>436</v>
      </c>
      <c r="B28" s="10" t="n">
        <f aca="false">(INDEX(Assumptions!$C$28:$E$28,$B$3)*$H$27+(1-INDEX(Assumptions!$C$28:$E$28,$B$3))*INDEX(Assumptions!$C$19:$E$19,$B$3))/(1+INDEX(Assumptions!$C$15:$E$15,$B$3)*INDEX(Assumptions!$C$16:$E$16,$B$3))</f>
        <v>54203.3898305085</v>
      </c>
      <c r="C28" s="10" t="n">
        <f aca="false">(INDEX(Assumptions!$C$28:$E$28,$B$3)*$H$27+(1-INDEX(Assumptions!$C$28:$E$28,$B$3))*INDEX(Assumptions!$C$19:$E$19,$B$3))/(1+INDEX(Assumptions!$C$15:$E$15,$B$3)*INDEX(Assumptions!$C$16:$E$16,$B$3))</f>
        <v>54203.3898305085</v>
      </c>
      <c r="D28" s="10" t="n">
        <f aca="false">(INDEX(Assumptions!$C$28:$E$28,$B$3)*$H$27+(1-INDEX(Assumptions!$C$28:$E$28,$B$3))*INDEX(Assumptions!$C$19:$E$19,$B$3))/(1+INDEX(Assumptions!$C$15:$E$15,$B$3)*INDEX(Assumptions!$C$16:$E$16,$B$3))</f>
        <v>54203.3898305085</v>
      </c>
      <c r="E28" s="10" t="n">
        <f aca="false">(INDEX(Assumptions!$C$28:$E$28,$B$3)*$H$27+(1-INDEX(Assumptions!$C$28:$E$28,$B$3))*INDEX(Assumptions!$C$19:$E$19,$B$3))/(1+INDEX(Assumptions!$C$15:$E$15,$B$3)*INDEX(Assumptions!$C$16:$E$16,$B$3))</f>
        <v>54203.3898305085</v>
      </c>
      <c r="F28" s="10" t="n">
        <f aca="false">(INDEX(Assumptions!$C$28:$E$28,$B$3)*$H$27+(1-INDEX(Assumptions!$C$28:$E$28,$B$3))*INDEX(Assumptions!$C$19:$E$19,$B$3)-INDEX(Assumptions!$C$18:$E$18,$B$3))/(1+INDEX(Assumptions!$C$15:$E$15,$B$3)*INDEX(Assumptions!$C$16:$E$16,$B$3))</f>
        <v>53356.779661017</v>
      </c>
      <c r="G28" s="10" t="n">
        <f aca="false">(INDEX(Assumptions!$C$28:$E$28,$B$3)*$H$27+(1-INDEX(Assumptions!$C$28:$E$28,$B$3))*INDEX(Assumptions!$C$19:$E$19,$B$3))/(1+INDEX(Assumptions!$C$15:$E$15,$B$3)*INDEX(Assumptions!$C$16:$E$16,$B$3))</f>
        <v>54203.3898305085</v>
      </c>
      <c r="H28" s="32" t="n">
        <f aca="false">SUMPRODUCT(B28:G28,B16:G16)/H16</f>
        <v>54135.7475990055</v>
      </c>
      <c r="I28" s="2" t="s">
        <v>437</v>
      </c>
    </row>
    <row r="29" customFormat="false" ht="15" hidden="false" customHeight="false" outlineLevel="0" collapsed="false">
      <c r="A29" s="6" t="s">
        <v>438</v>
      </c>
      <c r="H29" s="10" t="n">
        <f aca="false">(INDEX(Assumptions!$C$105:$E$105,$B$3)+INDEX(Assumptions!$C$106:$E$106,$B$3))/INDEX(Assumptions!$C$107:$E$107,$B$3)/INDEX(Assumptions!$C$108:$E$108,$B$3)</f>
        <v>2800</v>
      </c>
      <c r="I29" s="2" t="s">
        <v>439</v>
      </c>
    </row>
    <row r="30" customFormat="false" ht="15" hidden="false" customHeight="false" outlineLevel="0" collapsed="false">
      <c r="A30" s="6" t="s">
        <v>440</v>
      </c>
      <c r="B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B28*INDEX(Assumptions!$C$78:$E$78,$B$3)</f>
        <v>12355.9322033898</v>
      </c>
      <c r="C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C28*INDEX(Assumptions!$C$78:$E$78,$B$3)</f>
        <v>12355.9322033898</v>
      </c>
      <c r="D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D28*INDEX(Assumptions!$C$78:$E$78,$B$3)</f>
        <v>12355.9322033898</v>
      </c>
      <c r="E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E28*INDEX(Assumptions!$C$78:$E$78,$B$3)</f>
        <v>12355.9322033898</v>
      </c>
      <c r="F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F28*INDEX(Assumptions!$C$78:$E$78,$B$3)</f>
        <v>12339</v>
      </c>
      <c r="G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G28*INDEX(Assumptions!$C$78:$E$78,$B$3)</f>
        <v>12355.9322033898</v>
      </c>
      <c r="H30" s="10" t="n">
        <f aca="false">SUMPRODUCT(B30:G30,B16:G16)/H16</f>
        <v>12354.5793587598</v>
      </c>
      <c r="I30" s="2" t="s">
        <v>441</v>
      </c>
    </row>
    <row r="31" customFormat="false" ht="15" hidden="false" customHeight="false" outlineLevel="0" collapsed="false">
      <c r="A31" s="3" t="s">
        <v>442</v>
      </c>
      <c r="B31" s="32" t="n">
        <f aca="false">B28-B30</f>
        <v>41847.4576271187</v>
      </c>
      <c r="C31" s="32" t="n">
        <f aca="false">C28-C30</f>
        <v>41847.4576271187</v>
      </c>
      <c r="D31" s="32" t="n">
        <f aca="false">D28-D30</f>
        <v>41847.4576271187</v>
      </c>
      <c r="E31" s="32" t="n">
        <f aca="false">E28-E30</f>
        <v>41847.4576271187</v>
      </c>
      <c r="F31" s="32" t="n">
        <f aca="false">F28-F30</f>
        <v>41017.779661017</v>
      </c>
      <c r="G31" s="32" t="n">
        <f aca="false">G28-G30</f>
        <v>41847.4576271187</v>
      </c>
      <c r="H31" s="32" t="n">
        <f aca="false">H28-H30</f>
        <v>41781.1682402457</v>
      </c>
      <c r="I31" s="2"/>
    </row>
    <row r="32" customFormat="false" ht="15" hidden="false" customHeight="false" outlineLevel="0" collapsed="false">
      <c r="A32" s="6" t="s">
        <v>443</v>
      </c>
      <c r="B32" s="11" t="n">
        <f aca="false">IFERROR(B31/B28,0)</f>
        <v>0.772045028142589</v>
      </c>
      <c r="C32" s="11" t="n">
        <f aca="false">IFERROR(C31/C28,0)</f>
        <v>0.772045028142589</v>
      </c>
      <c r="D32" s="11" t="n">
        <f aca="false">IFERROR(D31/D28,0)</f>
        <v>0.772045028142589</v>
      </c>
      <c r="E32" s="11" t="n">
        <f aca="false">IFERROR(E31/E28,0)</f>
        <v>0.772045028142589</v>
      </c>
      <c r="F32" s="11" t="n">
        <f aca="false">IFERROR(F31/F28,0)</f>
        <v>0.768745413827608</v>
      </c>
      <c r="G32" s="11" t="n">
        <f aca="false">IFERROR(G31/G28,0)</f>
        <v>0.772045028142589</v>
      </c>
      <c r="H32" s="11" t="n">
        <f aca="false">H31/H28</f>
        <v>0.771785189884646</v>
      </c>
      <c r="I32" s="2"/>
    </row>
    <row r="33" customFormat="false" ht="15" hidden="false" customHeight="false" outlineLevel="0" collapsed="false">
      <c r="A33" s="6" t="s">
        <v>444</v>
      </c>
      <c r="H33" s="10" t="n">
        <f aca="false">(1-INDEX(Assumptions!$C$28:$E$28,$B$3))*INDEX(Assumptions!$C$92:$E$92,$B$3)*((INDEX(Assumptions!$C$21:$E$21,$B$3)-INDEX(Assumptions!$C$19:$E$19,$B$3))/(1+INDEX(Assumptions!$C$15:$E$15,$B$3)*INDEX(Assumptions!$C$16:$E$16,$B$3))-INDEX(Assumptions!$C$97:$E$97,$B$3)-2*$H$29)+INDEX(Assumptions!$C$91:$E$91,$B$3)*(INDEX(Assumptions!$C$22:$E$22,$B$3)/(1+INDEX(Assumptions!$C$15:$E$15,$B$3)*INDEX(Assumptions!$C$16:$E$16,$B$3))-INDEX(Assumptions!$C$100:$E$100,$B$3))+INDEX(Assumptions!$C$69:$E$69,$B$3)*INDEX(Assumptions!$C$74:$E$74,$B$3)*(INDEX(Assumptions!$C$24:$E$24,$B$3)/(1+INDEX(Assumptions!$C$15:$E$15,$B$3)*INDEX(Assumptions!$C$16:$E$16,$B$3))-INDEX(Assumptions!$C$103:$E$103,$B$3))+INDEX(Assumptions!$C$28:$E$28,$B$3)*IF(INDEX(Assumptions!$C$94:$E$94,$B$3)&lt;=7,INDEX(Assumptions!$C$93:$E$93,$B$3),0)</f>
        <v>8747.16101694915</v>
      </c>
      <c r="I33" s="2" t="s">
        <v>445</v>
      </c>
    </row>
    <row r="34" customFormat="false" ht="15" hidden="false" customHeight="false" outlineLevel="0" collapsed="false">
      <c r="A34" s="3" t="s">
        <v>446</v>
      </c>
      <c r="B34" s="32" t="n">
        <f aca="false">B31+$H$33</f>
        <v>50594.6186440678</v>
      </c>
      <c r="C34" s="32" t="n">
        <f aca="false">C31+$H$33</f>
        <v>50594.6186440678</v>
      </c>
      <c r="D34" s="32" t="n">
        <f aca="false">D31+$H$33</f>
        <v>50594.6186440678</v>
      </c>
      <c r="E34" s="32" t="n">
        <f aca="false">E31+$H$33</f>
        <v>50594.6186440678</v>
      </c>
      <c r="F34" s="32" t="n">
        <f aca="false">F31+$H$33</f>
        <v>49764.9406779661</v>
      </c>
      <c r="G34" s="32" t="n">
        <f aca="false">G31+$H$33</f>
        <v>50594.6186440678</v>
      </c>
      <c r="H34" s="32" t="n">
        <f aca="false">H31+H33</f>
        <v>50528.3292571949</v>
      </c>
      <c r="I34" s="2"/>
    </row>
    <row r="35" customFormat="false" ht="15" hidden="false" customHeight="false" outlineLevel="0" collapsed="false">
      <c r="A35" s="15" t="s">
        <v>447</v>
      </c>
      <c r="B35" s="16"/>
      <c r="C35" s="16"/>
      <c r="D35" s="16"/>
      <c r="E35" s="16"/>
      <c r="F35" s="16"/>
      <c r="G35" s="16"/>
      <c r="H35" s="16"/>
      <c r="I35" s="16"/>
    </row>
    <row r="36" customFormat="false" ht="15" hidden="false" customHeight="false" outlineLevel="0" collapsed="false">
      <c r="A36" s="6" t="s">
        <v>448</v>
      </c>
      <c r="G36" s="7" t="n">
        <f aca="false">INDEX(Assumptions!$C$83:$E$83,$B$3)*INDEX(Assumptions!$C$84:$E$84,$B$3)</f>
        <v>30</v>
      </c>
      <c r="I36" s="2" t="s">
        <v>449</v>
      </c>
    </row>
    <row r="37" customFormat="false" ht="15" hidden="false" customHeight="false" outlineLevel="0" collapsed="false">
      <c r="A37" s="6" t="s">
        <v>450</v>
      </c>
      <c r="G37" s="12" t="n">
        <f aca="false">G36*INDEX(Assumptions!$C$63:$E$63,$B$3)*INDEX(Assumptions!$C$64:$E$64,$B$3)*INDEX(Assumptions!$C$44:$E$44,$B$3)*INDEX(Assumptions!$C$45:$E$45,$B$3)</f>
        <v>0.756</v>
      </c>
      <c r="I37" s="2" t="s">
        <v>451</v>
      </c>
    </row>
    <row r="38" customFormat="false" ht="15" hidden="false" customHeight="false" outlineLevel="0" collapsed="false">
      <c r="A38" s="6" t="s">
        <v>452</v>
      </c>
      <c r="G38" s="7" t="n">
        <f aca="false">INDEX(Assumptions!$C$89:$E$89,$B$3)*INDEX(Assumptions!$C$85:$E$85,$B$3)</f>
        <v>16</v>
      </c>
      <c r="I38" s="2" t="s">
        <v>292</v>
      </c>
    </row>
    <row r="39" customFormat="false" ht="15" hidden="false" customHeight="false" outlineLevel="0" collapsed="false">
      <c r="A39" s="6" t="s">
        <v>453</v>
      </c>
      <c r="G39" s="12" t="n">
        <f aca="false">G38*INDEX(Assumptions!$C$88:$E$88,$B$3)</f>
        <v>1.76</v>
      </c>
      <c r="I39" s="2"/>
    </row>
    <row r="40" customFormat="false" ht="15" hidden="false" customHeight="false" outlineLevel="0" collapsed="false">
      <c r="A40" s="6" t="s">
        <v>454</v>
      </c>
      <c r="G40" s="10" t="n">
        <f aca="false">G36*INDEX(Assumptions!$C$82:$E$82,$B$3)+INDEX(Assumptions!$C$89:$E$89,$B$3)*(INDEX(Assumptions!$C$87:$E$87,$B$3)-INDEX(Assumptions!$C$85:$E$85,$B$3)*INDEX(Assumptions!$C$86:$E$86,$B$3)/(1+INDEX(Assumptions!$C$15:$E$15,$B$3)))</f>
        <v>8674.57627118644</v>
      </c>
      <c r="I40" s="2"/>
    </row>
    <row r="41" customFormat="false" ht="15" hidden="false" customHeight="false" outlineLevel="0" collapsed="false">
      <c r="A41" s="15" t="s">
        <v>455</v>
      </c>
      <c r="B41" s="16"/>
      <c r="C41" s="16"/>
      <c r="D41" s="16"/>
      <c r="E41" s="16"/>
      <c r="F41" s="16"/>
      <c r="G41" s="16"/>
      <c r="H41" s="16"/>
      <c r="I41" s="16"/>
    </row>
    <row r="42" customFormat="false" ht="15" hidden="false" customHeight="false" outlineLevel="0" collapsed="false">
      <c r="A42" s="3" t="s">
        <v>456</v>
      </c>
      <c r="B42" s="32" t="n">
        <f aca="false">IFERROR(B24/B16,0)</f>
        <v>5445.07575757576</v>
      </c>
      <c r="C42" s="32" t="n">
        <f aca="false">IFERROR(C24/C16,0)</f>
        <v>7233.7962962963</v>
      </c>
      <c r="D42" s="32" t="n">
        <f aca="false">IFERROR(D24/D16,0)</f>
        <v>17500</v>
      </c>
      <c r="E42" s="32" t="n">
        <f aca="false">IFERROR(E24/E16,0)</f>
        <v>3000</v>
      </c>
      <c r="F42" s="32" t="n">
        <f aca="false">IFERROR(F24/F16,0)</f>
        <v>-1844.37307215315</v>
      </c>
      <c r="G42" s="32" t="n">
        <f aca="false">IFERROR(G24/G16,0)</f>
        <v>3447.76481366711</v>
      </c>
      <c r="H42" s="32" t="n">
        <f aca="false">H24/H16</f>
        <v>6282.60011699849</v>
      </c>
      <c r="I42" s="2"/>
    </row>
    <row r="43" customFormat="false" ht="15" hidden="false" customHeight="false" outlineLevel="0" collapsed="false">
      <c r="A43" s="6" t="s">
        <v>457</v>
      </c>
      <c r="B43" s="11" t="n">
        <f aca="false">IFERROR(B42/B28,0)</f>
        <v>0.100456369511248</v>
      </c>
      <c r="C43" s="11" t="n">
        <f aca="false">IFERROR(C42/C28,0)</f>
        <v>0.133456529543928</v>
      </c>
      <c r="D43" s="11" t="n">
        <f aca="false">IFERROR(D42/D28,0)</f>
        <v>0.32285803627267</v>
      </c>
      <c r="E43" s="11" t="n">
        <f aca="false">IFERROR(E42/E28,0)</f>
        <v>0.0553470919324578</v>
      </c>
      <c r="F43" s="11" t="n">
        <f aca="false">IFERROR(F42/F28,0)</f>
        <v>-0.0345667988936121</v>
      </c>
      <c r="G43" s="11" t="n">
        <f aca="false">IFERROR(G42/G28,0)</f>
        <v>0.0636079187011755</v>
      </c>
      <c r="H43" s="11" t="n">
        <f aca="false">H42/H28</f>
        <v>0.116052708157556</v>
      </c>
      <c r="I43" s="2"/>
    </row>
    <row r="44" customFormat="false" ht="15" hidden="false" customHeight="false" outlineLevel="0" collapsed="false">
      <c r="A44" s="6" t="s">
        <v>458</v>
      </c>
      <c r="B44" s="12" t="n">
        <f aca="false">IF(B42&lt;=0,"n/m (self-funding)",B34/B42)</f>
        <v>9.29181170228445</v>
      </c>
      <c r="C44" s="12" t="n">
        <f aca="false">IF(C42&lt;=0,"n/m (self-funding)",C34/C42)</f>
        <v>6.99420008135594</v>
      </c>
      <c r="D44" s="12" t="n">
        <f aca="false">IF(D42&lt;=0,"n/m (self-funding)",D34/D42)</f>
        <v>2.8911210653753</v>
      </c>
      <c r="E44" s="12" t="n">
        <f aca="false">IF(E42&lt;=0,"n/m (self-funding)",E34/E42)</f>
        <v>16.8648728813559</v>
      </c>
      <c r="F44" s="12" t="str">
        <f aca="false">IF(F42&lt;=0,"n/m (self-funding)",F34/F42)</f>
        <v>n/m (self-funding)</v>
      </c>
      <c r="G44" s="12" t="n">
        <f aca="false">IF(G42&lt;=0,"n/m (self-funding)",G34/G42)</f>
        <v>14.6746142438453</v>
      </c>
      <c r="H44" s="33" t="n">
        <f aca="false">H34/H42</f>
        <v>8.04258242068966</v>
      </c>
      <c r="I44" s="2"/>
    </row>
    <row r="45" customFormat="false" ht="15" hidden="false" customHeight="false" outlineLevel="0" collapsed="false">
      <c r="A45" s="6" t="s">
        <v>459</v>
      </c>
      <c r="B45" s="7" t="n">
        <f aca="false">IF(B42&lt;=0,0,B42/(B31/INDEX(Assumptions!$C$90:$E$90,$B$3)))</f>
        <v>0.26023448335113</v>
      </c>
      <c r="C45" s="7" t="n">
        <f aca="false">IF(C42&lt;=0,0,C42/(C31/INDEX(Assumptions!$C$90:$E$90,$B$3)))</f>
        <v>0.345722139717684</v>
      </c>
      <c r="D45" s="7" t="n">
        <f aca="false">IF(D42&lt;=0,0,D42/(D31/INDEX(Assumptions!$C$90:$E$90,$B$3)))</f>
        <v>0.836371000405022</v>
      </c>
      <c r="E45" s="7" t="n">
        <f aca="false">IF(E42&lt;=0,0,E42/(E31/INDEX(Assumptions!$C$90:$E$90,$B$3)))</f>
        <v>0.143377885783718</v>
      </c>
      <c r="F45" s="7" t="n">
        <f aca="false">IF(F42&lt;=0,0,F42/(F31/INDEX(Assumptions!$C$90:$E$90,$B$3)))</f>
        <v>0</v>
      </c>
      <c r="G45" s="7" t="n">
        <f aca="false">IF(G42&lt;=0,0,G42/(G31/INDEX(Assumptions!$C$90:$E$90,$B$3)))</f>
        <v>0.164777743221028</v>
      </c>
      <c r="H45" s="30" t="n">
        <f aca="false">H42/(H31/INDEX(Assumptions!$C$90:$E$90,$B$3))</f>
        <v>0.30073836523062</v>
      </c>
      <c r="I45" s="2" t="s">
        <v>460</v>
      </c>
    </row>
    <row r="46" customFormat="false" ht="15" hidden="false" customHeight="false" outlineLevel="0" collapsed="false">
      <c r="A46" s="3" t="s">
        <v>461</v>
      </c>
      <c r="H46" s="32" t="n">
        <f aca="false">(B24+C24+F24+G24)/(B16+C16+F16+G16)</f>
        <v>4419.09617946843</v>
      </c>
      <c r="I46" s="2" t="s">
        <v>462</v>
      </c>
    </row>
    <row r="47" customFormat="false" ht="15" hidden="false" customHeight="false" outlineLevel="0" collapsed="false">
      <c r="A47" s="3" t="s">
        <v>463</v>
      </c>
      <c r="H47" s="32" t="n">
        <f aca="false">(B24+C24+E24+F24)/H7</f>
        <v>3495.84467931667</v>
      </c>
      <c r="I47" s="2" t="s">
        <v>464</v>
      </c>
    </row>
    <row r="48" customFormat="false" ht="15" hidden="false" customHeight="false" outlineLevel="0" collapsed="false">
      <c r="A48" s="3" t="s">
        <v>465</v>
      </c>
      <c r="H48" s="32" t="n">
        <f aca="false">(B24+C24+F24)/(B16+C16+F16)</f>
        <v>4826.40779886112</v>
      </c>
      <c r="I48" s="2" t="s">
        <v>466</v>
      </c>
    </row>
    <row r="49" customFormat="false" ht="15" hidden="false" customHeight="false" outlineLevel="0" collapsed="false">
      <c r="A49" s="6" t="s">
        <v>467</v>
      </c>
      <c r="H49" s="8" t="n">
        <f aca="false">H17*2.5+H58*0.5</f>
        <v>564.537711078723</v>
      </c>
      <c r="I49" s="2" t="s">
        <v>468</v>
      </c>
    </row>
    <row r="50" customFormat="false" ht="15" hidden="false" customHeight="false" outlineLevel="0" collapsed="false">
      <c r="A50" s="6" t="s">
        <v>469</v>
      </c>
      <c r="H50" s="33" t="n">
        <f aca="false">H49/(INDEX(Assumptions!$C$77:$E$77,$B$3)*24)</f>
        <v>0.784080154276004</v>
      </c>
      <c r="I50" s="2"/>
    </row>
    <row r="51" customFormat="false" ht="15" hidden="false" customHeight="false" outlineLevel="0" collapsed="false">
      <c r="A51" s="6" t="s">
        <v>470</v>
      </c>
      <c r="H51" s="32" t="n">
        <f aca="false">(H24+MAX(1,ROUNDUP(H50,0))*INDEX(Assumptions!$C$112:$E$112,$B$3)+INDEX(Assumptions!$C$115:$E$115,$B$3)+INDEX(Assumptions!$C$111:$E$111,$B$3))/H16</f>
        <v>11316.1571639784</v>
      </c>
      <c r="I51" s="2" t="s">
        <v>471</v>
      </c>
    </row>
    <row r="52" customFormat="false" ht="15" hidden="false" customHeight="false" outlineLevel="0" collapsed="false">
      <c r="A52" s="6" t="s">
        <v>472</v>
      </c>
      <c r="H52" s="32" t="n">
        <f aca="false">B24+C24+F24+G24</f>
        <v>37633.0230643532</v>
      </c>
      <c r="I52" s="2"/>
    </row>
    <row r="53" customFormat="false" ht="15" hidden="false" customHeight="false" outlineLevel="0" collapsed="false">
      <c r="A53" s="6" t="s">
        <v>473</v>
      </c>
      <c r="D53" s="7" t="n">
        <f aca="false">D17-INDEX(Assumptions!$C$79:$E$79,$B$3)</f>
        <v>-0.127591706539086</v>
      </c>
      <c r="E53" s="7" t="n">
        <f aca="false">E17-INDEX(Assumptions!$C$80:$E$80,$B$3)</f>
        <v>-0.038612728267899</v>
      </c>
      <c r="I53" s="2" t="s">
        <v>474</v>
      </c>
    </row>
    <row r="55" customFormat="false" ht="15" hidden="false" customHeight="false" outlineLevel="0" collapsed="false">
      <c r="A55" s="15" t="s">
        <v>475</v>
      </c>
      <c r="B55" s="16"/>
      <c r="C55" s="16"/>
      <c r="D55" s="16"/>
      <c r="E55" s="16"/>
      <c r="F55" s="16"/>
      <c r="G55" s="16"/>
      <c r="H55" s="16"/>
      <c r="I55" s="16"/>
    </row>
    <row r="56" customFormat="false" ht="15" hidden="false" customHeight="false" outlineLevel="0" collapsed="false">
      <c r="A56" s="6" t="s">
        <v>476</v>
      </c>
      <c r="B56" s="7" t="n">
        <f aca="false">2.4*$H$7</f>
        <v>24</v>
      </c>
      <c r="C56" s="7" t="n">
        <f aca="false">1.5*$H$7</f>
        <v>15</v>
      </c>
      <c r="I56" s="2" t="s">
        <v>477</v>
      </c>
    </row>
    <row r="57" customFormat="false" ht="15" hidden="false" customHeight="false" outlineLevel="0" collapsed="false">
      <c r="A57" s="6" t="s">
        <v>478</v>
      </c>
      <c r="B57" s="11" t="n">
        <f aca="false">INDEX(Assumptions!$C$65:$E$65,$B$3)</f>
        <v>0.25</v>
      </c>
      <c r="C57" s="11" t="n">
        <f aca="false">INDEX(Assumptions!$C$66:$E$66,$B$3)</f>
        <v>0.17</v>
      </c>
      <c r="I57" s="2"/>
    </row>
    <row r="58" customFormat="false" ht="15" hidden="false" customHeight="false" outlineLevel="0" collapsed="false">
      <c r="A58" s="6" t="s">
        <v>479</v>
      </c>
      <c r="B58" s="7" t="n">
        <f aca="false">B56/B57</f>
        <v>96</v>
      </c>
      <c r="C58" s="7" t="n">
        <f aca="false">C56/C57</f>
        <v>88.2352941176471</v>
      </c>
      <c r="H58" s="7" t="n">
        <f aca="false">B58+C58</f>
        <v>184.235294117647</v>
      </c>
      <c r="I58" s="2"/>
    </row>
    <row r="59" customFormat="false" ht="15" hidden="false" customHeight="false" outlineLevel="0" collapsed="false">
      <c r="A59" s="6" t="s">
        <v>480</v>
      </c>
      <c r="B59" s="10" t="n">
        <f aca="false">B58*INDEX(Assumptions!$C$40:$E$40,$B$3)*INDEX(Assumptions!$C$38:$E$38,$B$3)</f>
        <v>7200</v>
      </c>
      <c r="C59" s="10" t="n">
        <f aca="false">C58*INDEX(Assumptions!$C$41:$E$41,$B$3)*INDEX(Assumptions!$C$39:$E$39,$B$3)</f>
        <v>10588.2352941176</v>
      </c>
      <c r="I59" s="2" t="s">
        <v>481</v>
      </c>
    </row>
    <row r="60" customFormat="false" ht="15" hidden="false" customHeight="false" outlineLevel="0" collapsed="false">
      <c r="A60" s="3" t="s">
        <v>482</v>
      </c>
      <c r="B60" s="32" t="n">
        <f aca="false">B59/B56</f>
        <v>300</v>
      </c>
      <c r="C60" s="32" t="n">
        <f aca="false">C59/C56</f>
        <v>705.882352941177</v>
      </c>
      <c r="I60" s="2"/>
    </row>
    <row r="61" customFormat="false" ht="15" hidden="false" customHeight="false" outlineLevel="0" collapsed="false">
      <c r="A61" s="6" t="s">
        <v>483</v>
      </c>
      <c r="I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486</v>
      </c>
    </row>
    <row r="2" customFormat="false" ht="15" hidden="false" customHeight="false" outlineLevel="0" collapsed="false">
      <c r="A2" s="2" t="s">
        <v>397</v>
      </c>
    </row>
    <row r="3" customFormat="false" ht="15" hidden="false" customHeight="false" outlineLevel="0" collapsed="false">
      <c r="A3" s="0" t="s">
        <v>82</v>
      </c>
      <c r="B3" s="29" t="n">
        <v>3</v>
      </c>
      <c r="C3" s="0" t="str">
        <f aca="false">CHOOSE(B3,"Conservative","Base","Aggressive")</f>
        <v>Aggressive</v>
      </c>
    </row>
    <row r="5" customFormat="false" ht="41.75" hidden="false" customHeight="false" outlineLevel="0" collapsed="false">
      <c r="A5" s="5" t="s">
        <v>398</v>
      </c>
      <c r="B5" s="5" t="s">
        <v>399</v>
      </c>
      <c r="C5" s="5" t="s">
        <v>400</v>
      </c>
      <c r="D5" s="5" t="s">
        <v>401</v>
      </c>
      <c r="E5" s="5" t="s">
        <v>402</v>
      </c>
      <c r="F5" s="5" t="s">
        <v>403</v>
      </c>
      <c r="G5" s="5" t="s">
        <v>404</v>
      </c>
      <c r="H5" s="5" t="s">
        <v>405</v>
      </c>
      <c r="I5" s="5" t="s">
        <v>406</v>
      </c>
    </row>
    <row r="6" customFormat="false" ht="15" hidden="false" customHeight="false" outlineLevel="0" collapsed="false">
      <c r="A6" s="15" t="s">
        <v>407</v>
      </c>
      <c r="B6" s="16"/>
      <c r="C6" s="16"/>
      <c r="D6" s="16"/>
      <c r="E6" s="16"/>
      <c r="F6" s="16"/>
      <c r="G6" s="16"/>
      <c r="H6" s="16"/>
      <c r="I6" s="16"/>
    </row>
    <row r="7" customFormat="false" ht="15" hidden="false" customHeight="false" outlineLevel="0" collapsed="false">
      <c r="A7" s="6" t="s">
        <v>408</v>
      </c>
      <c r="H7" s="30" t="n">
        <f aca="false">INDEX(Assumptions!$C$27:$E$27,$B$3)</f>
        <v>15</v>
      </c>
      <c r="I7" s="2" t="s">
        <v>409</v>
      </c>
    </row>
    <row r="8" customFormat="false" ht="15" hidden="false" customHeight="false" outlineLevel="0" collapsed="false">
      <c r="A8" s="6" t="s">
        <v>410</v>
      </c>
      <c r="B8" s="11" t="n">
        <f aca="false">INDEX(Assumptions!$C$29:$E$29,$B$3)</f>
        <v>0.3</v>
      </c>
      <c r="C8" s="11" t="n">
        <f aca="false">INDEX(Assumptions!$C$30:$E$30,$B$3)</f>
        <v>0.2</v>
      </c>
      <c r="D8" s="11" t="n">
        <f aca="false">INDEX(Assumptions!$C$31:$E$31,$B$3)</f>
        <v>0.2</v>
      </c>
      <c r="E8" s="11" t="n">
        <f aca="false">INDEX(Assumptions!$C$32:$E$32,$B$3)</f>
        <v>0.2</v>
      </c>
      <c r="F8" s="11" t="n">
        <f aca="false">INDEX(Assumptions!$C$33:$E$33,$B$3)</f>
        <v>0.1</v>
      </c>
      <c r="H8" s="11" t="n">
        <f aca="false">SUM(B8:F8)</f>
        <v>1</v>
      </c>
      <c r="I8" s="2"/>
    </row>
    <row r="9" customFormat="false" ht="15" hidden="false" customHeight="false" outlineLevel="0" collapsed="false">
      <c r="A9" s="15" t="s">
        <v>411</v>
      </c>
      <c r="B9" s="16"/>
      <c r="C9" s="16"/>
      <c r="D9" s="16"/>
      <c r="E9" s="16"/>
      <c r="F9" s="16"/>
      <c r="G9" s="16"/>
      <c r="H9" s="16"/>
      <c r="I9" s="16"/>
    </row>
    <row r="10" customFormat="false" ht="15" hidden="false" customHeight="false" outlineLevel="0" collapsed="false">
      <c r="A10" s="6" t="s">
        <v>412</v>
      </c>
      <c r="B10" s="11" t="n">
        <f aca="false">INDEX(Assumptions!$C$42:$E$42,$B$3)</f>
        <v>0.45</v>
      </c>
      <c r="C10" s="11" t="n">
        <f aca="false">INDEX(Assumptions!$C$46:$E$46,$B$3)</f>
        <v>0.5</v>
      </c>
      <c r="D10" s="11" t="n">
        <f aca="false">INDEX(Assumptions!$C$50:$E$50,$B$3)</f>
        <v>0.45</v>
      </c>
      <c r="E10" s="11" t="n">
        <f aca="false">INDEX(Assumptions!$C$54:$E$54,$B$3)</f>
        <v>0.8</v>
      </c>
      <c r="F10" s="11" t="n">
        <f aca="false">INDEX(Assumptions!$C$58:$E$58,$B$3)</f>
        <v>0.9</v>
      </c>
      <c r="I10" s="2" t="s">
        <v>413</v>
      </c>
    </row>
    <row r="11" customFormat="false" ht="15" hidden="false" customHeight="false" outlineLevel="0" collapsed="false">
      <c r="A11" s="6" t="s">
        <v>414</v>
      </c>
      <c r="B11" s="11" t="n">
        <f aca="false">INDEX(Assumptions!$C$43:$E$43,$B$3)</f>
        <v>0.65</v>
      </c>
      <c r="C11" s="11" t="n">
        <f aca="false">INDEX(Assumptions!$C$47:$E$47,$B$3)</f>
        <v>0.65</v>
      </c>
      <c r="D11" s="11" t="n">
        <f aca="false">INDEX(Assumptions!$C$51:$E$51,$B$3)</f>
        <v>0.65</v>
      </c>
      <c r="E11" s="11" t="n">
        <f aca="false">INDEX(Assumptions!$C$55:$E$55,$B$3)</f>
        <v>0.8</v>
      </c>
      <c r="F11" s="11" t="n">
        <f aca="false">INDEX(Assumptions!$C$59:$E$59,$B$3)</f>
        <v>0.8</v>
      </c>
      <c r="I11" s="2"/>
    </row>
    <row r="12" customFormat="false" ht="15" hidden="false" customHeight="false" outlineLevel="0" collapsed="false">
      <c r="A12" s="6" t="s">
        <v>415</v>
      </c>
      <c r="B12" s="11" t="n">
        <f aca="false">INDEX(Assumptions!$C$44:$E$44,$B$3)</f>
        <v>0.35</v>
      </c>
      <c r="C12" s="11" t="n">
        <f aca="false">INDEX(Assumptions!$C$48:$E$48,$B$3)</f>
        <v>0.35</v>
      </c>
      <c r="D12" s="11" t="n">
        <f aca="false">INDEX(Assumptions!$C$52:$E$52,$B$3)</f>
        <v>0.35</v>
      </c>
      <c r="E12" s="11" t="n">
        <f aca="false">INDEX(Assumptions!$C$56:$E$56,$B$3)</f>
        <v>0.6</v>
      </c>
      <c r="F12" s="11" t="n">
        <f aca="false">INDEX(Assumptions!$C$60:$E$60,$B$3)</f>
        <v>0.25</v>
      </c>
      <c r="I12" s="2"/>
    </row>
    <row r="13" customFormat="false" ht="15" hidden="false" customHeight="false" outlineLevel="0" collapsed="false">
      <c r="A13" s="6" t="s">
        <v>416</v>
      </c>
      <c r="B13" s="11" t="n">
        <f aca="false">INDEX(Assumptions!$C$45:$E$45,$B$3)</f>
        <v>0.85</v>
      </c>
      <c r="C13" s="11" t="n">
        <f aca="false">INDEX(Assumptions!$C$49:$E$49,$B$3)</f>
        <v>0.85</v>
      </c>
      <c r="D13" s="11" t="n">
        <f aca="false">INDEX(Assumptions!$C$53:$E$53,$B$3)</f>
        <v>0.85</v>
      </c>
      <c r="E13" s="11" t="n">
        <f aca="false">INDEX(Assumptions!$C$57:$E$57,$B$3)</f>
        <v>0.92</v>
      </c>
      <c r="F13" s="11" t="n">
        <f aca="false">1</f>
        <v>1</v>
      </c>
      <c r="I13" s="2"/>
    </row>
    <row r="14" customFormat="false" ht="15" hidden="false" customHeight="false" outlineLevel="0" collapsed="false">
      <c r="A14" s="3" t="s">
        <v>28</v>
      </c>
      <c r="B14" s="31" t="n">
        <f aca="false">B10*B11*B12*B13</f>
        <v>0.08701875</v>
      </c>
      <c r="C14" s="31" t="n">
        <f aca="false">C10*C11*C12*C13</f>
        <v>0.0966875</v>
      </c>
      <c r="D14" s="31" t="n">
        <f aca="false">D10*D11*D12*D13</f>
        <v>0.08701875</v>
      </c>
      <c r="E14" s="31" t="n">
        <f aca="false">E10*E11*E12*E13</f>
        <v>0.35328</v>
      </c>
      <c r="F14" s="31" t="n">
        <f aca="false">F10*F11*F12*F13</f>
        <v>0.18</v>
      </c>
      <c r="G14" s="9" t="n">
        <f aca="false">IFERROR(G16/G17,0)</f>
        <v>0.101775</v>
      </c>
      <c r="H14" s="31" t="n">
        <f aca="false">H16/H17</f>
        <v>0.108119321717985</v>
      </c>
      <c r="I14" s="2" t="s">
        <v>417</v>
      </c>
    </row>
    <row r="15" customFormat="false" ht="15" hidden="false" customHeight="false" outlineLevel="0" collapsed="false">
      <c r="A15" s="15" t="s">
        <v>418</v>
      </c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6" t="s">
        <v>419</v>
      </c>
      <c r="B16" s="7" t="n">
        <f aca="false">$H$7*B8</f>
        <v>4.5</v>
      </c>
      <c r="C16" s="7" t="n">
        <f aca="false">$H$7*C8</f>
        <v>3</v>
      </c>
      <c r="D16" s="7" t="n">
        <f aca="false">$H$7*D8</f>
        <v>3</v>
      </c>
      <c r="E16" s="7" t="n">
        <f aca="false">$H$7*E8</f>
        <v>3</v>
      </c>
      <c r="F16" s="7" t="n">
        <f aca="false">$H$7*F8</f>
        <v>1.5</v>
      </c>
      <c r="G16" s="7" t="n">
        <f aca="false">G37+G39</f>
        <v>8.142</v>
      </c>
      <c r="H16" s="30" t="n">
        <f aca="false">SUM(B16:G16)</f>
        <v>23.142</v>
      </c>
      <c r="I16" s="2"/>
    </row>
    <row r="17" customFormat="false" ht="15" hidden="false" customHeight="false" outlineLevel="0" collapsed="false">
      <c r="A17" s="6" t="s">
        <v>420</v>
      </c>
      <c r="B17" s="7" t="n">
        <f aca="false">IFERROR(B16/B14,0)</f>
        <v>51.7129928894635</v>
      </c>
      <c r="C17" s="7" t="n">
        <f aca="false">IFERROR(C16/C14,0)</f>
        <v>31.0277957336781</v>
      </c>
      <c r="D17" s="7" t="n">
        <f aca="false">IFERROR(D16/D14,0)</f>
        <v>34.4753285929757</v>
      </c>
      <c r="E17" s="7" t="n">
        <f aca="false">IFERROR(E16/E14,0)</f>
        <v>8.49184782608695</v>
      </c>
      <c r="F17" s="7" t="n">
        <f aca="false">IFERROR(F16/F14,0)</f>
        <v>8.33333333333333</v>
      </c>
      <c r="G17" s="7" t="n">
        <f aca="false">G36+G38</f>
        <v>80</v>
      </c>
      <c r="H17" s="30" t="n">
        <f aca="false">SUM(B17:G17)</f>
        <v>214.041298375538</v>
      </c>
      <c r="I17" s="2" t="s">
        <v>421</v>
      </c>
    </row>
    <row r="18" customFormat="false" ht="15" hidden="false" customHeight="false" outlineLevel="0" collapsed="false">
      <c r="A18" s="6" t="s">
        <v>422</v>
      </c>
      <c r="B18" s="7" t="n">
        <f aca="false">B17*B10</f>
        <v>23.2708468002586</v>
      </c>
      <c r="C18" s="7" t="n">
        <f aca="false">C17*C10</f>
        <v>15.513897866839</v>
      </c>
      <c r="D18" s="7" t="n">
        <f aca="false">D17*D10</f>
        <v>15.513897866839</v>
      </c>
      <c r="E18" s="7" t="n">
        <f aca="false">E17*E10</f>
        <v>6.79347826086956</v>
      </c>
      <c r="F18" s="7" t="n">
        <f aca="false">F17*F10</f>
        <v>7.5</v>
      </c>
      <c r="H18" s="30" t="n">
        <f aca="false">SUM(B18:G18)</f>
        <v>68.5921207948062</v>
      </c>
      <c r="I18" s="2"/>
    </row>
    <row r="19" customFormat="false" ht="15" hidden="false" customHeight="false" outlineLevel="0" collapsed="false">
      <c r="A19" s="6" t="s">
        <v>423</v>
      </c>
      <c r="B19" s="7" t="n">
        <f aca="false">B18*B11</f>
        <v>15.1260504201681</v>
      </c>
      <c r="C19" s="7" t="n">
        <f aca="false">C18*C11</f>
        <v>10.0840336134454</v>
      </c>
      <c r="D19" s="7" t="n">
        <f aca="false">D18*D11</f>
        <v>10.0840336134454</v>
      </c>
      <c r="E19" s="7" t="n">
        <f aca="false">E18*E11</f>
        <v>5.43478260869565</v>
      </c>
      <c r="F19" s="7" t="n">
        <f aca="false">F18*F11</f>
        <v>6</v>
      </c>
      <c r="H19" s="30" t="n">
        <f aca="false">SUM(B19:G19)</f>
        <v>46.7289002557545</v>
      </c>
      <c r="I19" s="2"/>
    </row>
    <row r="20" customFormat="false" ht="15" hidden="false" customHeight="false" outlineLevel="0" collapsed="false">
      <c r="A20" s="6" t="s">
        <v>424</v>
      </c>
      <c r="B20" s="7" t="n">
        <f aca="false">B19*B12</f>
        <v>5.29411764705882</v>
      </c>
      <c r="C20" s="7" t="n">
        <f aca="false">C19*C12</f>
        <v>3.52941176470588</v>
      </c>
      <c r="D20" s="7" t="n">
        <f aca="false">D19*D12</f>
        <v>3.52941176470588</v>
      </c>
      <c r="E20" s="7" t="n">
        <f aca="false">E19*E12</f>
        <v>3.26086956521739</v>
      </c>
      <c r="F20" s="7" t="n">
        <f aca="false">F19*F12</f>
        <v>1.5</v>
      </c>
      <c r="H20" s="30" t="n">
        <f aca="false">SUM(B20:G20)</f>
        <v>17.113810741688</v>
      </c>
      <c r="I20" s="2"/>
    </row>
    <row r="21" customFormat="false" ht="15" hidden="false" customHeight="false" outlineLevel="0" collapsed="false">
      <c r="A21" s="6" t="s">
        <v>425</v>
      </c>
      <c r="B21" s="7" t="n">
        <f aca="false">B20*B13</f>
        <v>4.5</v>
      </c>
      <c r="C21" s="7" t="n">
        <f aca="false">C20*C13</f>
        <v>3</v>
      </c>
      <c r="D21" s="7" t="n">
        <f aca="false">D20*D13</f>
        <v>3</v>
      </c>
      <c r="E21" s="7" t="n">
        <f aca="false">E20*E13</f>
        <v>3</v>
      </c>
      <c r="F21" s="7" t="n">
        <f aca="false">F20*F13</f>
        <v>1.5</v>
      </c>
      <c r="G21" s="7" t="n">
        <f aca="false">G16</f>
        <v>8.142</v>
      </c>
      <c r="H21" s="30" t="n">
        <f aca="false">SUM(B21:G21)</f>
        <v>23.142</v>
      </c>
      <c r="I21" s="2"/>
    </row>
    <row r="22" customFormat="false" ht="15" hidden="false" customHeight="false" outlineLevel="0" collapsed="false">
      <c r="A22" s="15" t="s">
        <v>426</v>
      </c>
      <c r="B22" s="16"/>
      <c r="C22" s="16"/>
      <c r="D22" s="16"/>
      <c r="E22" s="16"/>
      <c r="F22" s="16"/>
      <c r="G22" s="16"/>
      <c r="H22" s="16"/>
      <c r="I22" s="16"/>
    </row>
    <row r="23" customFormat="false" ht="15" hidden="false" customHeight="false" outlineLevel="0" collapsed="false">
      <c r="A23" s="6" t="s">
        <v>427</v>
      </c>
      <c r="B23" s="10" t="n">
        <f aca="false">(1-INDEX(Assumptions!$C$76:$E$76,$B$3))*INDEX(Assumptions!$C$34:$E$34,$B$3)+INDEX(Assumptions!$C$76:$E$76,$B$3)*INDEX(Assumptions!$C$35:$E$35,$B$3)</f>
        <v>139.5</v>
      </c>
      <c r="C23" s="10" t="n">
        <f aca="false">INDEX(Assumptions!$C$36:$E$36,$B$3)</f>
        <v>300</v>
      </c>
      <c r="F23" s="10" t="n">
        <f aca="false">INDEX(Assumptions!$C$37:$E$37,$B$3)</f>
        <v>200</v>
      </c>
      <c r="I23" s="2" t="s">
        <v>428</v>
      </c>
    </row>
    <row r="24" customFormat="false" ht="15" hidden="false" customHeight="false" outlineLevel="0" collapsed="false">
      <c r="A24" s="6" t="s">
        <v>429</v>
      </c>
      <c r="B24" s="10" t="n">
        <f aca="false">B17*B23</f>
        <v>7213.96250808015</v>
      </c>
      <c r="C24" s="10" t="n">
        <f aca="false">C17*C23</f>
        <v>9308.33872010343</v>
      </c>
      <c r="D24" s="10" t="n">
        <f aca="false">INDEX(Assumptions!$C$114:$E$114,$B$3)+INDEX(Assumptions!$C$117:$E$117,$B$3)</f>
        <v>50000</v>
      </c>
      <c r="E24" s="10" t="n">
        <f aca="false">E16*INDEX(Assumptions!$C$71:$E$71,$B$3)</f>
        <v>6000</v>
      </c>
      <c r="F24" s="10" t="n">
        <f aca="false">F17*(F23+INDEX(Assumptions!$C$102:$E$102,$B$3))-F17*INDEX(Assumptions!$C$18:$E$18,$B$3)/(1+INDEX(Assumptions!$C$15:$E$15,$B$3))</f>
        <v>-3721.75141242938</v>
      </c>
      <c r="G24" s="10" t="n">
        <f aca="false">G40</f>
        <v>-3413.5593220339</v>
      </c>
      <c r="H24" s="32" t="n">
        <f aca="false">SUM(B24:G24)</f>
        <v>65386.9904937203</v>
      </c>
      <c r="I24" s="2" t="s">
        <v>430</v>
      </c>
    </row>
    <row r="25" customFormat="false" ht="15" hidden="false" customHeight="false" outlineLevel="0" collapsed="false">
      <c r="A25" s="6" t="s">
        <v>431</v>
      </c>
      <c r="F25" s="10" t="n">
        <f aca="false">-F17*INDEX(Assumptions!$C$18:$E$18,$B$3)/(1+INDEX(Assumptions!$C$15:$E$15,$B$3))</f>
        <v>-7055.08474576271</v>
      </c>
      <c r="I25" s="2" t="s">
        <v>432</v>
      </c>
    </row>
    <row r="26" customFormat="false" ht="15" hidden="false" customHeight="false" outlineLevel="0" collapsed="false">
      <c r="A26" s="15" t="s">
        <v>433</v>
      </c>
      <c r="B26" s="16"/>
      <c r="C26" s="16"/>
      <c r="D26" s="16"/>
      <c r="E26" s="16"/>
      <c r="F26" s="16"/>
      <c r="G26" s="16"/>
      <c r="H26" s="16"/>
      <c r="I26" s="16"/>
    </row>
    <row r="27" customFormat="false" ht="15" hidden="false" customHeight="false" outlineLevel="0" collapsed="false">
      <c r="A27" s="6" t="s">
        <v>434</v>
      </c>
      <c r="H27" s="10" t="n">
        <f aca="false">IF(INDEX(Assumptions!$C$94:$E$94,$B$3)&lt;=7,INDEX(Assumptions!$C$21:$E$21,$B$3),INDEX(Assumptions!$C$10:$E$10,$B$3))</f>
        <v>100000</v>
      </c>
      <c r="I27" s="2" t="s">
        <v>435</v>
      </c>
    </row>
    <row r="28" customFormat="false" ht="15" hidden="false" customHeight="false" outlineLevel="0" collapsed="false">
      <c r="A28" s="6" t="s">
        <v>436</v>
      </c>
      <c r="B28" s="10" t="n">
        <f aca="false">(INDEX(Assumptions!$C$28:$E$28,$B$3)*$H$27+(1-INDEX(Assumptions!$C$28:$E$28,$B$3))*INDEX(Assumptions!$C$19:$E$19,$B$3))/(1+INDEX(Assumptions!$C$15:$E$15,$B$3)*INDEX(Assumptions!$C$16:$E$16,$B$3))</f>
        <v>70762.7118644068</v>
      </c>
      <c r="C28" s="10" t="n">
        <f aca="false">(INDEX(Assumptions!$C$28:$E$28,$B$3)*$H$27+(1-INDEX(Assumptions!$C$28:$E$28,$B$3))*INDEX(Assumptions!$C$19:$E$19,$B$3))/(1+INDEX(Assumptions!$C$15:$E$15,$B$3)*INDEX(Assumptions!$C$16:$E$16,$B$3))</f>
        <v>70762.7118644068</v>
      </c>
      <c r="D28" s="10" t="n">
        <f aca="false">(INDEX(Assumptions!$C$28:$E$28,$B$3)*$H$27+(1-INDEX(Assumptions!$C$28:$E$28,$B$3))*INDEX(Assumptions!$C$19:$E$19,$B$3))/(1+INDEX(Assumptions!$C$15:$E$15,$B$3)*INDEX(Assumptions!$C$16:$E$16,$B$3))</f>
        <v>70762.7118644068</v>
      </c>
      <c r="E28" s="10" t="n">
        <f aca="false">(INDEX(Assumptions!$C$28:$E$28,$B$3)*$H$27+(1-INDEX(Assumptions!$C$28:$E$28,$B$3))*INDEX(Assumptions!$C$19:$E$19,$B$3))/(1+INDEX(Assumptions!$C$15:$E$15,$B$3)*INDEX(Assumptions!$C$16:$E$16,$B$3))</f>
        <v>70762.7118644068</v>
      </c>
      <c r="F28" s="10" t="n">
        <f aca="false">(INDEX(Assumptions!$C$28:$E$28,$B$3)*$H$27+(1-INDEX(Assumptions!$C$28:$E$28,$B$3))*INDEX(Assumptions!$C$19:$E$19,$B$3)-INDEX(Assumptions!$C$18:$E$18,$B$3))/(1+INDEX(Assumptions!$C$15:$E$15,$B$3)*INDEX(Assumptions!$C$16:$E$16,$B$3))</f>
        <v>69916.1016949153</v>
      </c>
      <c r="G28" s="10" t="n">
        <f aca="false">(INDEX(Assumptions!$C$28:$E$28,$B$3)*$H$27+(1-INDEX(Assumptions!$C$28:$E$28,$B$3))*INDEX(Assumptions!$C$19:$E$19,$B$3))/(1+INDEX(Assumptions!$C$15:$E$15,$B$3)*INDEX(Assumptions!$C$16:$E$16,$B$3))</f>
        <v>70762.7118644068</v>
      </c>
      <c r="H28" s="32" t="n">
        <f aca="false">SUMPRODUCT(B28:G28,B16:G16)/H16</f>
        <v>70707.8369506466</v>
      </c>
      <c r="I28" s="2" t="s">
        <v>437</v>
      </c>
    </row>
    <row r="29" customFormat="false" ht="15" hidden="false" customHeight="false" outlineLevel="0" collapsed="false">
      <c r="A29" s="6" t="s">
        <v>438</v>
      </c>
      <c r="H29" s="10" t="n">
        <f aca="false">(INDEX(Assumptions!$C$105:$E$105,$B$3)+INDEX(Assumptions!$C$106:$E$106,$B$3))/INDEX(Assumptions!$C$107:$E$107,$B$3)/INDEX(Assumptions!$C$108:$E$108,$B$3)</f>
        <v>2181.81818181818</v>
      </c>
      <c r="I29" s="2" t="s">
        <v>439</v>
      </c>
    </row>
    <row r="30" customFormat="false" ht="15" hidden="false" customHeight="false" outlineLevel="0" collapsed="false">
      <c r="A30" s="6" t="s">
        <v>440</v>
      </c>
      <c r="B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B28*INDEX(Assumptions!$C$78:$E$78,$B$3)</f>
        <v>10816.0246533128</v>
      </c>
      <c r="C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C28*INDEX(Assumptions!$C$78:$E$78,$B$3)</f>
        <v>10816.0246533128</v>
      </c>
      <c r="D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D28*INDEX(Assumptions!$C$78:$E$78,$B$3)</f>
        <v>10816.0246533128</v>
      </c>
      <c r="E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E28*INDEX(Assumptions!$C$78:$E$78,$B$3)</f>
        <v>10816.0246533128</v>
      </c>
      <c r="F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F28*INDEX(Assumptions!$C$78:$E$78,$B$3)</f>
        <v>10800.7856702619</v>
      </c>
      <c r="G30" s="10" t="n">
        <f aca="false">INDEX(Assumptions!$C$28:$E$28,$B$3)*(INDEX(Assumptions!$C$97:$E$97,$B$3)+IF(INDEX(Assumptions!$C$94:$E$94,$B$3)&lt;=7,0,INDEX(Assumptions!$C$14:$E$14,$B$3))+INDEX(Assumptions!$C$109:$E$109,$B$3)*$H$29+$H$27/(1+INDEX(Assumptions!$C$15:$E$15,$B$3)*INDEX(Assumptions!$C$16:$E$16,$B$3))*INDEX(Assumptions!$C$72:$E$72,$B$3)*INDEX(Assumptions!$C$73:$E$73,$B$3))+(1-INDEX(Assumptions!$C$28:$E$28,$B$3))*(INDEX(Assumptions!$C$98:$E$98,$B$3)+$H$29)+G28*INDEX(Assumptions!$C$78:$E$78,$B$3)</f>
        <v>10816.0246533128</v>
      </c>
      <c r="H30" s="10" t="n">
        <f aca="false">SUMPRODUCT(B30:G30,B16:G16)/H16</f>
        <v>10815.0369048651</v>
      </c>
      <c r="I30" s="2" t="s">
        <v>441</v>
      </c>
    </row>
    <row r="31" customFormat="false" ht="15" hidden="false" customHeight="false" outlineLevel="0" collapsed="false">
      <c r="A31" s="3" t="s">
        <v>442</v>
      </c>
      <c r="B31" s="32" t="n">
        <f aca="false">B28-B30</f>
        <v>59946.687211094</v>
      </c>
      <c r="C31" s="32" t="n">
        <f aca="false">C28-C30</f>
        <v>59946.687211094</v>
      </c>
      <c r="D31" s="32" t="n">
        <f aca="false">D28-D30</f>
        <v>59946.687211094</v>
      </c>
      <c r="E31" s="32" t="n">
        <f aca="false">E28-E30</f>
        <v>59946.687211094</v>
      </c>
      <c r="F31" s="32" t="n">
        <f aca="false">F28-F30</f>
        <v>59115.3160246533</v>
      </c>
      <c r="G31" s="32" t="n">
        <f aca="false">G28-G30</f>
        <v>59946.687211094</v>
      </c>
      <c r="H31" s="32" t="n">
        <f aca="false">H28-H30</f>
        <v>59892.8000457815</v>
      </c>
      <c r="I31" s="2"/>
    </row>
    <row r="32" customFormat="false" ht="15" hidden="false" customHeight="false" outlineLevel="0" collapsed="false">
      <c r="A32" s="6" t="s">
        <v>443</v>
      </c>
      <c r="B32" s="11" t="n">
        <f aca="false">IFERROR(B31/B28,0)</f>
        <v>0.84715078933043</v>
      </c>
      <c r="C32" s="11" t="n">
        <f aca="false">IFERROR(C31/C28,0)</f>
        <v>0.84715078933043</v>
      </c>
      <c r="D32" s="11" t="n">
        <f aca="false">IFERROR(D31/D28,0)</f>
        <v>0.84715078933043</v>
      </c>
      <c r="E32" s="11" t="n">
        <f aca="false">IFERROR(E31/E28,0)</f>
        <v>0.84715078933043</v>
      </c>
      <c r="F32" s="11" t="n">
        <f aca="false">IFERROR(F31/F28,0)</f>
        <v>0.845517907771917</v>
      </c>
      <c r="G32" s="11" t="n">
        <f aca="false">IFERROR(G31/G28,0)</f>
        <v>0.84715078933043</v>
      </c>
      <c r="H32" s="11" t="n">
        <f aca="false">H31/H28</f>
        <v>0.847046135601434</v>
      </c>
      <c r="I32" s="2"/>
    </row>
    <row r="33" customFormat="false" ht="15" hidden="false" customHeight="false" outlineLevel="0" collapsed="false">
      <c r="A33" s="6" t="s">
        <v>444</v>
      </c>
      <c r="H33" s="10" t="n">
        <f aca="false">(1-INDEX(Assumptions!$C$28:$E$28,$B$3))*INDEX(Assumptions!$C$92:$E$92,$B$3)*((INDEX(Assumptions!$C$21:$E$21,$B$3)-INDEX(Assumptions!$C$19:$E$19,$B$3))/(1+INDEX(Assumptions!$C$15:$E$15,$B$3)*INDEX(Assumptions!$C$16:$E$16,$B$3))-INDEX(Assumptions!$C$97:$E$97,$B$3)-2*$H$29)+INDEX(Assumptions!$C$91:$E$91,$B$3)*(INDEX(Assumptions!$C$22:$E$22,$B$3)/(1+INDEX(Assumptions!$C$15:$E$15,$B$3)*INDEX(Assumptions!$C$16:$E$16,$B$3))-INDEX(Assumptions!$C$100:$E$100,$B$3))+INDEX(Assumptions!$C$69:$E$69,$B$3)*INDEX(Assumptions!$C$74:$E$74,$B$3)*(INDEX(Assumptions!$C$24:$E$24,$B$3)/(1+INDEX(Assumptions!$C$15:$E$15,$B$3)*INDEX(Assumptions!$C$16:$E$16,$B$3))-INDEX(Assumptions!$C$103:$E$103,$B$3))+INDEX(Assumptions!$C$28:$E$28,$B$3)*IF(INDEX(Assumptions!$C$94:$E$94,$B$3)&lt;=7,INDEX(Assumptions!$C$93:$E$93,$B$3),0)</f>
        <v>18188.0988058552</v>
      </c>
      <c r="I33" s="2" t="s">
        <v>445</v>
      </c>
    </row>
    <row r="34" customFormat="false" ht="15" hidden="false" customHeight="false" outlineLevel="0" collapsed="false">
      <c r="A34" s="3" t="s">
        <v>446</v>
      </c>
      <c r="B34" s="32" t="n">
        <f aca="false">B31+$H$33</f>
        <v>78134.7860169492</v>
      </c>
      <c r="C34" s="32" t="n">
        <f aca="false">C31+$H$33</f>
        <v>78134.7860169492</v>
      </c>
      <c r="D34" s="32" t="n">
        <f aca="false">D31+$H$33</f>
        <v>78134.7860169492</v>
      </c>
      <c r="E34" s="32" t="n">
        <f aca="false">E31+$H$33</f>
        <v>78134.7860169492</v>
      </c>
      <c r="F34" s="32" t="n">
        <f aca="false">F31+$H$33</f>
        <v>77303.4148305085</v>
      </c>
      <c r="G34" s="32" t="n">
        <f aca="false">G31+$H$33</f>
        <v>78134.7860169492</v>
      </c>
      <c r="H34" s="32" t="n">
        <f aca="false">H31+H33</f>
        <v>78080.8988516367</v>
      </c>
      <c r="I34" s="2"/>
    </row>
    <row r="35" customFormat="false" ht="15" hidden="false" customHeight="false" outlineLevel="0" collapsed="false">
      <c r="A35" s="15" t="s">
        <v>447</v>
      </c>
      <c r="B35" s="16"/>
      <c r="C35" s="16"/>
      <c r="D35" s="16"/>
      <c r="E35" s="16"/>
      <c r="F35" s="16"/>
      <c r="G35" s="16"/>
      <c r="H35" s="16"/>
      <c r="I35" s="16"/>
    </row>
    <row r="36" customFormat="false" ht="15" hidden="false" customHeight="false" outlineLevel="0" collapsed="false">
      <c r="A36" s="6" t="s">
        <v>448</v>
      </c>
      <c r="G36" s="7" t="n">
        <f aca="false">INDEX(Assumptions!$C$83:$E$83,$B$3)*INDEX(Assumptions!$C$84:$E$84,$B$3)</f>
        <v>40</v>
      </c>
      <c r="I36" s="2" t="s">
        <v>449</v>
      </c>
    </row>
    <row r="37" customFormat="false" ht="15" hidden="false" customHeight="false" outlineLevel="0" collapsed="false">
      <c r="A37" s="6" t="s">
        <v>450</v>
      </c>
      <c r="G37" s="12" t="n">
        <f aca="false">G36*INDEX(Assumptions!$C$63:$E$63,$B$3)*INDEX(Assumptions!$C$64:$E$64,$B$3)*INDEX(Assumptions!$C$44:$E$44,$B$3)*INDEX(Assumptions!$C$45:$E$45,$B$3)</f>
        <v>2.142</v>
      </c>
      <c r="I37" s="2" t="s">
        <v>451</v>
      </c>
    </row>
    <row r="38" customFormat="false" ht="15" hidden="false" customHeight="false" outlineLevel="0" collapsed="false">
      <c r="A38" s="6" t="s">
        <v>452</v>
      </c>
      <c r="G38" s="7" t="n">
        <f aca="false">INDEX(Assumptions!$C$89:$E$89,$B$3)*INDEX(Assumptions!$C$85:$E$85,$B$3)</f>
        <v>40</v>
      </c>
      <c r="I38" s="2" t="s">
        <v>292</v>
      </c>
    </row>
    <row r="39" customFormat="false" ht="15" hidden="false" customHeight="false" outlineLevel="0" collapsed="false">
      <c r="A39" s="6" t="s">
        <v>453</v>
      </c>
      <c r="G39" s="12" t="n">
        <f aca="false">G38*INDEX(Assumptions!$C$88:$E$88,$B$3)</f>
        <v>6</v>
      </c>
      <c r="I39" s="2"/>
    </row>
    <row r="40" customFormat="false" ht="15" hidden="false" customHeight="false" outlineLevel="0" collapsed="false">
      <c r="A40" s="6" t="s">
        <v>454</v>
      </c>
      <c r="G40" s="10" t="n">
        <f aca="false">G36*INDEX(Assumptions!$C$82:$E$82,$B$3)+INDEX(Assumptions!$C$89:$E$89,$B$3)*(INDEX(Assumptions!$C$87:$E$87,$B$3)-INDEX(Assumptions!$C$85:$E$85,$B$3)*INDEX(Assumptions!$C$86:$E$86,$B$3)/(1+INDEX(Assumptions!$C$15:$E$15,$B$3)))</f>
        <v>-3413.5593220339</v>
      </c>
      <c r="I40" s="2"/>
    </row>
    <row r="41" customFormat="false" ht="15" hidden="false" customHeight="false" outlineLevel="0" collapsed="false">
      <c r="A41" s="15" t="s">
        <v>455</v>
      </c>
      <c r="B41" s="16"/>
      <c r="C41" s="16"/>
      <c r="D41" s="16"/>
      <c r="E41" s="16"/>
      <c r="F41" s="16"/>
      <c r="G41" s="16"/>
      <c r="H41" s="16"/>
      <c r="I41" s="16"/>
    </row>
    <row r="42" customFormat="false" ht="15" hidden="false" customHeight="false" outlineLevel="0" collapsed="false">
      <c r="A42" s="3" t="s">
        <v>456</v>
      </c>
      <c r="B42" s="32" t="n">
        <f aca="false">IFERROR(B24/B16,0)</f>
        <v>1603.10277957337</v>
      </c>
      <c r="C42" s="32" t="n">
        <f aca="false">IFERROR(C24/C16,0)</f>
        <v>3102.77957336781</v>
      </c>
      <c r="D42" s="32" t="n">
        <f aca="false">IFERROR(D24/D16,0)</f>
        <v>16666.6666666667</v>
      </c>
      <c r="E42" s="32" t="n">
        <f aca="false">IFERROR(E24/E16,0)</f>
        <v>2000</v>
      </c>
      <c r="F42" s="32" t="n">
        <f aca="false">IFERROR(F24/F16,0)</f>
        <v>-2481.16760828625</v>
      </c>
      <c r="G42" s="32" t="n">
        <f aca="false">IFERROR(G24/G16,0)</f>
        <v>-419.253171460808</v>
      </c>
      <c r="H42" s="32" t="n">
        <f aca="false">H24/H16</f>
        <v>2825.46843374472</v>
      </c>
      <c r="I42" s="2"/>
    </row>
    <row r="43" customFormat="false" ht="15" hidden="false" customHeight="false" outlineLevel="0" collapsed="false">
      <c r="A43" s="6" t="s">
        <v>457</v>
      </c>
      <c r="B43" s="11" t="n">
        <f aca="false">IFERROR(B42/B28,0)</f>
        <v>0.0226546261065458</v>
      </c>
      <c r="C43" s="11" t="n">
        <f aca="false">IFERROR(C42/C28,0)</f>
        <v>0.0438476634320241</v>
      </c>
      <c r="D43" s="11" t="n">
        <f aca="false">IFERROR(D42/D28,0)</f>
        <v>0.235528942115768</v>
      </c>
      <c r="E43" s="11" t="n">
        <f aca="false">IFERROR(E42/E28,0)</f>
        <v>0.0282634730538922</v>
      </c>
      <c r="F43" s="11" t="n">
        <f aca="false">IFERROR(F42/F28,0)</f>
        <v>-0.0354877853332418</v>
      </c>
      <c r="G43" s="11" t="n">
        <f aca="false">IFERROR(G42/G28,0)</f>
        <v>-0.0059247753571707</v>
      </c>
      <c r="H43" s="11" t="n">
        <f aca="false">H42/H28</f>
        <v>0.0399597633812058</v>
      </c>
      <c r="I43" s="2"/>
    </row>
    <row r="44" customFormat="false" ht="15" hidden="false" customHeight="false" outlineLevel="0" collapsed="false">
      <c r="A44" s="6" t="s">
        <v>458</v>
      </c>
      <c r="B44" s="12" t="n">
        <f aca="false">IF(B42&lt;=0,"n/m (self-funding)",B34/B42)</f>
        <v>48.7397233742824</v>
      </c>
      <c r="C44" s="12" t="n">
        <f aca="false">IF(C42&lt;=0,"n/m (self-funding)",C34/C42)</f>
        <v>25.1821904100459</v>
      </c>
      <c r="D44" s="12" t="n">
        <f aca="false">IF(D42&lt;=0,"n/m (self-funding)",D34/D42)</f>
        <v>4.68808716101695</v>
      </c>
      <c r="E44" s="12" t="n">
        <f aca="false">IF(E42&lt;=0,"n/m (self-funding)",E34/E42)</f>
        <v>39.0673930084746</v>
      </c>
      <c r="F44" s="12" t="str">
        <f aca="false">IF(F42&lt;=0,"n/m (self-funding)",F34/F42)</f>
        <v>n/m (self-funding)</v>
      </c>
      <c r="G44" s="12" t="str">
        <f aca="false">IF(G42&lt;=0,"n/m (self-funding)",G34/G42)</f>
        <v>n/m (self-funding)</v>
      </c>
      <c r="H44" s="33" t="n">
        <f aca="false">H34/H42</f>
        <v>27.6346739249012</v>
      </c>
      <c r="I44" s="2"/>
    </row>
    <row r="45" customFormat="false" ht="15" hidden="false" customHeight="false" outlineLevel="0" collapsed="false">
      <c r="A45" s="6" t="s">
        <v>459</v>
      </c>
      <c r="B45" s="7" t="n">
        <f aca="false">IF(B42&lt;=0,0,B42/(B31/INDEX(Assumptions!$C$90:$E$90,$B$3)))</f>
        <v>0.0267421412951188</v>
      </c>
      <c r="C45" s="7" t="n">
        <f aca="false">IF(C42&lt;=0,0,C42/(C31/INDEX(Assumptions!$C$90:$E$90,$B$3)))</f>
        <v>0.0517589831518429</v>
      </c>
      <c r="D45" s="7" t="n">
        <f aca="false">IF(D42&lt;=0,0,D42/(D31/INDEX(Assumptions!$C$90:$E$90,$B$3)))</f>
        <v>0.278024815749656</v>
      </c>
      <c r="E45" s="7" t="n">
        <f aca="false">IF(E42&lt;=0,0,E42/(E31/INDEX(Assumptions!$C$90:$E$90,$B$3)))</f>
        <v>0.0333629778899587</v>
      </c>
      <c r="F45" s="7" t="n">
        <f aca="false">IF(F42&lt;=0,0,F42/(F31/INDEX(Assumptions!$C$90:$E$90,$B$3)))</f>
        <v>0</v>
      </c>
      <c r="G45" s="7" t="n">
        <f aca="false">IF(G42&lt;=0,0,G42/(G31/INDEX(Assumptions!$C$90:$E$90,$B$3)))</f>
        <v>0</v>
      </c>
      <c r="H45" s="30" t="n">
        <f aca="false">H42/(H31/INDEX(Assumptions!$C$90:$E$90,$B$3))</f>
        <v>0.0471754272898405</v>
      </c>
      <c r="I45" s="2" t="s">
        <v>460</v>
      </c>
    </row>
    <row r="46" customFormat="false" ht="15" hidden="false" customHeight="false" outlineLevel="0" collapsed="false">
      <c r="A46" s="3" t="s">
        <v>461</v>
      </c>
      <c r="H46" s="32" t="n">
        <f aca="false">(B24+C24+F24+G24)/(B16+C16+F16+G16)</f>
        <v>547.601825558296</v>
      </c>
      <c r="I46" s="2" t="s">
        <v>462</v>
      </c>
    </row>
    <row r="47" customFormat="false" ht="15" hidden="false" customHeight="false" outlineLevel="0" collapsed="false">
      <c r="A47" s="3" t="s">
        <v>463</v>
      </c>
      <c r="H47" s="32" t="n">
        <f aca="false">(B24+C24+E24+F24)/H7</f>
        <v>1253.36998771695</v>
      </c>
      <c r="I47" s="2" t="s">
        <v>464</v>
      </c>
    </row>
    <row r="48" customFormat="false" ht="15" hidden="false" customHeight="false" outlineLevel="0" collapsed="false">
      <c r="A48" s="3" t="s">
        <v>465</v>
      </c>
      <c r="H48" s="32" t="n">
        <f aca="false">(B24+C24+F24)/(B16+C16+F16)</f>
        <v>1422.28331286158</v>
      </c>
      <c r="I48" s="2" t="s">
        <v>466</v>
      </c>
    </row>
    <row r="49" customFormat="false" ht="15" hidden="false" customHeight="false" outlineLevel="0" collapsed="false">
      <c r="A49" s="6" t="s">
        <v>467</v>
      </c>
      <c r="H49" s="8" t="n">
        <f aca="false">H17*2.5+H58*0.5</f>
        <v>631.531817367415</v>
      </c>
      <c r="I49" s="2" t="s">
        <v>468</v>
      </c>
    </row>
    <row r="50" customFormat="false" ht="15" hidden="false" customHeight="false" outlineLevel="0" collapsed="false">
      <c r="A50" s="6" t="s">
        <v>469</v>
      </c>
      <c r="H50" s="33" t="n">
        <f aca="false">H49/(INDEX(Assumptions!$C$77:$E$77,$B$3)*24)</f>
        <v>0.657845643091058</v>
      </c>
      <c r="I50" s="2"/>
    </row>
    <row r="51" customFormat="false" ht="15" hidden="false" customHeight="false" outlineLevel="0" collapsed="false">
      <c r="A51" s="6" t="s">
        <v>470</v>
      </c>
      <c r="H51" s="32" t="n">
        <f aca="false">(H24+MAX(1,ROUNDUP(H50,0))*INDEX(Assumptions!$C$112:$E$112,$B$3)+INDEX(Assumptions!$C$115:$E$115,$B$3)+INDEX(Assumptions!$C$111:$E$111,$B$3))/H16</f>
        <v>6714.50136089017</v>
      </c>
      <c r="I51" s="2" t="s">
        <v>471</v>
      </c>
    </row>
    <row r="52" customFormat="false" ht="15" hidden="false" customHeight="false" outlineLevel="0" collapsed="false">
      <c r="A52" s="6" t="s">
        <v>472</v>
      </c>
      <c r="H52" s="32" t="n">
        <f aca="false">B24+C24+F24+G24</f>
        <v>9386.9904937203</v>
      </c>
      <c r="I52" s="2"/>
    </row>
    <row r="53" customFormat="false" ht="15" hidden="false" customHeight="false" outlineLevel="0" collapsed="false">
      <c r="A53" s="6" t="s">
        <v>473</v>
      </c>
      <c r="D53" s="7" t="n">
        <f aca="false">D17-INDEX(Assumptions!$C$79:$E$79,$B$3)</f>
        <v>-25.5246714070244</v>
      </c>
      <c r="E53" s="7" t="n">
        <f aca="false">E17-INDEX(Assumptions!$C$80:$E$80,$B$3)</f>
        <v>-3.50815217391305</v>
      </c>
      <c r="I53" s="2" t="s">
        <v>474</v>
      </c>
    </row>
    <row r="55" customFormat="false" ht="15" hidden="false" customHeight="false" outlineLevel="0" collapsed="false">
      <c r="A55" s="15" t="s">
        <v>475</v>
      </c>
      <c r="B55" s="16"/>
      <c r="C55" s="16"/>
      <c r="D55" s="16"/>
      <c r="E55" s="16"/>
      <c r="F55" s="16"/>
      <c r="G55" s="16"/>
      <c r="H55" s="16"/>
      <c r="I55" s="16"/>
    </row>
    <row r="56" customFormat="false" ht="15" hidden="false" customHeight="false" outlineLevel="0" collapsed="false">
      <c r="A56" s="6" t="s">
        <v>476</v>
      </c>
      <c r="B56" s="7" t="n">
        <f aca="false">2.4*$H$7</f>
        <v>36</v>
      </c>
      <c r="C56" s="7" t="n">
        <f aca="false">1.5*$H$7</f>
        <v>22.5</v>
      </c>
      <c r="I56" s="2" t="s">
        <v>477</v>
      </c>
    </row>
    <row r="57" customFormat="false" ht="15" hidden="false" customHeight="false" outlineLevel="0" collapsed="false">
      <c r="A57" s="6" t="s">
        <v>478</v>
      </c>
      <c r="B57" s="11" t="n">
        <f aca="false">INDEX(Assumptions!$C$65:$E$65,$B$3)</f>
        <v>0.35</v>
      </c>
      <c r="C57" s="11" t="n">
        <f aca="false">INDEX(Assumptions!$C$66:$E$66,$B$3)</f>
        <v>0.25</v>
      </c>
      <c r="I57" s="2"/>
    </row>
    <row r="58" customFormat="false" ht="15" hidden="false" customHeight="false" outlineLevel="0" collapsed="false">
      <c r="A58" s="6" t="s">
        <v>479</v>
      </c>
      <c r="B58" s="7" t="n">
        <f aca="false">B56/B57</f>
        <v>102.857142857143</v>
      </c>
      <c r="C58" s="7" t="n">
        <f aca="false">C56/C57</f>
        <v>90</v>
      </c>
      <c r="H58" s="7" t="n">
        <f aca="false">B58+C58</f>
        <v>192.857142857143</v>
      </c>
      <c r="I58" s="2"/>
    </row>
    <row r="59" customFormat="false" ht="15" hidden="false" customHeight="false" outlineLevel="0" collapsed="false">
      <c r="A59" s="6" t="s">
        <v>480</v>
      </c>
      <c r="B59" s="10" t="n">
        <f aca="false">B58*INDEX(Assumptions!$C$40:$E$40,$B$3)*INDEX(Assumptions!$C$38:$E$38,$B$3)</f>
        <v>1542.85714285714</v>
      </c>
      <c r="C59" s="10" t="n">
        <f aca="false">C58*INDEX(Assumptions!$C$41:$E$41,$B$3)*INDEX(Assumptions!$C$39:$E$39,$B$3)</f>
        <v>3600</v>
      </c>
      <c r="I59" s="2" t="s">
        <v>481</v>
      </c>
    </row>
    <row r="60" customFormat="false" ht="15" hidden="false" customHeight="false" outlineLevel="0" collapsed="false">
      <c r="A60" s="3" t="s">
        <v>482</v>
      </c>
      <c r="B60" s="32" t="n">
        <f aca="false">B59/B56</f>
        <v>42.8571428571429</v>
      </c>
      <c r="C60" s="32" t="n">
        <f aca="false">C59/C56</f>
        <v>160</v>
      </c>
      <c r="I60" s="2"/>
    </row>
    <row r="61" customFormat="false" ht="15" hidden="false" customHeight="false" outlineLevel="0" collapsed="false">
      <c r="A61" s="6" t="s">
        <v>483</v>
      </c>
      <c r="I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487</v>
      </c>
    </row>
    <row r="2" customFormat="false" ht="15" hidden="false" customHeight="false" outlineLevel="0" collapsed="false">
      <c r="A2" s="2" t="s">
        <v>488</v>
      </c>
    </row>
    <row r="4" customFormat="false" ht="28.35" hidden="false" customHeight="false" outlineLevel="0" collapsed="false">
      <c r="A4" s="5" t="s">
        <v>16</v>
      </c>
      <c r="B4" s="5" t="s">
        <v>489</v>
      </c>
      <c r="C4" s="5" t="s">
        <v>400</v>
      </c>
      <c r="D4" s="5" t="s">
        <v>490</v>
      </c>
      <c r="E4" s="5" t="s">
        <v>491</v>
      </c>
      <c r="F4" s="5" t="s">
        <v>406</v>
      </c>
    </row>
    <row r="5" customFormat="false" ht="15" hidden="false" customHeight="false" outlineLevel="0" collapsed="false">
      <c r="A5" s="0" t="s">
        <v>492</v>
      </c>
      <c r="B5" s="7" t="n">
        <f aca="false">Funnel_Base!B16</f>
        <v>3</v>
      </c>
      <c r="C5" s="7" t="n">
        <f aca="false">Funnel_Base!C16</f>
        <v>2</v>
      </c>
      <c r="D5" s="7" t="n">
        <f aca="false">Funnel_Base!D16</f>
        <v>2</v>
      </c>
      <c r="E5" s="34" t="n">
        <f aca="false">SUM(B5:D5)</f>
        <v>7</v>
      </c>
    </row>
    <row r="6" customFormat="false" ht="15" hidden="false" customHeight="false" outlineLevel="0" collapsed="false">
      <c r="A6" s="0" t="s">
        <v>493</v>
      </c>
      <c r="B6" s="7" t="n">
        <f aca="false">Funnel_Base!B17</f>
        <v>56.8181818181818</v>
      </c>
      <c r="C6" s="7" t="n">
        <f aca="false">Funnel_Base!C17</f>
        <v>28.9351851851852</v>
      </c>
      <c r="D6" s="7" t="n">
        <f aca="false">Funnel_Base!D17</f>
        <v>39.8724082934609</v>
      </c>
      <c r="E6" s="34" t="n">
        <f aca="false">SUM(B6:D6)</f>
        <v>125.625775296828</v>
      </c>
    </row>
    <row r="7" customFormat="false" ht="15" hidden="false" customHeight="false" outlineLevel="0" collapsed="false">
      <c r="A7" s="0" t="s">
        <v>494</v>
      </c>
      <c r="B7" s="7" t="n">
        <f aca="false">Funnel_Base!B17/Assumptions!$D$61</f>
        <v>84.8032564450475</v>
      </c>
      <c r="C7" s="7" t="n">
        <f aca="false">Funnel_Base!C17/Assumptions!$D$61</f>
        <v>43.1868435599779</v>
      </c>
      <c r="D7" s="7" t="n">
        <f aca="false">Funnel_Base!D17/Assumptions!$D$61</f>
        <v>59.5110571544193</v>
      </c>
      <c r="E7" s="34" t="n">
        <f aca="false">SUM(B7:D7)</f>
        <v>187.501157159445</v>
      </c>
    </row>
    <row r="8" customFormat="false" ht="15" hidden="false" customHeight="false" outlineLevel="0" collapsed="false">
      <c r="A8" s="0" t="s">
        <v>495</v>
      </c>
      <c r="B8" s="10" t="n">
        <f aca="false">Funnel_Base!B24</f>
        <v>16335.2272727273</v>
      </c>
      <c r="C8" s="10" t="n">
        <f aca="false">Funnel_Base!C24</f>
        <v>14467.5925925926</v>
      </c>
      <c r="D8" s="10" t="n">
        <f aca="false">Funnel_Base!D24</f>
        <v>35000</v>
      </c>
      <c r="E8" s="35" t="n">
        <f aca="false">SUM(B8:D8)</f>
        <v>65802.8198653199</v>
      </c>
    </row>
    <row r="9" customFormat="false" ht="15" hidden="false" customHeight="false" outlineLevel="0" collapsed="false">
      <c r="A9" s="0" t="s">
        <v>496</v>
      </c>
      <c r="B9" s="10" t="n">
        <f aca="false">Funnel_Base!B24/Assumptions!$D$61</f>
        <v>24380.9362279512</v>
      </c>
      <c r="C9" s="10" t="n">
        <f aca="false">Funnel_Base!C24/Assumptions!$D$61</f>
        <v>21593.4217799889</v>
      </c>
      <c r="D9" s="10" t="n">
        <f aca="false">Funnel_Base!D24/Assumptions!$D$61</f>
        <v>52238.8059701493</v>
      </c>
      <c r="E9" s="35" t="n">
        <f aca="false">SUM(B9:D9)</f>
        <v>98213.1639780894</v>
      </c>
    </row>
    <row r="10" customFormat="false" ht="15" hidden="false" customHeight="false" outlineLevel="0" collapsed="false">
      <c r="A10" s="0" t="s">
        <v>497</v>
      </c>
      <c r="B10" s="10" t="n">
        <f aca="false">Funnel_Base!B42</f>
        <v>5445.07575757576</v>
      </c>
      <c r="C10" s="10" t="n">
        <f aca="false">Funnel_Base!C42</f>
        <v>7233.7962962963</v>
      </c>
      <c r="D10" s="10" t="n">
        <f aca="false">Funnel_Base!D42</f>
        <v>17500</v>
      </c>
      <c r="E10" s="35" t="n">
        <f aca="false">IFERROR(SUMPRODUCT(B10:D10,B5:D5)/SUM(B5:D5),0)</f>
        <v>9400.40283790284</v>
      </c>
    </row>
    <row r="11" customFormat="false" ht="15" hidden="false" customHeight="false" outlineLevel="0" collapsed="false">
      <c r="A11" s="0" t="s">
        <v>498</v>
      </c>
      <c r="B11" s="10" t="n">
        <f aca="false">Funnel_Base!B42/Assumptions!$D$61</f>
        <v>8126.97874265038</v>
      </c>
      <c r="C11" s="10" t="n">
        <f aca="false">Funnel_Base!C42/Assumptions!$D$61</f>
        <v>10796.7108899945</v>
      </c>
      <c r="D11" s="10" t="n">
        <f aca="false">Funnel_Base!D42/Assumptions!$D$61</f>
        <v>26119.4029850746</v>
      </c>
      <c r="E11" s="35" t="n">
        <f aca="false">IFERROR(SUMPRODUCT(B11:D11,B5:D5)/SUM(B5:D5),0)</f>
        <v>14030.4519968699</v>
      </c>
    </row>
    <row r="12" customFormat="false" ht="15" hidden="false" customHeight="false" outlineLevel="0" collapsed="false">
      <c r="A12" s="0" t="s">
        <v>499</v>
      </c>
      <c r="B12" s="10" t="n">
        <f aca="false">Funnel_Base!B24*(1/Assumptions!$D$61-1)</f>
        <v>8045.70895522388</v>
      </c>
      <c r="C12" s="10" t="n">
        <f aca="false">Funnel_Base!C24*(1/Assumptions!$D$61-1)</f>
        <v>7125.82918739635</v>
      </c>
      <c r="D12" s="10" t="n">
        <f aca="false">Funnel_Base!D24*(1/Assumptions!$D$61-1)</f>
        <v>17238.8059701493</v>
      </c>
      <c r="E12" s="35" t="n">
        <f aca="false">SUM(B12:D12)</f>
        <v>32410.3441127695</v>
      </c>
    </row>
    <row r="13" customFormat="false" ht="15" hidden="false" customHeight="false" outlineLevel="0" collapsed="false">
      <c r="A13" s="0" t="s">
        <v>500</v>
      </c>
      <c r="B13" s="7" t="n">
        <f aca="false">Funnel_Base!B16*Assumptions!$D$61</f>
        <v>2.01</v>
      </c>
      <c r="C13" s="7" t="n">
        <f aca="false">Funnel_Base!C16*Assumptions!$D$61</f>
        <v>1.34</v>
      </c>
      <c r="D13" s="7" t="n">
        <f aca="false">Funnel_Base!D16*Assumptions!$D$61</f>
        <v>1.34</v>
      </c>
      <c r="E13" s="34" t="n">
        <f aca="false">SUM(B13:D13)</f>
        <v>4.69</v>
      </c>
    </row>
    <row r="14" customFormat="false" ht="15" hidden="false" customHeight="false" outlineLevel="0" collapsed="false">
      <c r="A14" s="0" t="s">
        <v>501</v>
      </c>
      <c r="B14" s="7" t="n">
        <f aca="false">Funnel_Base!B16*(1-Assumptions!$D$61)</f>
        <v>0.99</v>
      </c>
      <c r="C14" s="7" t="n">
        <f aca="false">Funnel_Base!C16*(1-Assumptions!$D$61)</f>
        <v>0.66</v>
      </c>
      <c r="D14" s="7" t="n">
        <f aca="false">Funnel_Base!D16*(1-Assumptions!$D$61)</f>
        <v>0.66</v>
      </c>
      <c r="E14" s="34" t="n">
        <f aca="false">SUM(B14:D14)</f>
        <v>2.31</v>
      </c>
    </row>
    <row r="15" customFormat="false" ht="15" hidden="false" customHeight="false" outlineLevel="0" collapsed="false">
      <c r="A15" s="0" t="s">
        <v>502</v>
      </c>
      <c r="B15" s="10" t="n">
        <f aca="false">Funnel_Base!B16*(1-Assumptions!$D$61)*Funnel_Base!B31</f>
        <v>41428.9830508475</v>
      </c>
      <c r="C15" s="10" t="n">
        <f aca="false">Funnel_Base!C16*(1-Assumptions!$D$61)*Funnel_Base!C31</f>
        <v>27619.3220338983</v>
      </c>
      <c r="D15" s="10" t="n">
        <f aca="false">Funnel_Base!D16*(1-Assumptions!$D$61)*Funnel_Base!D31</f>
        <v>27619.3220338983</v>
      </c>
      <c r="E15" s="35" t="n">
        <f aca="false">SUM(B15:D15)</f>
        <v>96667.6271186441</v>
      </c>
    </row>
    <row r="17" customFormat="false" ht="15" hidden="false" customHeight="false" outlineLevel="0" collapsed="false">
      <c r="A17" s="3" t="s">
        <v>503</v>
      </c>
      <c r="E17" s="10" t="n">
        <f aca="false">E15*12</f>
        <v>1160011.52542373</v>
      </c>
    </row>
    <row r="18" customFormat="false" ht="15" hidden="false" customHeight="false" outlineLevel="0" collapsed="false">
      <c r="A18" s="3" t="s">
        <v>504</v>
      </c>
      <c r="E18" s="7" t="n">
        <f aca="false">Funnel_Base!H16*(1-1/Assumptions!$D$62)</f>
        <v>2.5032</v>
      </c>
    </row>
    <row r="20" customFormat="false" ht="15" hidden="false" customHeight="false" outlineLevel="0" collapsed="false">
      <c r="A20" s="2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506</v>
      </c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406</v>
      </c>
    </row>
    <row r="5" customFormat="false" ht="15" hidden="false" customHeight="false" outlineLevel="0" collapsed="false">
      <c r="A5" s="0" t="s">
        <v>507</v>
      </c>
      <c r="B5" s="8" t="n">
        <f aca="false">Assumptions!$C$85</f>
        <v>25</v>
      </c>
      <c r="C5" s="8" t="n">
        <f aca="false">Assumptions!$D$85</f>
        <v>32</v>
      </c>
      <c r="D5" s="8" t="n">
        <f aca="false">Assumptions!$E$85</f>
        <v>40</v>
      </c>
      <c r="E5" s="2" t="s">
        <v>292</v>
      </c>
    </row>
    <row r="6" customFormat="false" ht="15" hidden="false" customHeight="false" outlineLevel="0" collapsed="false">
      <c r="A6" s="0" t="s">
        <v>508</v>
      </c>
      <c r="B6" s="10" t="n">
        <f aca="false">Assumptions!$C$86</f>
        <v>999</v>
      </c>
      <c r="C6" s="10" t="n">
        <f aca="false">Assumptions!$D$86</f>
        <v>1499</v>
      </c>
      <c r="D6" s="10" t="n">
        <f aca="false">Assumptions!$E$86</f>
        <v>1499</v>
      </c>
      <c r="E6" s="2" t="s">
        <v>296</v>
      </c>
    </row>
    <row r="7" customFormat="false" ht="15" hidden="false" customHeight="false" outlineLevel="0" collapsed="false">
      <c r="A7" s="0" t="s">
        <v>509</v>
      </c>
      <c r="B7" s="10" t="n">
        <f aca="false">B5*B6/(1+Assumptions!$C$15)</f>
        <v>21165.2542372881</v>
      </c>
      <c r="C7" s="10" t="n">
        <f aca="false">C5*C6/(1+Assumptions!$D$15)</f>
        <v>40650.8474576271</v>
      </c>
      <c r="D7" s="10" t="n">
        <f aca="false">D5*D6/(1+Assumptions!$E$15)</f>
        <v>50813.5593220339</v>
      </c>
      <c r="E7" s="2"/>
    </row>
    <row r="8" customFormat="false" ht="15" hidden="false" customHeight="false" outlineLevel="0" collapsed="false">
      <c r="A8" s="0" t="s">
        <v>510</v>
      </c>
      <c r="B8" s="10" t="n">
        <f aca="false">Assumptions!$C$87</f>
        <v>60000</v>
      </c>
      <c r="C8" s="10" t="n">
        <f aca="false">Assumptions!$D$87</f>
        <v>52000</v>
      </c>
      <c r="D8" s="10" t="n">
        <f aca="false">Assumptions!$E$87</f>
        <v>45000</v>
      </c>
      <c r="E8" s="2" t="s">
        <v>299</v>
      </c>
    </row>
    <row r="9" customFormat="false" ht="15" hidden="false" customHeight="false" outlineLevel="0" collapsed="false">
      <c r="A9" s="0" t="s">
        <v>511</v>
      </c>
      <c r="B9" s="10" t="n">
        <f aca="false">B7-B8</f>
        <v>-38834.7457627119</v>
      </c>
      <c r="C9" s="10" t="n">
        <f aca="false">C7-C8</f>
        <v>-11349.1525423729</v>
      </c>
      <c r="D9" s="10" t="n">
        <f aca="false">D7-D8</f>
        <v>5813.5593220339</v>
      </c>
      <c r="E9" s="2"/>
    </row>
    <row r="10" customFormat="false" ht="15" hidden="false" customHeight="false" outlineLevel="0" collapsed="false">
      <c r="A10" s="0" t="s">
        <v>512</v>
      </c>
      <c r="B10" s="7" t="n">
        <f aca="false">B8/(B6/(1+Assumptions!$C$15))</f>
        <v>70.8708708708709</v>
      </c>
      <c r="C10" s="7" t="n">
        <f aca="false">C8/(C6/(1+Assumptions!$D$15))</f>
        <v>40.9339559706471</v>
      </c>
      <c r="D10" s="7" t="n">
        <f aca="false">D8/(D6/(1+Assumptions!$E$15))</f>
        <v>35.4236157438292</v>
      </c>
      <c r="E10" s="2" t="s">
        <v>513</v>
      </c>
    </row>
    <row r="11" customFormat="false" ht="15" hidden="false" customHeight="false" outlineLevel="0" collapsed="false">
      <c r="A11" s="0" t="s">
        <v>514</v>
      </c>
      <c r="B11" s="12" t="n">
        <f aca="false">B5*Assumptions!$C$88</f>
        <v>2</v>
      </c>
      <c r="C11" s="12" t="n">
        <f aca="false">C5*Assumptions!$D$88</f>
        <v>3.52</v>
      </c>
      <c r="D11" s="12" t="n">
        <f aca="false">D5*Assumptions!$E$88</f>
        <v>6</v>
      </c>
      <c r="E11" s="2"/>
    </row>
    <row r="12" customFormat="false" ht="15" hidden="false" customHeight="false" outlineLevel="0" collapsed="false">
      <c r="A12" s="0" t="s">
        <v>515</v>
      </c>
      <c r="B12" s="10" t="n">
        <f aca="false">IF(B9&gt;=0,0,-B9/B11)</f>
        <v>19417.3728813559</v>
      </c>
      <c r="C12" s="10" t="n">
        <f aca="false">IF(C9&gt;=0,0,-C9/C11)</f>
        <v>3224.19106317411</v>
      </c>
      <c r="D12" s="10" t="n">
        <f aca="false">IF(D9&gt;=0,0,-D9/D11)</f>
        <v>0</v>
      </c>
      <c r="E12" s="2" t="s">
        <v>516</v>
      </c>
    </row>
    <row r="13" customFormat="false" ht="15" hidden="false" customHeight="false" outlineLevel="0" collapsed="false">
      <c r="A13" s="0" t="s">
        <v>517</v>
      </c>
      <c r="B13" s="11" t="n">
        <f aca="false">MAX(0,-B9)/(8000*B5)</f>
        <v>0.194173728813559</v>
      </c>
      <c r="C13" s="11" t="n">
        <f aca="false">MAX(0,-C9)/(8000*C5)</f>
        <v>0.0443326271186441</v>
      </c>
      <c r="D13" s="11" t="n">
        <f aca="false">MAX(0,-D9)/(8000*D5)</f>
        <v>0</v>
      </c>
      <c r="E13" s="2" t="s">
        <v>518</v>
      </c>
    </row>
    <row r="14" customFormat="false" ht="15" hidden="false" customHeight="false" outlineLevel="0" collapsed="false">
      <c r="A14" s="0" t="s">
        <v>519</v>
      </c>
      <c r="B14" s="10" t="n">
        <f aca="false">B11*Funnel_Conservative!G31</f>
        <v>15961.8644067797</v>
      </c>
      <c r="C14" s="10" t="n">
        <f aca="false">C11*Funnel_Base!G31</f>
        <v>147303.050847458</v>
      </c>
      <c r="D14" s="10" t="n">
        <f aca="false">D11*Funnel_Aggressive!G31</f>
        <v>359680.123266564</v>
      </c>
      <c r="E14" s="2"/>
    </row>
    <row r="15" customFormat="false" ht="15" hidden="false" customHeight="false" outlineLevel="0" collapsed="false">
      <c r="A15" s="0" t="s">
        <v>520</v>
      </c>
      <c r="B15" s="10" t="n">
        <f aca="false">B9+B14</f>
        <v>-22872.8813559322</v>
      </c>
      <c r="C15" s="10" t="n">
        <f aca="false">C9+C14</f>
        <v>135953.898305085</v>
      </c>
      <c r="D15" s="10" t="n">
        <f aca="false">D9+D14</f>
        <v>365493.682588598</v>
      </c>
      <c r="E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2026-10-16T03:27:32Z</dcterms:created>
  <dc:creator>openpyxl</dc:creator>
  <dc:description/>
  <dc:language>en-US</dc:language>
  <cp:lastModifiedBy/>
  <dcterms:modified xsi:type="dcterms:W3CDTF">2026-10-16T03:27:32Z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